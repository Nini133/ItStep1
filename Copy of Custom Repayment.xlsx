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mc:AlternateContent xmlns:mc="http://schemas.openxmlformats.org/markup-compatibility/2006">
    <mc:Choice Requires="x15">
      <x15ac:absPath xmlns:x15ac="http://schemas.microsoft.com/office/spreadsheetml/2010/11/ac" url="https://spacebank-my.sharepoint.com/personal/nini_chachkhalia_space_ge/Documents/Documents/"/>
    </mc:Choice>
  </mc:AlternateContent>
  <xr:revisionPtr revIDLastSave="0" documentId="8_{F7DA0B1E-B675-0B40-9AC0-2803A3EAAAD0}" xr6:coauthVersionLast="47" xr6:coauthVersionMax="47" xr10:uidLastSave="{00000000-0000-0000-0000-000000000000}"/>
  <bookViews>
    <workbookView xWindow="0" yWindow="740" windowWidth="29400" windowHeight="18380" firstSheet="4" activeTab="4" xr2:uid="{00000000-000D-0000-FFFF-FFFF00000000}"/>
  </bookViews>
  <sheets>
    <sheet name="Repay Non-Payment Day" sheetId="1" r:id="rId1"/>
    <sheet name="Repay Payment Day " sheetId="6" r:id="rId2"/>
    <sheet name="Collection Non-Payment Day" sheetId="7" r:id="rId3"/>
    <sheet name="Collection Payment Day" sheetId="2" r:id="rId4"/>
    <sheet name="Formula INA" sheetId="4" r:id="rId5"/>
    <sheet name="Formula SALOME" sheetId="8" r:id="rId6"/>
    <sheet name="Formula ZURA" sheetId="3" r:id="rId7"/>
    <sheet name="Formula Teona"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5" l="1"/>
  <c r="C6" i="5"/>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337" i="6"/>
  <c r="N2338" i="6"/>
  <c r="N2339" i="6"/>
  <c r="N2340" i="6"/>
  <c r="N2341" i="6"/>
  <c r="N2342" i="6"/>
  <c r="N2343" i="6"/>
  <c r="N2344" i="6"/>
  <c r="N2345" i="6"/>
  <c r="N2346" i="6"/>
  <c r="N2347" i="6"/>
  <c r="N2348" i="6"/>
  <c r="N2349" i="6"/>
  <c r="N2350" i="6"/>
  <c r="N2351" i="6"/>
  <c r="N2352" i="6"/>
  <c r="N2353" i="6"/>
  <c r="N2354" i="6"/>
  <c r="N2355" i="6"/>
  <c r="N2356" i="6"/>
  <c r="N2357" i="6"/>
  <c r="N2358" i="6"/>
  <c r="N2359" i="6"/>
  <c r="N2360" i="6"/>
  <c r="N2361" i="6"/>
  <c r="N2362" i="6"/>
  <c r="N2363" i="6"/>
  <c r="N2364" i="6"/>
  <c r="N2365" i="6"/>
  <c r="N2366" i="6"/>
  <c r="N2367" i="6"/>
  <c r="N2368" i="6"/>
  <c r="N2369" i="6"/>
  <c r="N2370" i="6"/>
  <c r="N2371" i="6"/>
  <c r="N2372" i="6"/>
  <c r="N2373" i="6"/>
  <c r="N2374" i="6"/>
  <c r="N2375" i="6"/>
  <c r="N2376" i="6"/>
  <c r="N2377" i="6"/>
  <c r="N2378" i="6"/>
  <c r="N2379" i="6"/>
  <c r="N2380" i="6"/>
  <c r="N2381" i="6"/>
  <c r="N2382" i="6"/>
  <c r="N2383" i="6"/>
  <c r="N2384" i="6"/>
  <c r="N2385" i="6"/>
  <c r="N2386" i="6"/>
  <c r="N2387" i="6"/>
  <c r="N2388" i="6"/>
  <c r="N2389" i="6"/>
  <c r="N2390" i="6"/>
  <c r="N2391" i="6"/>
  <c r="N2392" i="6"/>
  <c r="N2393" i="6"/>
  <c r="N2394" i="6"/>
  <c r="N2395" i="6"/>
  <c r="N2396" i="6"/>
  <c r="N2397" i="6"/>
  <c r="N2398" i="6"/>
  <c r="N2399" i="6"/>
  <c r="N2400" i="6"/>
  <c r="N2401" i="6"/>
  <c r="N2402" i="6"/>
  <c r="N2403" i="6"/>
  <c r="N2404" i="6"/>
  <c r="N2405" i="6"/>
  <c r="N2406" i="6"/>
  <c r="N2407" i="6"/>
  <c r="N2408" i="6"/>
  <c r="N2409" i="6"/>
  <c r="N2410" i="6"/>
  <c r="N2411" i="6"/>
  <c r="N2412" i="6"/>
  <c r="N2413" i="6"/>
  <c r="N2414" i="6"/>
  <c r="N2415" i="6"/>
  <c r="N2416" i="6"/>
  <c r="N2417" i="6"/>
  <c r="N2418" i="6"/>
  <c r="N2419" i="6"/>
  <c r="N2420" i="6"/>
  <c r="N2421" i="6"/>
  <c r="N2422" i="6"/>
  <c r="N2423" i="6"/>
  <c r="N2424" i="6"/>
  <c r="N2425" i="6"/>
  <c r="N2426" i="6"/>
  <c r="N2427" i="6"/>
  <c r="N2428" i="6"/>
  <c r="N2429" i="6"/>
  <c r="N2430" i="6"/>
  <c r="N2431" i="6"/>
  <c r="N2432" i="6"/>
  <c r="N2433" i="6"/>
  <c r="N2434" i="6"/>
  <c r="N2435" i="6"/>
  <c r="N2436" i="6"/>
  <c r="N2437" i="6"/>
  <c r="N2438" i="6"/>
  <c r="N2439" i="6"/>
  <c r="N2440" i="6"/>
  <c r="N2441" i="6"/>
  <c r="N2442" i="6"/>
  <c r="N2443" i="6"/>
  <c r="N2444" i="6"/>
  <c r="N2445" i="6"/>
  <c r="N2446" i="6"/>
  <c r="N2447" i="6"/>
  <c r="N2448" i="6"/>
  <c r="N2449" i="6"/>
  <c r="N2450" i="6"/>
  <c r="N2451" i="6"/>
  <c r="N2452" i="6"/>
  <c r="N2453" i="6"/>
  <c r="N2454" i="6"/>
  <c r="N2455" i="6"/>
  <c r="N2456" i="6"/>
  <c r="N2457" i="6"/>
  <c r="N2458" i="6"/>
  <c r="N2459" i="6"/>
  <c r="N2460" i="6"/>
  <c r="N2461" i="6"/>
  <c r="N2462" i="6"/>
  <c r="N2463" i="6"/>
  <c r="N2464" i="6"/>
  <c r="N2465" i="6"/>
  <c r="N2466" i="6"/>
  <c r="N2467" i="6"/>
  <c r="N2468" i="6"/>
  <c r="N2469" i="6"/>
  <c r="N2470" i="6"/>
  <c r="N2471" i="6"/>
  <c r="N2472" i="6"/>
  <c r="N2473" i="6"/>
  <c r="N2474" i="6"/>
  <c r="N2475" i="6"/>
  <c r="N2476" i="6"/>
  <c r="N2477" i="6"/>
  <c r="N2478" i="6"/>
  <c r="N2479" i="6"/>
  <c r="N2480" i="6"/>
  <c r="N2481" i="6"/>
  <c r="N2482" i="6"/>
  <c r="N2483" i="6"/>
  <c r="N2484" i="6"/>
  <c r="N2485" i="6"/>
  <c r="N2486" i="6"/>
  <c r="N2487" i="6"/>
  <c r="N2488" i="6"/>
  <c r="N2489" i="6"/>
  <c r="N2490" i="6"/>
  <c r="N2491" i="6"/>
  <c r="N2492" i="6"/>
  <c r="N2493" i="6"/>
  <c r="N2494" i="6"/>
  <c r="N2495" i="6"/>
  <c r="N2496" i="6"/>
  <c r="N2497" i="6"/>
  <c r="N2498" i="6"/>
  <c r="N2499" i="6"/>
  <c r="N2500" i="6"/>
  <c r="N2501" i="6"/>
  <c r="N2502" i="6"/>
  <c r="N2503" i="6"/>
  <c r="N2504" i="6"/>
  <c r="N2505" i="6"/>
  <c r="N2506" i="6"/>
  <c r="N2507" i="6"/>
  <c r="N2508" i="6"/>
  <c r="N2509" i="6"/>
  <c r="N2510" i="6"/>
  <c r="N2511" i="6"/>
  <c r="N2512" i="6"/>
  <c r="N2513" i="6"/>
  <c r="N2514" i="6"/>
  <c r="N2515" i="6"/>
  <c r="N2516" i="6"/>
  <c r="N2517" i="6"/>
  <c r="N2518" i="6"/>
  <c r="N2519" i="6"/>
  <c r="N2520" i="6"/>
  <c r="N2521" i="6"/>
  <c r="N2522" i="6"/>
  <c r="N2523" i="6"/>
  <c r="N2524" i="6"/>
  <c r="N2525" i="6"/>
  <c r="N2526" i="6"/>
  <c r="N2527" i="6"/>
  <c r="N2528" i="6"/>
  <c r="N2529" i="6"/>
  <c r="N2530" i="6"/>
  <c r="N2531" i="6"/>
  <c r="N2532" i="6"/>
  <c r="N2533" i="6"/>
  <c r="N2534" i="6"/>
  <c r="N2535" i="6"/>
  <c r="N2536" i="6"/>
  <c r="N2537" i="6"/>
  <c r="N2538" i="6"/>
  <c r="N2539" i="6"/>
  <c r="N2540" i="6"/>
  <c r="N2541" i="6"/>
  <c r="N2542" i="6"/>
  <c r="N2543" i="6"/>
  <c r="N2544" i="6"/>
  <c r="N2545" i="6"/>
  <c r="N2546" i="6"/>
  <c r="N2547" i="6"/>
  <c r="N2548" i="6"/>
  <c r="N2549" i="6"/>
  <c r="N2550" i="6"/>
  <c r="N2551" i="6"/>
  <c r="N2552" i="6"/>
  <c r="N2553" i="6"/>
  <c r="N2554" i="6"/>
  <c r="N2555" i="6"/>
  <c r="N2556" i="6"/>
  <c r="N2557" i="6"/>
  <c r="N2558" i="6"/>
  <c r="N2559" i="6"/>
  <c r="N2560" i="6"/>
  <c r="N2561" i="6"/>
  <c r="N2562" i="6"/>
  <c r="N2563" i="6"/>
  <c r="N2564" i="6"/>
  <c r="N2565" i="6"/>
  <c r="N2566" i="6"/>
  <c r="N2567" i="6"/>
  <c r="N2568" i="6"/>
  <c r="N2569" i="6"/>
  <c r="N2570" i="6"/>
  <c r="N2571" i="6"/>
  <c r="N2572" i="6"/>
  <c r="N2573" i="6"/>
  <c r="N2574" i="6"/>
  <c r="N2575" i="6"/>
  <c r="N2576" i="6"/>
  <c r="N2577" i="6"/>
  <c r="N2578" i="6"/>
  <c r="N2579" i="6"/>
  <c r="N2580" i="6"/>
  <c r="N2581" i="6"/>
  <c r="N2582" i="6"/>
  <c r="N2583" i="6"/>
  <c r="N2584" i="6"/>
  <c r="N2585" i="6"/>
  <c r="N2586" i="6"/>
  <c r="N2587" i="6"/>
  <c r="N2588" i="6"/>
  <c r="N2589" i="6"/>
  <c r="N2590" i="6"/>
  <c r="N2591" i="6"/>
  <c r="N2592" i="6"/>
  <c r="N2593" i="6"/>
  <c r="N2594" i="6"/>
  <c r="N2595" i="6"/>
  <c r="N2596" i="6"/>
  <c r="N2597" i="6"/>
  <c r="N2598" i="6"/>
  <c r="N2599" i="6"/>
  <c r="N2600" i="6"/>
  <c r="N2601" i="6"/>
  <c r="N2602" i="6"/>
  <c r="N2603" i="6"/>
  <c r="N2604" i="6"/>
  <c r="N2605" i="6"/>
  <c r="N2606" i="6"/>
  <c r="N2607" i="6"/>
  <c r="N2608" i="6"/>
  <c r="N2609" i="6"/>
  <c r="N2610" i="6"/>
  <c r="N2611" i="6"/>
  <c r="N2612" i="6"/>
  <c r="N2613" i="6"/>
  <c r="N2614" i="6"/>
  <c r="N2615" i="6"/>
  <c r="N2616" i="6"/>
  <c r="N2617" i="6"/>
  <c r="N2618" i="6"/>
  <c r="N2619" i="6"/>
  <c r="N2620" i="6"/>
  <c r="N2621" i="6"/>
  <c r="N2622" i="6"/>
  <c r="N2623" i="6"/>
  <c r="N2624" i="6"/>
  <c r="N2625" i="6"/>
  <c r="N2626" i="6"/>
  <c r="N2627" i="6"/>
  <c r="N2628" i="6"/>
  <c r="N2629" i="6"/>
  <c r="N2630" i="6"/>
  <c r="N2631" i="6"/>
  <c r="N2632" i="6"/>
  <c r="N2633" i="6"/>
  <c r="N2634" i="6"/>
  <c r="N2635" i="6"/>
  <c r="N2636" i="6"/>
  <c r="N2637" i="6"/>
  <c r="N2638" i="6"/>
  <c r="N2639" i="6"/>
  <c r="N2640" i="6"/>
  <c r="N2641" i="6"/>
  <c r="N2642" i="6"/>
  <c r="N2643" i="6"/>
  <c r="N2644" i="6"/>
  <c r="N2645" i="6"/>
  <c r="N2646" i="6"/>
  <c r="N2647" i="6"/>
  <c r="N2648" i="6"/>
  <c r="N2649" i="6"/>
  <c r="N2650" i="6"/>
  <c r="N2651" i="6"/>
  <c r="N2652" i="6"/>
  <c r="N2653" i="6"/>
  <c r="N2654" i="6"/>
  <c r="N2655" i="6"/>
  <c r="N2656" i="6"/>
  <c r="N2657" i="6"/>
  <c r="N2658" i="6"/>
  <c r="N2659" i="6"/>
  <c r="N2660" i="6"/>
  <c r="N2661" i="6"/>
  <c r="N2662" i="6"/>
  <c r="N2663" i="6"/>
  <c r="N2664" i="6"/>
  <c r="N2665" i="6"/>
  <c r="N2666" i="6"/>
  <c r="N2667" i="6"/>
  <c r="N2668" i="6"/>
  <c r="N2669" i="6"/>
  <c r="N2670" i="6"/>
  <c r="N2671" i="6"/>
  <c r="N2672" i="6"/>
  <c r="N2673" i="6"/>
  <c r="N2674" i="6"/>
  <c r="N2675" i="6"/>
  <c r="N2676" i="6"/>
  <c r="N2677" i="6"/>
  <c r="N2678" i="6"/>
  <c r="N2679" i="6"/>
  <c r="N2680" i="6"/>
  <c r="N2681" i="6"/>
  <c r="N2682" i="6"/>
  <c r="N2683" i="6"/>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C6" i="3"/>
  <c r="C6" i="8"/>
  <c r="D5" i="8"/>
  <c r="E4" i="8"/>
  <c r="F4" i="8" s="1"/>
  <c r="D4" i="8"/>
  <c r="E3" i="8"/>
  <c r="D3" i="8"/>
  <c r="D6" i="8" s="1"/>
  <c r="C9" i="7"/>
  <c r="C7" i="7"/>
  <c r="C6" i="7"/>
  <c r="C9" i="6"/>
  <c r="C7" i="6"/>
  <c r="C6" i="6"/>
  <c r="D5" i="5"/>
  <c r="E4" i="5"/>
  <c r="F4" i="5" s="1"/>
  <c r="D4" i="5"/>
  <c r="E3" i="5"/>
  <c r="D6" i="5"/>
  <c r="C9" i="2"/>
  <c r="C7" i="2"/>
  <c r="C6" i="2"/>
  <c r="C9" i="1"/>
  <c r="C7" i="1"/>
  <c r="C6" i="1"/>
  <c r="E4" i="4" l="1"/>
  <c r="F4" i="4" s="1"/>
  <c r="E3" i="4"/>
  <c r="D3" i="4"/>
  <c r="F3" i="5"/>
  <c r="E5" i="5"/>
  <c r="E5" i="8"/>
  <c r="F3" i="8"/>
  <c r="C8" i="7"/>
  <c r="F6" i="7"/>
  <c r="C8" i="6"/>
  <c r="F6" i="6"/>
  <c r="D4" i="4"/>
  <c r="D5" i="4"/>
  <c r="D3" i="3"/>
  <c r="E3" i="3"/>
  <c r="D4" i="3"/>
  <c r="E4" i="3"/>
  <c r="F4" i="3" s="1"/>
  <c r="D5" i="3"/>
  <c r="C8" i="2"/>
  <c r="F6" i="2"/>
  <c r="C8" i="1"/>
  <c r="F6" i="1"/>
  <c r="E5" i="4" l="1"/>
  <c r="F6" i="8"/>
  <c r="F5" i="8"/>
  <c r="E6" i="8"/>
  <c r="F7" i="8" s="1"/>
  <c r="C10" i="7"/>
  <c r="G6" i="7"/>
  <c r="E6" i="7"/>
  <c r="C10" i="6"/>
  <c r="G6" i="6"/>
  <c r="E6" i="6"/>
  <c r="F5" i="5"/>
  <c r="E6" i="5"/>
  <c r="F3" i="4"/>
  <c r="E6" i="4"/>
  <c r="F7" i="4" s="1"/>
  <c r="D6" i="4"/>
  <c r="F3" i="3"/>
  <c r="E5" i="3"/>
  <c r="F5" i="3" s="1"/>
  <c r="E6" i="3"/>
  <c r="F7" i="3" s="1"/>
  <c r="D6" i="3"/>
  <c r="C10" i="2"/>
  <c r="G6" i="2"/>
  <c r="E6" i="2"/>
  <c r="C10" i="1"/>
  <c r="G6" i="1"/>
  <c r="E6" i="1"/>
  <c r="F5" i="4" l="1"/>
  <c r="F6" i="4"/>
  <c r="F6" i="3"/>
</calcChain>
</file>

<file path=xl/sharedStrings.xml><?xml version="1.0" encoding="utf-8"?>
<sst xmlns="http://schemas.openxmlformats.org/spreadsheetml/2006/main" count="33038" uniqueCount="624">
  <si>
    <t>P</t>
  </si>
  <si>
    <t>Tribe:</t>
  </si>
  <si>
    <t>Date:</t>
  </si>
  <si>
    <t>Tested %</t>
  </si>
  <si>
    <t>Passed %</t>
  </si>
  <si>
    <t>Failed %</t>
  </si>
  <si>
    <t>EXECUTED</t>
  </si>
  <si>
    <t>PASSED</t>
  </si>
  <si>
    <t>FAILED</t>
  </si>
  <si>
    <t>(Total) TESTS EXECUTED (PASSED + FAILED)</t>
  </si>
  <si>
    <t>NOT EXECUTED</t>
  </si>
  <si>
    <t>TOTAL (EXECUTED + NOT EXECUTED)</t>
  </si>
  <si>
    <t>N.</t>
  </si>
  <si>
    <t xml:space="preserve">Test Scenario </t>
  </si>
  <si>
    <r>
      <t xml:space="preserve">Priority </t>
    </r>
    <r>
      <rPr>
        <sz val="11"/>
        <rFont val="Times New Roman"/>
        <family val="1"/>
      </rPr>
      <t>(High, Medium, Low)</t>
    </r>
  </si>
  <si>
    <t xml:space="preserve">IOS </t>
  </si>
  <si>
    <t>Android(Sync)</t>
  </si>
  <si>
    <t>QA Manager(s)</t>
  </si>
  <si>
    <t xml:space="preserve">Comment </t>
  </si>
  <si>
    <t>Checked only in back</t>
  </si>
  <si>
    <t>Tested with automated script (write "A" if applicable)</t>
  </si>
  <si>
    <r>
      <t xml:space="preserve">Status  </t>
    </r>
    <r>
      <rPr>
        <sz val="12"/>
        <rFont val="Times New Roman"/>
        <family val="1"/>
      </rPr>
      <t>(</t>
    </r>
    <r>
      <rPr>
        <b/>
        <sz val="12"/>
        <rFont val="Times New Roman"/>
        <family val="1"/>
      </rPr>
      <t>P</t>
    </r>
    <r>
      <rPr>
        <sz val="12"/>
        <rFont val="Times New Roman"/>
        <family val="1"/>
      </rPr>
      <t xml:space="preserve"> - Passed,   </t>
    </r>
    <r>
      <rPr>
        <b/>
        <sz val="12"/>
        <rFont val="Times New Roman"/>
        <family val="1"/>
      </rPr>
      <t>F</t>
    </r>
    <r>
      <rPr>
        <sz val="12"/>
        <rFont val="Times New Roman"/>
        <family val="1"/>
      </rPr>
      <t xml:space="preserve"> - Failed,   </t>
    </r>
    <r>
      <rPr>
        <b/>
        <sz val="12"/>
        <rFont val="Times New Roman"/>
        <family val="1"/>
      </rPr>
      <t>0</t>
    </r>
    <r>
      <rPr>
        <sz val="12"/>
        <rFont val="Times New Roman"/>
        <family val="1"/>
      </rPr>
      <t xml:space="preserve"> - Not Executed)</t>
    </r>
  </si>
  <si>
    <t>Environment</t>
  </si>
  <si>
    <t>Build Version</t>
  </si>
  <si>
    <r>
      <rPr>
        <b/>
        <sz val="12"/>
        <color rgb="FF000000"/>
        <rFont val="Times New Roman"/>
        <family val="1"/>
      </rPr>
      <t xml:space="preserve">Status  </t>
    </r>
    <r>
      <rPr>
        <sz val="12"/>
        <color rgb="FF000000"/>
        <rFont val="Times New Roman"/>
        <family val="1"/>
      </rPr>
      <t>(</t>
    </r>
    <r>
      <rPr>
        <b/>
        <sz val="12"/>
        <color rgb="FF000000"/>
        <rFont val="Times New Roman"/>
        <family val="1"/>
      </rPr>
      <t>P</t>
    </r>
    <r>
      <rPr>
        <sz val="12"/>
        <color rgb="FF000000"/>
        <rFont val="Times New Roman"/>
        <family val="1"/>
      </rPr>
      <t xml:space="preserve"> - Passed,   </t>
    </r>
    <r>
      <rPr>
        <b/>
        <sz val="12"/>
        <color rgb="FF000000"/>
        <rFont val="Times New Roman"/>
        <family val="1"/>
      </rPr>
      <t>F</t>
    </r>
    <r>
      <rPr>
        <sz val="12"/>
        <color rgb="FF000000"/>
        <rFont val="Times New Roman"/>
        <family val="1"/>
      </rPr>
      <t xml:space="preserve"> - Failed,   </t>
    </r>
    <r>
      <rPr>
        <b/>
        <sz val="12"/>
        <color rgb="FF000000"/>
        <rFont val="Times New Roman"/>
        <family val="1"/>
      </rPr>
      <t>0</t>
    </r>
    <r>
      <rPr>
        <sz val="12"/>
        <color rgb="FF000000"/>
        <rFont val="Times New Roman"/>
        <family val="1"/>
      </rPr>
      <t xml:space="preserve"> - Not Executed)</t>
    </r>
  </si>
  <si>
    <r>
      <rPr>
        <b/>
        <sz val="12"/>
        <rFont val="Times New Roman"/>
        <family val="1"/>
      </rPr>
      <t xml:space="preserve">Status </t>
    </r>
    <r>
      <rPr>
        <sz val="12"/>
        <rFont val="Times New Roman"/>
        <family val="1"/>
      </rPr>
      <t xml:space="preserve"> (</t>
    </r>
    <r>
      <rPr>
        <b/>
        <sz val="12"/>
        <rFont val="Times New Roman"/>
        <family val="1"/>
      </rPr>
      <t>P</t>
    </r>
    <r>
      <rPr>
        <sz val="12"/>
        <rFont val="Times New Roman"/>
        <family val="1"/>
      </rPr>
      <t xml:space="preserve"> - Passed,   </t>
    </r>
    <r>
      <rPr>
        <b/>
        <sz val="12"/>
        <rFont val="Times New Roman"/>
        <family val="1"/>
      </rPr>
      <t>F</t>
    </r>
    <r>
      <rPr>
        <sz val="12"/>
        <rFont val="Times New Roman"/>
        <family val="1"/>
      </rPr>
      <t xml:space="preserve"> - Failed,   </t>
    </r>
    <r>
      <rPr>
        <b/>
        <sz val="12"/>
        <rFont val="Times New Roman"/>
        <family val="1"/>
      </rPr>
      <t xml:space="preserve">0 </t>
    </r>
    <r>
      <rPr>
        <sz val="12"/>
        <rFont val="Times New Roman"/>
        <family val="1"/>
      </rPr>
      <t>- Not Executed)</t>
    </r>
  </si>
  <si>
    <t>EN</t>
  </si>
  <si>
    <t>RU</t>
  </si>
  <si>
    <t>UZ</t>
  </si>
  <si>
    <t>Case 1:</t>
  </si>
  <si>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amount should be less then Overdue amount (</t>
    </r>
    <r>
      <rPr>
        <b/>
        <sz val="16"/>
        <color rgb="FFC00000"/>
        <rFont val="Aptos Narrow"/>
        <scheme val="minor"/>
      </rPr>
      <t>Total due in mambu</t>
    </r>
    <r>
      <rPr>
        <b/>
        <sz val="16"/>
        <color rgb="FF000000"/>
        <rFont val="Aptos Narrow"/>
        <scheme val="minor"/>
      </rPr>
      <t>)</t>
    </r>
  </si>
  <si>
    <r>
      <rPr>
        <b/>
        <sz val="12"/>
        <color rgb="FF000000"/>
        <rFont val="Aptos Narrow"/>
        <scheme val="minor"/>
      </rPr>
      <t>Loan State</t>
    </r>
    <r>
      <rPr>
        <sz val="12"/>
        <color rgb="FF000000"/>
        <rFont val="Aptos Narrow"/>
        <scheme val="minor"/>
      </rPr>
      <t>: Overdue</t>
    </r>
  </si>
  <si>
    <r>
      <rPr>
        <b/>
        <sz val="12"/>
        <color rgb="FF000000"/>
        <rFont val="Aptos Narrow"/>
        <scheme val="minor"/>
      </rPr>
      <t>Payment Day:</t>
    </r>
    <r>
      <rPr>
        <sz val="12"/>
        <color rgb="FF000000"/>
        <rFont val="Aptos Narrow"/>
        <scheme val="minor"/>
      </rPr>
      <t xml:space="preserve"> No</t>
    </r>
  </si>
  <si>
    <t>Activation Date: Month or months ago</t>
  </si>
  <si>
    <r>
      <rPr>
        <b/>
        <sz val="12"/>
        <color rgb="FF000000"/>
        <rFont val="Aptos Narrow"/>
        <scheme val="minor"/>
      </rPr>
      <t>Payments made</t>
    </r>
    <r>
      <rPr>
        <sz val="12"/>
        <color rgb="FF000000"/>
        <rFont val="Aptos Narrow"/>
        <scheme val="minor"/>
      </rPr>
      <t>: 0</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</si>
  <si>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less Overdue Loan Amount, for example 1 000 UZS</t>
    </r>
  </si>
  <si>
    <t>Backend Part:</t>
  </si>
  <si>
    <t>Repay loan - NEW process:</t>
  </si>
  <si>
    <r>
      <rPr>
        <sz val="12"/>
        <color rgb="FF000000"/>
        <rFont val="Aptos Narrow"/>
        <scheme val="minor"/>
      </rPr>
      <t>After paying the loan amount</t>
    </r>
    <r>
      <rPr>
        <b/>
        <sz val="12"/>
        <color rgb="FF000000"/>
        <rFont val="Aptos Narrow"/>
        <scheme val="minor"/>
      </rPr>
      <t xml:space="preserve"> Repay loan - NEW </t>
    </r>
    <r>
      <rPr>
        <sz val="12"/>
        <color rgb="FF000000"/>
        <rFont val="Aptos Narrow"/>
        <scheme val="minor"/>
      </rPr>
      <t xml:space="preserve">process is called (ProcessId: </t>
    </r>
    <r>
      <rPr>
        <sz val="12"/>
        <color rgb="FFC00000"/>
        <rFont val="Aptos Narrow"/>
        <scheme val="minor"/>
      </rPr>
      <t>21091</t>
    </r>
    <r>
      <rPr>
        <sz val="12"/>
        <color rgb="FF000000"/>
        <rFont val="Aptos Narrow"/>
        <scheme val="minor"/>
      </rPr>
      <t>)</t>
    </r>
  </si>
  <si>
    <r>
      <rPr>
        <sz val="11"/>
        <color rgb="FF000000"/>
        <rFont val="Aptos Narrow"/>
        <scheme val="minor"/>
      </rPr>
      <t xml:space="preserve">After initiating </t>
    </r>
    <r>
      <rPr>
        <b/>
        <sz val="11"/>
        <color rgb="FF000000"/>
        <rFont val="Aptos Narrow"/>
        <scheme val="minor"/>
      </rPr>
      <t>Repay loan - NEW</t>
    </r>
    <r>
      <rPr>
        <sz val="11"/>
        <color rgb="FF000000"/>
        <rFont val="Aptos Narrow"/>
        <scheme val="minor"/>
      </rPr>
      <t xml:space="preserve"> process check, that process continues on following condiitons: </t>
    </r>
    <r>
      <rPr>
        <b/>
        <sz val="11"/>
        <color rgb="FFC00000"/>
        <rFont val="Aptos Narrow"/>
        <scheme val="minor"/>
      </rPr>
      <t xml:space="preserve"> {{repaymentAmount}} &gt;0</t>
    </r>
    <r>
      <rPr>
        <sz val="11"/>
        <color rgb="FF000000"/>
        <rFont val="Aptos Narrow"/>
        <scheme val="minor"/>
      </rPr>
      <t xml:space="preserve"> and then continues on following one:</t>
    </r>
    <r>
      <rPr>
        <b/>
        <sz val="11"/>
        <color rgb="FFC00000"/>
        <rFont val="Aptos Narrow"/>
        <scheme val="minor"/>
      </rPr>
      <t xml:space="preserve"> {{isOverdue}} == true </t>
    </r>
    <r>
      <rPr>
        <sz val="11"/>
        <color rgb="FF000000"/>
        <rFont val="Aptos Narrow"/>
        <scheme val="minor"/>
      </rPr>
      <t>&amp;&amp;</t>
    </r>
    <r>
      <rPr>
        <b/>
        <sz val="11"/>
        <color rgb="FFC00000"/>
        <rFont val="Aptos Narrow"/>
        <scheme val="minor"/>
      </rPr>
      <t xml:space="preserve"> {{repaymentAmount}} &lt; {{GetLoanResponseData.Loan.OverdueAmount}} </t>
    </r>
  </si>
  <si>
    <t>High</t>
  </si>
  <si>
    <t>Dev</t>
  </si>
  <si>
    <t>Ina Sabadze</t>
  </si>
  <si>
    <r>
      <rPr>
        <sz val="11"/>
        <color rgb="FF000000"/>
        <rFont val="Aptos Narrow"/>
        <scheme val="minor"/>
      </rPr>
      <t xml:space="preserve">Check, that after Repay loan - NEW process continues on following condition: </t>
    </r>
    <r>
      <rPr>
        <b/>
        <sz val="11"/>
        <color rgb="FFC00000"/>
        <rFont val="Aptos Narrow"/>
        <scheme val="minor"/>
      </rPr>
      <t xml:space="preserve"> {{isOverdue}} == true &amp;</t>
    </r>
    <r>
      <rPr>
        <b/>
        <sz val="11"/>
        <color rgb="FF000000"/>
        <rFont val="Aptos Narrow"/>
        <scheme val="minor"/>
      </rPr>
      <t>&amp;</t>
    </r>
    <r>
      <rPr>
        <b/>
        <sz val="11"/>
        <color rgb="FFC00000"/>
        <rFont val="Aptos Narrow"/>
        <scheme val="minor"/>
      </rPr>
      <t xml:space="preserve"> {{repaymentAmount}} &lt; {{GetLoanResponseData.Loan.OverdueAmount}} </t>
    </r>
    <r>
      <rPr>
        <sz val="11"/>
        <color rgb="FF000000"/>
        <rFont val="Aptos Narrow"/>
        <scheme val="minor"/>
      </rPr>
      <t xml:space="preserve">then following process is called: </t>
    </r>
    <r>
      <rPr>
        <b/>
        <sz val="11"/>
        <color rgb="FF000000"/>
        <rFont val="Aptos Narrow"/>
        <scheme val="minor"/>
      </rPr>
      <t>Repay loan - Mambu v2</t>
    </r>
  </si>
  <si>
    <t xml:space="preserve">Repay loan - Mambu v2 process: </t>
  </si>
  <si>
    <t/>
  </si>
  <si>
    <r>
      <rPr>
        <sz val="11"/>
        <color rgb="FF000000"/>
        <rFont val="Aptos Narrow"/>
        <scheme val="minor"/>
      </rPr>
      <t xml:space="preserve">Check, that Repay loan - Mambu v2 process goes on following condition: </t>
    </r>
    <r>
      <rPr>
        <b/>
        <sz val="11"/>
        <color rgb="FFC00000"/>
        <rFont val="Aptos Narrow"/>
        <scheme val="minor"/>
      </rPr>
      <t>{{date}} ==</t>
    </r>
  </si>
  <si>
    <t>Process Success LOGs:</t>
  </si>
  <si>
    <r>
      <rPr>
        <sz val="12"/>
        <color rgb="FF000000"/>
        <rFont val="Aptos Narrow"/>
        <scheme val="minor"/>
      </rPr>
      <t xml:space="preserve">Check, that </t>
    </r>
    <r>
      <rPr>
        <b/>
        <sz val="12"/>
        <color rgb="FF000000"/>
        <rFont val="Aptos Narrow"/>
        <scheme val="minor"/>
      </rPr>
      <t>Repay loan - NEW</t>
    </r>
    <r>
      <rPr>
        <sz val="12"/>
        <color rgb="FF000000"/>
        <rFont val="Aptos Narrow"/>
        <scheme val="minor"/>
      </rPr>
      <t xml:space="preserve"> process goes in </t>
    </r>
    <r>
      <rPr>
        <b/>
        <sz val="12"/>
        <color rgb="FF000000"/>
        <rFont val="Aptos Narrow"/>
        <scheme val="minor"/>
      </rPr>
      <t>Success</t>
    </r>
    <r>
      <rPr>
        <sz val="12"/>
        <color rgb="FF000000"/>
        <rFont val="Aptos Narrow"/>
        <scheme val="minor"/>
      </rPr>
      <t xml:space="preserve"> and </t>
    </r>
    <r>
      <rPr>
        <b/>
        <sz val="12"/>
        <color rgb="FF000000"/>
        <rFont val="Aptos Narrow"/>
        <scheme val="minor"/>
      </rPr>
      <t>Save the LOG</t>
    </r>
  </si>
  <si>
    <r>
      <rPr>
        <sz val="12"/>
        <color rgb="FF000000"/>
        <rFont val="Aptos Narrow"/>
        <scheme val="minor"/>
      </rPr>
      <t xml:space="preserve">Check, that </t>
    </r>
    <r>
      <rPr>
        <b/>
        <sz val="12"/>
        <color rgb="FF000000"/>
        <rFont val="Aptos Narrow"/>
        <scheme val="minor"/>
      </rPr>
      <t>Repay loan - Mambu v2</t>
    </r>
    <r>
      <rPr>
        <sz val="12"/>
        <color rgb="FF000000"/>
        <rFont val="Aptos Narrow"/>
        <scheme val="minor"/>
      </rPr>
      <t xml:space="preserve"> process goes in </t>
    </r>
    <r>
      <rPr>
        <b/>
        <sz val="12"/>
        <color rgb="FF000000"/>
        <rFont val="Aptos Narrow"/>
        <scheme val="minor"/>
      </rPr>
      <t>Success</t>
    </r>
    <r>
      <rPr>
        <sz val="12"/>
        <color rgb="FF000000"/>
        <rFont val="Aptos Narrow"/>
        <scheme val="minor"/>
      </rPr>
      <t xml:space="preserve"> and </t>
    </r>
    <r>
      <rPr>
        <b/>
        <sz val="12"/>
        <color rgb="FF000000"/>
        <rFont val="Aptos Narrow"/>
        <scheme val="minor"/>
      </rPr>
      <t>Save the LOG</t>
    </r>
  </si>
  <si>
    <r>
      <rPr>
        <sz val="12"/>
        <color rgb="FF000000"/>
        <rFont val="Aptos Narrow"/>
        <scheme val="minor"/>
      </rPr>
      <t xml:space="preserve">Check, that </t>
    </r>
    <r>
      <rPr>
        <b/>
        <sz val="12"/>
        <color rgb="FF000000"/>
        <rFont val="Aptos Narrow"/>
        <scheme val="minor"/>
      </rPr>
      <t xml:space="preserve">Create Operation - iABS (internal) </t>
    </r>
    <r>
      <rPr>
        <sz val="12"/>
        <color rgb="FF000000"/>
        <rFont val="Aptos Narrow"/>
        <scheme val="minor"/>
      </rPr>
      <t xml:space="preserve">process goes in </t>
    </r>
    <r>
      <rPr>
        <b/>
        <sz val="12"/>
        <color rgb="FF000000"/>
        <rFont val="Aptos Narrow"/>
        <scheme val="minor"/>
      </rPr>
      <t>Success</t>
    </r>
    <r>
      <rPr>
        <sz val="12"/>
        <color rgb="FF000000"/>
        <rFont val="Aptos Narrow"/>
        <scheme val="minor"/>
      </rPr>
      <t xml:space="preserve"> and </t>
    </r>
    <r>
      <rPr>
        <b/>
        <sz val="12"/>
        <color rgb="FF000000"/>
        <rFont val="Aptos Narrow"/>
        <scheme val="minor"/>
      </rPr>
      <t xml:space="preserve">Save the LOG </t>
    </r>
    <r>
      <rPr>
        <b/>
        <sz val="12"/>
        <color rgb="FFC00000"/>
        <rFont val="Aptos Narrow"/>
        <scheme val="minor"/>
      </rPr>
      <t>(Active only Repayment is initiated with Card)</t>
    </r>
  </si>
  <si>
    <t>Application Part:</t>
  </si>
  <si>
    <r>
      <rPr>
        <sz val="12"/>
        <color rgb="FF000000"/>
        <rFont val="Aptos Narrow"/>
        <scheme val="minor"/>
      </rPr>
      <t xml:space="preserve">Check, that after </t>
    </r>
    <r>
      <rPr>
        <b/>
        <sz val="12"/>
        <color rgb="FF000000"/>
        <rFont val="Aptos Narrow"/>
        <scheme val="minor"/>
      </rPr>
      <t>Repay loan - NEW</t>
    </r>
    <r>
      <rPr>
        <sz val="12"/>
        <color rgb="FF000000"/>
        <rFont val="Aptos Narrow"/>
        <scheme val="minor"/>
      </rPr>
      <t xml:space="preserve"> process goes in success in </t>
    </r>
    <r>
      <rPr>
        <b/>
        <sz val="12"/>
        <color rgb="FF000000"/>
        <rFont val="Aptos Narrow"/>
        <scheme val="minor"/>
      </rPr>
      <t>Application</t>
    </r>
    <r>
      <rPr>
        <sz val="12"/>
        <color rgb="FF000000"/>
        <rFont val="Aptos Narrow"/>
        <scheme val="minor"/>
      </rPr>
      <t xml:space="preserve"> we have </t>
    </r>
    <r>
      <rPr>
        <b/>
        <sz val="12"/>
        <color rgb="FF000000"/>
        <rFont val="Aptos Narrow"/>
        <scheme val="minor"/>
      </rPr>
      <t>Success</t>
    </r>
    <r>
      <rPr>
        <sz val="12"/>
        <color rgb="FF000000"/>
        <rFont val="Aptos Narrow"/>
        <scheme val="minor"/>
      </rPr>
      <t xml:space="preserve"> Page for </t>
    </r>
    <r>
      <rPr>
        <b/>
        <sz val="12"/>
        <color rgb="FF000000"/>
        <rFont val="Aptos Narrow"/>
        <scheme val="minor"/>
      </rPr>
      <t>Overdue</t>
    </r>
  </si>
  <si>
    <t>Success Page for Repay Loan of Part of Overdue:</t>
  </si>
  <si>
    <r>
      <rPr>
        <b/>
        <sz val="12"/>
        <color rgb="FF000000"/>
        <rFont val="Aptos Narrow"/>
      </rPr>
      <t>ENG</t>
    </r>
    <r>
      <rPr>
        <sz val="12"/>
        <color rgb="FF000000"/>
        <rFont val="Aptos Narrow"/>
      </rPr>
      <t xml:space="preserve">: You have partially paid the overdue
</t>
    </r>
    <r>
      <rPr>
        <b/>
        <sz val="12"/>
        <color rgb="FF000000"/>
        <rFont val="Aptos Narrow"/>
      </rPr>
      <t>RUS</t>
    </r>
    <r>
      <rPr>
        <sz val="12"/>
        <color rgb="FF000000"/>
        <rFont val="Aptos Narrow"/>
      </rPr>
      <t xml:space="preserve">: Вы частично оплатили просрочку
</t>
    </r>
    <r>
      <rPr>
        <b/>
        <sz val="12"/>
        <color rgb="FF000000"/>
        <rFont val="Aptos Narrow"/>
      </rPr>
      <t>UZ</t>
    </r>
    <r>
      <rPr>
        <sz val="12"/>
        <color rgb="FF000000"/>
        <rFont val="Aptos Narrow"/>
      </rPr>
      <t>: Kechiktirilgan qarzdorlikni qisman to'ladingiz</t>
    </r>
  </si>
  <si>
    <t>Text for Close button:</t>
  </si>
  <si>
    <r>
      <rPr>
        <b/>
        <sz val="12"/>
        <color rgb="FF000000"/>
        <rFont val="Calibri"/>
        <family val="2"/>
      </rPr>
      <t>ENG</t>
    </r>
    <r>
      <rPr>
        <sz val="12"/>
        <color rgb="FF000000"/>
        <rFont val="Calibri"/>
        <family val="2"/>
      </rPr>
      <t xml:space="preserve">: Close
</t>
    </r>
    <r>
      <rPr>
        <b/>
        <sz val="12"/>
        <color rgb="FF000000"/>
        <rFont val="Calibri"/>
        <family val="2"/>
      </rPr>
      <t>RUS</t>
    </r>
    <r>
      <rPr>
        <sz val="12"/>
        <color rgb="FF000000"/>
        <rFont val="Calibri"/>
        <family val="2"/>
      </rPr>
      <t xml:space="preserve">: Закрыть
</t>
    </r>
    <r>
      <rPr>
        <b/>
        <sz val="12"/>
        <color rgb="FF000000"/>
        <rFont val="Calibri"/>
        <family val="2"/>
      </rPr>
      <t>UZ</t>
    </r>
    <r>
      <rPr>
        <sz val="12"/>
        <color rgb="FF000000"/>
        <rFont val="Calibri"/>
        <family val="2"/>
      </rPr>
      <t>: Yopish</t>
    </r>
  </si>
  <si>
    <t>Medium</t>
  </si>
  <si>
    <r>
      <rPr>
        <b/>
        <sz val="12"/>
        <color rgb="FF000000"/>
        <rFont val="Aptos Narrow"/>
        <scheme val="minor"/>
      </rPr>
      <t xml:space="preserve">Next Step: </t>
    </r>
    <r>
      <rPr>
        <sz val="12"/>
        <color rgb="FF000000"/>
        <rFont val="Aptos Narrow"/>
        <scheme val="minor"/>
      </rPr>
      <t>Close Repayment Page</t>
    </r>
  </si>
  <si>
    <r>
      <rPr>
        <sz val="12"/>
        <color rgb="FF000000"/>
        <rFont val="Aptos Narrow"/>
        <scheme val="minor"/>
      </rPr>
      <t xml:space="preserve">After pressing Close button on Overdue Loan Success Page. process should continue on Overdue </t>
    </r>
    <r>
      <rPr>
        <b/>
        <sz val="12"/>
        <color rgb="FF000000"/>
        <rFont val="Aptos Narrow"/>
        <scheme val="minor"/>
      </rPr>
      <t>Loan Manage Page: Before Overdue Repayment, there was Overdue Loan Manage Page and because overdue amount was not paid fully, loan is still in overdue state</t>
    </r>
  </si>
  <si>
    <t>On Loan Manage Page check following Details:</t>
  </si>
  <si>
    <t>* Loan amount in the circle: {{Total Due Value from Mambu after refreshing it}}</t>
  </si>
  <si>
    <t>* Agreement number: {{Customer's LoanId}}</t>
  </si>
  <si>
    <r>
      <rPr>
        <b/>
        <sz val="11"/>
        <color rgb="FF000000"/>
        <rFont val="Aptos Narrow"/>
        <scheme val="minor"/>
      </rPr>
      <t>ENG</t>
    </r>
    <r>
      <rPr>
        <sz val="11"/>
        <color rgb="FF000000"/>
        <rFont val="Aptos Narrow"/>
        <scheme val="minor"/>
      </rPr>
      <t xml:space="preserve">:
You have  </t>
    </r>
    <r>
      <rPr>
        <b/>
        <sz val="11"/>
        <color rgb="FFC00000"/>
        <rFont val="Aptos Narrow"/>
        <scheme val="minor"/>
      </rPr>
      <t xml:space="preserve">[Days In Arrears value from Mambu] </t>
    </r>
    <r>
      <rPr>
        <sz val="11"/>
        <color rgb="FF000000"/>
        <rFont val="Aptos Narrow"/>
        <scheme val="minor"/>
      </rPr>
      <t xml:space="preserve">overdue days
</t>
    </r>
    <r>
      <rPr>
        <b/>
        <sz val="11"/>
        <color rgb="FF000000"/>
        <rFont val="Aptos Narrow"/>
        <scheme val="minor"/>
      </rPr>
      <t>RUS</t>
    </r>
    <r>
      <rPr>
        <sz val="11"/>
        <color rgb="FF000000"/>
        <rFont val="Aptos Narrow"/>
        <scheme val="minor"/>
      </rPr>
      <t xml:space="preserve">:
 У вас </t>
    </r>
    <r>
      <rPr>
        <b/>
        <sz val="11"/>
        <color rgb="FFC00000"/>
        <rFont val="Aptos Narrow"/>
        <scheme val="minor"/>
      </rPr>
      <t>[Days In Arrears value from Mambu]</t>
    </r>
    <r>
      <rPr>
        <sz val="11"/>
        <color rgb="FF000000"/>
        <rFont val="Aptos Narrow"/>
        <scheme val="minor"/>
      </rPr>
      <t xml:space="preserve"> дня просрочки
</t>
    </r>
    <r>
      <rPr>
        <b/>
        <sz val="11"/>
        <color rgb="FF000000"/>
        <rFont val="Aptos Narrow"/>
        <scheme val="minor"/>
      </rPr>
      <t>UZB</t>
    </r>
    <r>
      <rPr>
        <sz val="11"/>
        <color rgb="FF000000"/>
        <rFont val="Aptos Narrow"/>
        <scheme val="minor"/>
      </rPr>
      <t xml:space="preserve">:
Sizda </t>
    </r>
    <r>
      <rPr>
        <b/>
        <sz val="11"/>
        <color rgb="FFC00000"/>
        <rFont val="Aptos Narrow"/>
        <scheme val="minor"/>
      </rPr>
      <t xml:space="preserve">[Days In Arrears value from Mambu] </t>
    </r>
    <r>
      <rPr>
        <sz val="11"/>
        <color rgb="FF000000"/>
        <rFont val="Aptos Narrow"/>
        <scheme val="minor"/>
      </rPr>
      <t>kun to’lov kechiktirilishi bor</t>
    </r>
  </si>
  <si>
    <r>
      <rPr>
        <sz val="11"/>
        <color rgb="FF000000"/>
        <rFont val="Calibri"/>
        <family val="2"/>
      </rPr>
      <t xml:space="preserve">* Red amount value should be: {{Value should be </t>
    </r>
    <r>
      <rPr>
        <b/>
        <sz val="11"/>
        <color rgb="FFC00000"/>
        <rFont val="Calibri"/>
        <family val="2"/>
      </rPr>
      <t>Total Due</t>
    </r>
    <r>
      <rPr>
        <sz val="11"/>
        <color rgb="FF000000"/>
        <rFont val="Calibri"/>
        <family val="2"/>
      </rPr>
      <t xml:space="preserve"> value from Mambu after refreshing it}}</t>
    </r>
  </si>
  <si>
    <t>Repay loan - NEW Success LOG checks:</t>
  </si>
  <si>
    <r>
      <rPr>
        <sz val="12"/>
        <color rgb="FF000000"/>
        <rFont val="Aptos Narrow"/>
        <scheme val="minor"/>
      </rPr>
      <t xml:space="preserve"> In Success Log find following detail and check </t>
    </r>
    <r>
      <rPr>
        <b/>
        <sz val="12"/>
        <color rgb="FF000000"/>
        <rFont val="Aptos Narrow"/>
        <scheme val="minor"/>
      </rPr>
      <t>"RepayLoanResponseData": {</t>
    </r>
  </si>
  <si>
    <r>
      <rPr>
        <b/>
        <sz val="12"/>
        <color rgb="FF000000"/>
        <rFont val="Aptos Narrow"/>
        <scheme val="minor"/>
      </rPr>
      <t>"Balance":</t>
    </r>
    <r>
      <rPr>
        <sz val="12"/>
        <color rgb="FF000000"/>
        <rFont val="Aptos Narrow"/>
        <scheme val="minor"/>
      </rPr>
      <t xml:space="preserve"> {{Value should be Principal Balance value from Mambu after repayment: refresh Mambu}}</t>
    </r>
  </si>
  <si>
    <r>
      <rPr>
        <b/>
        <sz val="12"/>
        <color rgb="FF000000"/>
        <rFont val="Aptos Narrow"/>
        <scheme val="minor"/>
      </rPr>
      <t>"PenaltyPaid":</t>
    </r>
    <r>
      <rPr>
        <sz val="12"/>
        <color rgb="FF000000"/>
        <rFont val="Aptos Narrow"/>
        <scheme val="minor"/>
      </rPr>
      <t xml:space="preserve"> {{Value should be Penalty amount calculated with Repay Formula}}</t>
    </r>
  </si>
  <si>
    <r>
      <rPr>
        <b/>
        <sz val="12"/>
        <color rgb="FF000000"/>
        <rFont val="Aptos Narrow"/>
        <scheme val="minor"/>
      </rPr>
      <t>"InterestPaid":</t>
    </r>
    <r>
      <rPr>
        <sz val="12"/>
        <color rgb="FF000000"/>
        <rFont val="Aptos Narrow"/>
        <scheme val="minor"/>
      </rPr>
      <t xml:space="preserve"> {{Value should be Overdue Interest amount calculated with Repay Formula}}</t>
    </r>
  </si>
  <si>
    <r>
      <rPr>
        <b/>
        <sz val="12"/>
        <color rgb="FF000000"/>
        <rFont val="Aptos Narrow"/>
        <scheme val="minor"/>
      </rPr>
      <t>"PrincipalPaid":</t>
    </r>
    <r>
      <rPr>
        <sz val="12"/>
        <color rgb="FF000000"/>
        <rFont val="Aptos Narrow"/>
        <scheme val="minor"/>
      </rPr>
      <t xml:space="preserve"> {{Value should be Overdue Principal amount calculated with Repay Formula}}</t>
    </r>
  </si>
  <si>
    <r>
      <rPr>
        <b/>
        <sz val="12"/>
        <color rgb="FF000000"/>
        <rFont val="Aptos Narrow"/>
        <scheme val="minor"/>
      </rPr>
      <t>"FeesPaid":</t>
    </r>
    <r>
      <rPr>
        <sz val="12"/>
        <color rgb="FF000000"/>
        <rFont val="Aptos Narrow"/>
        <scheme val="minor"/>
      </rPr>
      <t xml:space="preserve"> {{Value should be 0 for this case}}</t>
    </r>
  </si>
  <si>
    <t xml:space="preserve"> "RepayLoanResult": "true"</t>
  </si>
  <si>
    <r>
      <rPr>
        <sz val="12"/>
        <color rgb="FF000000"/>
        <rFont val="Aptos Narrow"/>
        <scheme val="minor"/>
      </rPr>
      <t xml:space="preserve"> In Success Log find following detail and check</t>
    </r>
    <r>
      <rPr>
        <b/>
        <sz val="12"/>
        <color rgb="FF000000"/>
        <rFont val="Aptos Narrow"/>
        <scheme val="minor"/>
      </rPr>
      <t xml:space="preserve"> "Request": {</t>
    </r>
  </si>
  <si>
    <t>"IsScheduledPrepayment": false</t>
  </si>
  <si>
    <t>"IsNewRepaymentFlow": true</t>
  </si>
  <si>
    <r>
      <rPr>
        <b/>
        <sz val="12"/>
        <color rgb="FF000000"/>
        <rFont val="Aptos Narrow"/>
        <scheme val="minor"/>
      </rPr>
      <t xml:space="preserve"> "LoanId":</t>
    </r>
    <r>
      <rPr>
        <sz val="12"/>
        <color rgb="FF000000"/>
        <rFont val="Aptos Narrow"/>
        <scheme val="minor"/>
      </rPr>
      <t xml:space="preserve"> {{Customer's LoanId}}</t>
    </r>
  </si>
  <si>
    <r>
      <rPr>
        <sz val="12"/>
        <color rgb="FF000000"/>
        <rFont val="Aptos Narrow"/>
        <scheme val="minor"/>
      </rPr>
      <t xml:space="preserve">            "Amount": {
                "Amount":</t>
    </r>
    <r>
      <rPr>
        <b/>
        <sz val="12"/>
        <color rgb="FFC00000"/>
        <rFont val="Aptos Narrow"/>
        <scheme val="minor"/>
      </rPr>
      <t xml:space="preserve"> {{Requested Amount, which you write in repayment field * 100}}</t>
    </r>
    <r>
      <rPr>
        <sz val="12"/>
        <color rgb="FF000000"/>
        <rFont val="Aptos Narrow"/>
        <scheme val="minor"/>
      </rPr>
      <t xml:space="preserve">,
                "CurrencyCode": "UZS"
            }
</t>
    </r>
  </si>
  <si>
    <r>
      <rPr>
        <b/>
        <sz val="12"/>
        <color rgb="FF000000"/>
        <rFont val="Aptos Narrow"/>
        <scheme val="minor"/>
      </rPr>
      <t xml:space="preserve">    "paidFees": </t>
    </r>
    <r>
      <rPr>
        <sz val="12"/>
        <color rgb="FF000000"/>
        <rFont val="Aptos Narrow"/>
        <scheme val="minor"/>
      </rPr>
      <t>{{For this case 0}}</t>
    </r>
  </si>
  <si>
    <r>
      <rPr>
        <b/>
        <sz val="12"/>
        <color rgb="FF000000"/>
        <rFont val="Aptos Narrow"/>
        <scheme val="minor"/>
      </rPr>
      <t xml:space="preserve">    "paidInterest": </t>
    </r>
    <r>
      <rPr>
        <sz val="12"/>
        <color rgb="FF000000"/>
        <rFont val="Aptos Narrow"/>
        <scheme val="minor"/>
      </rPr>
      <t>{{For this case 0}}</t>
    </r>
  </si>
  <si>
    <r>
      <rPr>
        <b/>
        <sz val="12"/>
        <color rgb="FF000000"/>
        <rFont val="Aptos Narrow"/>
        <scheme val="minor"/>
      </rPr>
      <t xml:space="preserve">    "paidOverDueInterest":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t>
    </r>
  </si>
  <si>
    <r>
      <rPr>
        <b/>
        <sz val="12"/>
        <color rgb="FF000000"/>
        <rFont val="Aptos Narrow"/>
        <scheme val="minor"/>
      </rPr>
      <t xml:space="preserve">    "paidOverDuePrincipal"</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Repay Formula}}</t>
    </r>
  </si>
  <si>
    <r>
      <rPr>
        <b/>
        <sz val="12"/>
        <color rgb="FF000000"/>
        <rFont val="Aptos Narrow"/>
        <scheme val="minor"/>
      </rPr>
      <t xml:space="preserve">    "paidPenalty"</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Repay Formula}}</t>
    </r>
  </si>
  <si>
    <t xml:space="preserve">    "paidPrincipal": {{For this case 0}}</t>
  </si>
  <si>
    <r>
      <rPr>
        <b/>
        <sz val="12"/>
        <color rgb="FF000000"/>
        <rFont val="Aptos Narrow"/>
        <scheme val="minor"/>
      </rPr>
      <t xml:space="preserve">    "repaymentAmount"</t>
    </r>
    <r>
      <rPr>
        <sz val="12"/>
        <color rgb="FF000000"/>
        <rFont val="Aptos Narrow"/>
        <scheme val="minor"/>
      </rPr>
      <t>: {{Requested Amount, which you write in repayment field}}</t>
    </r>
  </si>
  <si>
    <r>
      <rPr>
        <b/>
        <sz val="12"/>
        <color rgb="FF000000"/>
        <rFont val="Aptos Narrow"/>
        <scheme val="minor"/>
      </rPr>
      <t xml:space="preserve">"requestedRepaymentAmount": </t>
    </r>
    <r>
      <rPr>
        <sz val="12"/>
        <color rgb="FF000000"/>
        <rFont val="Aptos Narrow"/>
        <scheme val="minor"/>
      </rPr>
      <t xml:space="preserve"> {{Requested Amount, which you write in repayment field}}</t>
    </r>
  </si>
  <si>
    <t>Transaction Check:</t>
  </si>
  <si>
    <t>"type": "memorial order"</t>
  </si>
  <si>
    <r>
      <rPr>
        <b/>
        <sz val="11"/>
        <color rgb="FFC00000"/>
        <rFont val="Aptos Narrow"/>
        <scheme val="minor"/>
      </rPr>
      <t>Note</t>
    </r>
    <r>
      <rPr>
        <b/>
        <sz val="11"/>
        <color rgb="FF000000"/>
        <rFont val="Aptos Narrow"/>
        <scheme val="minor"/>
      </rPr>
      <t>: Sender Account depends with which account or card you ar paying, so write "P" in the field, with which you made repayment: If you Pay with Current account, write P in Current account field and leave Humo Card and UZ card Empty</t>
    </r>
  </si>
  <si>
    <r>
      <rPr>
        <b/>
        <sz val="11"/>
        <color rgb="FF000000"/>
        <rFont val="Aptos Narrow"/>
        <scheme val="minor"/>
      </rPr>
      <t xml:space="preserve">            "sender": {
                "accountNumber":</t>
    </r>
    <r>
      <rPr>
        <sz val="11"/>
        <color rgb="FF000000"/>
        <rFont val="Aptos Narrow"/>
        <scheme val="minor"/>
      </rPr>
      <t xml:space="preserve"> value should be  customers</t>
    </r>
    <r>
      <rPr>
        <b/>
        <sz val="11"/>
        <color rgb="FFFF0000"/>
        <rFont val="Aptos Narrow"/>
        <scheme val="minor"/>
      </rPr>
      <t xml:space="preserve"> Current Iban account</t>
    </r>
    <r>
      <rPr>
        <sz val="11"/>
        <color rgb="FF000000"/>
        <rFont val="Aptos Narrow"/>
        <scheme val="minor"/>
      </rPr>
      <t xml:space="preserve"> </t>
    </r>
  </si>
  <si>
    <t>If you Pay from TBC Physical, HUMO Digital or Other Attached Humo Card:</t>
  </si>
  <si>
    <r>
      <rPr>
        <b/>
        <sz val="11"/>
        <color rgb="FF000000"/>
        <rFont val="Aptos Narrow"/>
        <scheme val="minor"/>
      </rPr>
      <t xml:space="preserve">            "sender": {
                "accountNumber":</t>
    </r>
    <r>
      <rPr>
        <sz val="11"/>
        <color rgb="FF000000"/>
        <rFont val="Aptos Narrow"/>
        <scheme val="minor"/>
      </rPr>
      <t xml:space="preserve"> value should be </t>
    </r>
    <r>
      <rPr>
        <b/>
        <sz val="11"/>
        <color rgb="FFFF0000"/>
        <rFont val="Aptos Narrow"/>
        <scheme val="minor"/>
      </rPr>
      <t>plasticCardDebitOpsTransitAcc</t>
    </r>
    <r>
      <rPr>
        <sz val="11"/>
        <color rgb="FF000000"/>
        <rFont val="Aptos Narrow"/>
        <scheme val="minor"/>
      </rPr>
      <t xml:space="preserve"> from General Ledger </t>
    </r>
    <r>
      <rPr>
        <b/>
        <sz val="11"/>
        <color rgb="FF000000"/>
        <rFont val="Aptos Narrow"/>
        <scheme val="minor"/>
      </rPr>
      <t>17409000600001180402</t>
    </r>
  </si>
  <si>
    <t>_</t>
  </si>
  <si>
    <t>If you Pay from UZ Card:</t>
  </si>
  <si>
    <r>
      <rPr>
        <b/>
        <sz val="11"/>
        <color rgb="FF000000"/>
        <rFont val="Aptos Narrow"/>
        <scheme val="minor"/>
      </rPr>
      <t xml:space="preserve">            "sender": {
                "accountNumber":</t>
    </r>
    <r>
      <rPr>
        <sz val="11"/>
        <color rgb="FF000000"/>
        <rFont val="Aptos Narrow"/>
        <scheme val="minor"/>
      </rPr>
      <t xml:space="preserve"> value should be </t>
    </r>
    <r>
      <rPr>
        <b/>
        <sz val="11"/>
        <color rgb="FFFF0000"/>
        <rFont val="Aptos Narrow"/>
        <scheme val="minor"/>
      </rPr>
      <t>UZCardDebitOpsTransitAcc</t>
    </r>
    <r>
      <rPr>
        <sz val="11"/>
        <color rgb="FF000000"/>
        <rFont val="Aptos Narrow"/>
        <scheme val="minor"/>
      </rPr>
      <t xml:space="preserve"> from General Ledger </t>
    </r>
    <r>
      <rPr>
        <b/>
        <sz val="11"/>
        <color rgb="FF000000"/>
        <rFont val="Aptos Narrow"/>
        <scheme val="minor"/>
      </rPr>
      <t>17409000400001180001</t>
    </r>
  </si>
  <si>
    <r>
      <rPr>
        <sz val="11"/>
        <color rgb="FF000000"/>
        <rFont val="Aptos Narrow"/>
        <scheme val="minor"/>
      </rPr>
      <t xml:space="preserve">          </t>
    </r>
    <r>
      <rPr>
        <b/>
        <sz val="11"/>
        <color rgb="FF000000"/>
        <rFont val="Aptos Narrow"/>
        <scheme val="minor"/>
      </rPr>
      <t xml:space="preserve">  "recipient": {
                "branchId": "01180",
                "accountNumber": </t>
    </r>
    <r>
      <rPr>
        <sz val="11"/>
        <color rgb="FF000000"/>
        <rFont val="Aptos Narrow"/>
        <scheme val="minor"/>
      </rPr>
      <t xml:space="preserve"> value should be Customer`s Loan`s </t>
    </r>
    <r>
      <rPr>
        <b/>
        <u val="double"/>
        <sz val="11"/>
        <color rgb="FFFF0000"/>
        <rFont val="Aptos Narrow"/>
        <scheme val="minor"/>
      </rPr>
      <t xml:space="preserve">Settlement Account </t>
    </r>
    <r>
      <rPr>
        <sz val="11"/>
        <color rgb="FF000000"/>
        <rFont val="Aptos Narrow"/>
        <scheme val="minor"/>
      </rPr>
      <t>from Mambu</t>
    </r>
  </si>
  <si>
    <r>
      <t xml:space="preserve"> </t>
    </r>
    <r>
      <rPr>
        <b/>
        <sz val="11"/>
        <color rgb="FF000000"/>
        <rFont val="Aptos Narrow"/>
        <family val="2"/>
        <scheme val="minor"/>
      </rPr>
      <t>"name"</t>
    </r>
    <r>
      <rPr>
        <sz val="11"/>
        <color rgb="FF000000"/>
        <rFont val="Aptos Narrow"/>
        <family val="2"/>
        <scheme val="minor"/>
      </rPr>
      <t>: Customers Full Name</t>
    </r>
  </si>
  <si>
    <r>
      <rPr>
        <b/>
        <sz val="11"/>
        <color rgb="FF000000"/>
        <rFont val="Aptos Narrow"/>
        <scheme val="minor"/>
      </rPr>
      <t xml:space="preserve">"purposeOrCashSymbol": {
                "code": </t>
    </r>
    <r>
      <rPr>
        <sz val="11"/>
        <color rgb="FF000000"/>
        <rFont val="Aptos Narrow"/>
        <scheme val="minor"/>
      </rPr>
      <t>"01008"</t>
    </r>
  </si>
  <si>
    <r>
      <rPr>
        <b/>
        <sz val="11"/>
        <color rgb="FF000000"/>
        <rFont val="Aptos Narrow"/>
        <scheme val="minor"/>
      </rPr>
      <t xml:space="preserve">"name": </t>
    </r>
    <r>
      <rPr>
        <sz val="11"/>
        <color rgb="FF000000"/>
        <rFont val="Aptos Narrow"/>
        <scheme val="minor"/>
      </rPr>
      <t>Зачисление средств на погашение кредита по кред.дог№</t>
    </r>
    <r>
      <rPr>
        <b/>
        <sz val="11"/>
        <color rgb="FFFF0000"/>
        <rFont val="Aptos Narrow"/>
        <scheme val="minor"/>
      </rPr>
      <t>{{LoanID}}</t>
    </r>
    <r>
      <rPr>
        <sz val="11"/>
        <color rgb="FFFF0000"/>
        <rFont val="Aptos Narrow"/>
        <scheme val="minor"/>
      </rPr>
      <t xml:space="preserve"> </t>
    </r>
    <r>
      <rPr>
        <sz val="11"/>
        <color rgb="FF000000"/>
        <rFont val="Aptos Narrow"/>
        <scheme val="minor"/>
      </rPr>
      <t>От</t>
    </r>
    <r>
      <rPr>
        <sz val="11"/>
        <color rgb="FFFF0000"/>
        <rFont val="Aptos Narrow"/>
        <scheme val="minor"/>
      </rPr>
      <t xml:space="preserve"> </t>
    </r>
    <r>
      <rPr>
        <b/>
        <sz val="11"/>
        <color rgb="FFFF0000"/>
        <rFont val="Aptos Narrow"/>
        <scheme val="minor"/>
      </rPr>
      <t>{{Customer Full Name}}</t>
    </r>
  </si>
  <si>
    <r>
      <rPr>
        <b/>
        <sz val="11"/>
        <color rgb="FF000000"/>
        <rFont val="Aptos Narrow"/>
        <family val="2"/>
        <scheme val="minor"/>
      </rPr>
      <t>"chargeFees":</t>
    </r>
    <r>
      <rPr>
        <sz val="11"/>
        <color rgb="FF000000"/>
        <rFont val="Aptos Narrow"/>
        <family val="2"/>
        <scheme val="minor"/>
      </rPr>
      <t xml:space="preserve"> false</t>
    </r>
  </si>
  <si>
    <r>
      <rPr>
        <sz val="11"/>
        <color rgb="FF000000"/>
        <rFont val="Aptos Narrow"/>
        <scheme val="minor"/>
      </rPr>
      <t>"</t>
    </r>
    <r>
      <rPr>
        <b/>
        <sz val="11"/>
        <color rgb="FF000000"/>
        <rFont val="Aptos Narrow"/>
        <scheme val="minor"/>
      </rPr>
      <t>amount</t>
    </r>
    <r>
      <rPr>
        <sz val="11"/>
        <color rgb="FF000000"/>
        <rFont val="Aptos Narrow"/>
        <scheme val="minor"/>
      </rPr>
      <t xml:space="preserve">": {{Amount  which customer paid </t>
    </r>
    <r>
      <rPr>
        <b/>
        <sz val="11"/>
        <color rgb="FF000000"/>
        <rFont val="Aptos Narrow"/>
        <scheme val="minor"/>
      </rPr>
      <t>Repayment}}</t>
    </r>
  </si>
  <si>
    <t>Transaction 2:</t>
  </si>
  <si>
    <r>
      <rPr>
        <b/>
        <sz val="11"/>
        <color rgb="FF000000"/>
        <rFont val="Aptos Narrow"/>
        <scheme val="minor"/>
      </rPr>
      <t xml:space="preserve">            "sender": {
                "accountNumber":</t>
    </r>
    <r>
      <rPr>
        <sz val="11"/>
        <color rgb="FF000000"/>
        <rFont val="Aptos Narrow"/>
        <scheme val="minor"/>
      </rPr>
      <t xml:space="preserve"> value should be Customer`s Loan`s </t>
    </r>
    <r>
      <rPr>
        <b/>
        <sz val="11"/>
        <color rgb="FFFF0000"/>
        <rFont val="Aptos Narrow"/>
        <scheme val="minor"/>
      </rPr>
      <t>Settlement Account</t>
    </r>
    <r>
      <rPr>
        <sz val="11"/>
        <color rgb="FF000000"/>
        <rFont val="Aptos Narrow"/>
        <scheme val="minor"/>
      </rPr>
      <t xml:space="preserve"> from Mambu </t>
    </r>
  </si>
  <si>
    <r>
      <rPr>
        <sz val="11"/>
        <color rgb="FF000000"/>
        <rFont val="Aptos Narrow"/>
        <scheme val="minor"/>
      </rPr>
      <t xml:space="preserve">          </t>
    </r>
    <r>
      <rPr>
        <b/>
        <sz val="11"/>
        <color rgb="FF000000"/>
        <rFont val="Aptos Narrow"/>
        <scheme val="minor"/>
      </rPr>
      <t xml:space="preserve">  "recipient": {
                "branchId": "01180",
                "accountNumber": </t>
    </r>
    <r>
      <rPr>
        <sz val="11"/>
        <color rgb="FF000000"/>
        <rFont val="Aptos Narrow"/>
        <scheme val="minor"/>
      </rPr>
      <t xml:space="preserve"> value should be Loan`s </t>
    </r>
    <r>
      <rPr>
        <b/>
        <u val="double"/>
        <sz val="11"/>
        <color rgb="FFFF0000"/>
        <rFont val="Aptos Narrow"/>
        <scheme val="minor"/>
      </rPr>
      <t>Penalty Accrual Account</t>
    </r>
    <r>
      <rPr>
        <b/>
        <u/>
        <sz val="11"/>
        <color rgb="FFFF0000"/>
        <rFont val="Aptos Narrow"/>
        <scheme val="minor"/>
      </rPr>
      <t xml:space="preserve"> </t>
    </r>
    <r>
      <rPr>
        <b/>
        <u val="double"/>
        <sz val="11"/>
        <color rgb="FFFF0000"/>
        <rFont val="Aptos Narrow"/>
        <scheme val="minor"/>
      </rPr>
      <t xml:space="preserve"> </t>
    </r>
    <r>
      <rPr>
        <sz val="11"/>
        <color rgb="FF000000"/>
        <rFont val="Aptos Narrow"/>
        <scheme val="minor"/>
      </rPr>
      <t>from Mambu</t>
    </r>
  </si>
  <si>
    <r>
      <rPr>
        <b/>
        <sz val="11"/>
        <color rgb="FF000000"/>
        <rFont val="Aptos Narrow"/>
        <scheme val="minor"/>
      </rPr>
      <t xml:space="preserve">"purposeOrCashSymbol": {
                "code": </t>
    </r>
    <r>
      <rPr>
        <sz val="11"/>
        <color rgb="FF000000"/>
        <rFont val="Aptos Narrow"/>
        <scheme val="minor"/>
      </rPr>
      <t>"01019"</t>
    </r>
  </si>
  <si>
    <r>
      <rPr>
        <b/>
        <sz val="11"/>
        <color rgb="FF000000"/>
        <rFont val="Aptos Narrow"/>
        <scheme val="minor"/>
      </rPr>
      <t xml:space="preserve">"name": </t>
    </r>
    <r>
      <rPr>
        <sz val="11"/>
        <color rgb="FF000000"/>
        <rFont val="Aptos Narrow"/>
        <scheme val="minor"/>
      </rPr>
      <t>Погашение % по просроченной задолжености по кредитному договору №</t>
    </r>
    <r>
      <rPr>
        <b/>
        <sz val="11"/>
        <color rgb="FFFF0000"/>
        <rFont val="Aptos Narrow"/>
        <scheme val="minor"/>
      </rPr>
      <t>{{LoanId Value}}</t>
    </r>
    <r>
      <rPr>
        <sz val="11"/>
        <color rgb="FFFF0000"/>
        <rFont val="Aptos Narrow"/>
        <scheme val="minor"/>
      </rPr>
      <t xml:space="preserve"> </t>
    </r>
    <r>
      <rPr>
        <b/>
        <sz val="11"/>
        <color rgb="FF000000"/>
        <rFont val="Aptos Narrow"/>
        <scheme val="minor"/>
      </rPr>
      <t xml:space="preserve">от </t>
    </r>
    <r>
      <rPr>
        <b/>
        <sz val="11"/>
        <color rgb="FFFF0000"/>
        <rFont val="Aptos Narrow"/>
        <scheme val="minor"/>
      </rPr>
      <t>{{DisbursementDate for loan: can be seen in Mambu General fields: Activation date}}</t>
    </r>
  </si>
  <si>
    <r>
      <rPr>
        <sz val="11"/>
        <color rgb="FF000000"/>
        <rFont val="Aptos Narrow"/>
        <scheme val="minor"/>
      </rPr>
      <t>"</t>
    </r>
    <r>
      <rPr>
        <b/>
        <sz val="11"/>
        <color rgb="FF000000"/>
        <rFont val="Aptos Narrow"/>
        <scheme val="minor"/>
      </rPr>
      <t>amount</t>
    </r>
    <r>
      <rPr>
        <sz val="11"/>
        <color rgb="FF000000"/>
        <rFont val="Aptos Narrow"/>
        <scheme val="minor"/>
      </rPr>
      <t>": {{Amount for Penalty Calculated with Repay Formula}}</t>
    </r>
  </si>
  <si>
    <t>Transaction 3:</t>
  </si>
  <si>
    <r>
      <rPr>
        <sz val="11"/>
        <color rgb="FF000000"/>
        <rFont val="Aptos Narrow"/>
        <scheme val="minor"/>
      </rPr>
      <t xml:space="preserve">          </t>
    </r>
    <r>
      <rPr>
        <b/>
        <sz val="11"/>
        <color rgb="FF000000"/>
        <rFont val="Aptos Narrow"/>
        <scheme val="minor"/>
      </rPr>
      <t xml:space="preserve">  "recipient": {
                "branchId": "01180",
                "accountNumber": </t>
    </r>
    <r>
      <rPr>
        <sz val="11"/>
        <color rgb="FF000000"/>
        <rFont val="Aptos Narrow"/>
        <scheme val="minor"/>
      </rPr>
      <t xml:space="preserve"> value should be Loan`s </t>
    </r>
    <r>
      <rPr>
        <b/>
        <u val="double"/>
        <sz val="11"/>
        <color rgb="FFFF0000"/>
        <rFont val="Aptos Narrow"/>
        <scheme val="minor"/>
      </rPr>
      <t xml:space="preserve">Overdue Accrued Interest Account </t>
    </r>
    <r>
      <rPr>
        <sz val="11"/>
        <color rgb="FF000000"/>
        <rFont val="Aptos Narrow"/>
        <scheme val="minor"/>
      </rPr>
      <t>from Mambu</t>
    </r>
  </si>
  <si>
    <r>
      <rPr>
        <b/>
        <sz val="11"/>
        <color rgb="FF000000"/>
        <rFont val="Aptos Narrow"/>
        <scheme val="minor"/>
      </rPr>
      <t xml:space="preserve">"purposeOrCashSymbol": {
                "code": </t>
    </r>
    <r>
      <rPr>
        <sz val="11"/>
        <color rgb="FF000000"/>
        <rFont val="Aptos Narrow"/>
        <scheme val="minor"/>
      </rPr>
      <t>""01019"</t>
    </r>
  </si>
  <si>
    <r>
      <rPr>
        <b/>
        <sz val="11"/>
        <color rgb="FF000000"/>
        <rFont val="Aptos Narrow"/>
        <scheme val="minor"/>
      </rPr>
      <t xml:space="preserve">"name": </t>
    </r>
    <r>
      <rPr>
        <sz val="11"/>
        <color rgb="FF000000"/>
        <rFont val="Aptos Narrow"/>
        <scheme val="minor"/>
      </rPr>
      <t>Погашение просроченных процентов по кредитному договору №</t>
    </r>
    <r>
      <rPr>
        <b/>
        <sz val="11"/>
        <color rgb="FFFF0000"/>
        <rFont val="Aptos Narrow"/>
        <scheme val="minor"/>
      </rPr>
      <t xml:space="preserve">{{LoanId Value}} </t>
    </r>
    <r>
      <rPr>
        <sz val="11"/>
        <color rgb="FF000000"/>
        <rFont val="Aptos Narrow"/>
        <scheme val="minor"/>
      </rPr>
      <t>от</t>
    </r>
    <r>
      <rPr>
        <b/>
        <sz val="11"/>
        <color rgb="FFFF0000"/>
        <rFont val="Aptos Narrow"/>
        <scheme val="minor"/>
      </rPr>
      <t xml:space="preserve"> {{DisbursementDate for loan: can be seen in Mambu General fields: Activation date}}</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</si>
  <si>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Overdue Interest</t>
    </r>
    <r>
      <rPr>
        <sz val="11"/>
        <color rgb="FF000000"/>
        <rFont val="Aptos Narrow"/>
        <scheme val="minor"/>
      </rPr>
      <t xml:space="preserve"> Calculated with Repay Formula}}</t>
    </r>
  </si>
  <si>
    <t>Transaction 4:</t>
  </si>
  <si>
    <r>
      <rPr>
        <sz val="11"/>
        <color rgb="FF000000"/>
        <rFont val="Aptos Narrow"/>
        <scheme val="minor"/>
      </rPr>
      <t xml:space="preserve">          </t>
    </r>
    <r>
      <rPr>
        <b/>
        <sz val="11"/>
        <color rgb="FF000000"/>
        <rFont val="Aptos Narrow"/>
        <scheme val="minor"/>
      </rPr>
      <t xml:space="preserve">  "recipient": {
                "branchId": "01180",
                "accountNumber": </t>
    </r>
    <r>
      <rPr>
        <sz val="11"/>
        <color rgb="FF000000"/>
        <rFont val="Aptos Narrow"/>
        <scheme val="minor"/>
      </rPr>
      <t xml:space="preserve"> value should be Loan`s </t>
    </r>
    <r>
      <rPr>
        <b/>
        <sz val="11"/>
        <color rgb="FFFF0000"/>
        <rFont val="Aptos Narrow"/>
        <scheme val="minor"/>
      </rPr>
      <t>Overdue Principal Account</t>
    </r>
    <r>
      <rPr>
        <b/>
        <u val="double"/>
        <sz val="11"/>
        <color rgb="FFFF0000"/>
        <rFont val="Aptos Narrow"/>
        <scheme val="minor"/>
      </rPr>
      <t xml:space="preserve"> </t>
    </r>
    <r>
      <rPr>
        <sz val="11"/>
        <color rgb="FF000000"/>
        <rFont val="Aptos Narrow"/>
        <scheme val="minor"/>
      </rPr>
      <t>from Mambu</t>
    </r>
  </si>
  <si>
    <r>
      <rPr>
        <b/>
        <sz val="11"/>
        <color rgb="FF000000"/>
        <rFont val="Aptos Narrow"/>
        <scheme val="minor"/>
      </rPr>
      <t xml:space="preserve">"name": </t>
    </r>
    <r>
      <rPr>
        <sz val="11"/>
        <color rgb="FF000000"/>
        <rFont val="Aptos Narrow"/>
        <scheme val="minor"/>
      </rPr>
      <t>Погашение просроченного долга по кредитному договору №</t>
    </r>
    <r>
      <rPr>
        <b/>
        <sz val="11"/>
        <color rgb="FFFF0000"/>
        <rFont val="Aptos Narrow"/>
        <scheme val="minor"/>
      </rPr>
      <t xml:space="preserve">{{LoanId Value}} </t>
    </r>
    <r>
      <rPr>
        <sz val="11"/>
        <color rgb="FF000000"/>
        <rFont val="Aptos Narrow"/>
        <scheme val="minor"/>
      </rPr>
      <t>от</t>
    </r>
    <r>
      <rPr>
        <b/>
        <sz val="11"/>
        <color rgb="FF000000"/>
        <rFont val="Aptos Narrow"/>
        <scheme val="minor"/>
      </rPr>
      <t xml:space="preserve"> </t>
    </r>
    <r>
      <rPr>
        <b/>
        <sz val="11"/>
        <color rgb="FFFF0000"/>
        <rFont val="Aptos Narrow"/>
        <scheme val="minor"/>
      </rPr>
      <t>{{DisbursementDate for loan: can be seen in Mambu General fields: Activation date}}</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</si>
  <si>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Overdue Principal</t>
    </r>
    <r>
      <rPr>
        <sz val="11"/>
        <color rgb="FF000000"/>
        <rFont val="Aptos Narrow"/>
        <scheme val="minor"/>
      </rPr>
      <t xml:space="preserve"> Calculated with Repay Formula}}</t>
    </r>
  </si>
  <si>
    <r>
      <rPr>
        <b/>
        <sz val="12"/>
        <color rgb="FF000000"/>
        <rFont val="Calibri"/>
        <family val="2"/>
      </rPr>
      <t xml:space="preserve">Create Operation - iABS (internal) Success Log </t>
    </r>
    <r>
      <rPr>
        <sz val="12"/>
        <color rgb="FFC00000"/>
        <rFont val="Calibri"/>
        <family val="2"/>
      </rPr>
      <t xml:space="preserve">(Note: Only check, if repayment is made with Card) </t>
    </r>
    <r>
      <rPr>
        <b/>
        <sz val="12"/>
        <color rgb="FF000000"/>
        <rFont val="Calibri"/>
        <family val="2"/>
      </rPr>
      <t>https://devzoid.spacebank.ge/process/7925/diagram/64101668ad012537a83ae498/archive</t>
    </r>
  </si>
  <si>
    <r>
      <rPr>
        <sz val="11"/>
        <color rgb="FF000000"/>
        <rFont val="Aptos Narrow"/>
        <scheme val="minor"/>
      </rPr>
      <t>"amount": {
        "</t>
    </r>
    <r>
      <rPr>
        <b/>
        <sz val="11"/>
        <color rgb="FF000000"/>
        <rFont val="Aptos Narrow"/>
        <scheme val="minor"/>
      </rPr>
      <t>amount</t>
    </r>
    <r>
      <rPr>
        <sz val="11"/>
        <color rgb="FF000000"/>
        <rFont val="Aptos Narrow"/>
        <scheme val="minor"/>
      </rPr>
      <t xml:space="preserve">": </t>
    </r>
    <r>
      <rPr>
        <b/>
        <sz val="11"/>
        <color rgb="FFFF0000"/>
        <rFont val="Aptos Narrow"/>
        <scheme val="minor"/>
      </rPr>
      <t>{{Value should be Amount, which Customer Paid  with Loan Repayment Field}}</t>
    </r>
    <r>
      <rPr>
        <sz val="11"/>
        <color rgb="FF000000"/>
        <rFont val="Aptos Narrow"/>
        <scheme val="minor"/>
      </rPr>
      <t xml:space="preserve"> ,
        "currencyCode": "UZS"
    },</t>
    </r>
  </si>
  <si>
    <r>
      <rPr>
        <sz val="11"/>
        <color rgb="FF000000"/>
        <rFont val="Aptos Narrow"/>
        <scheme val="minor"/>
      </rPr>
      <t xml:space="preserve">    "amountInTetri": {
  </t>
    </r>
    <r>
      <rPr>
        <b/>
        <sz val="11"/>
        <color rgb="FF000000"/>
        <rFont val="Aptos Narrow"/>
        <scheme val="minor"/>
      </rPr>
      <t xml:space="preserve">      "amount": </t>
    </r>
    <r>
      <rPr>
        <b/>
        <sz val="11"/>
        <color rgb="FFFF0000"/>
        <rFont val="Aptos Narrow"/>
        <scheme val="minor"/>
      </rPr>
      <t>{{(Value should be Amount, which Customer Paid with Loan Repayment field) * 100}}</t>
    </r>
    <r>
      <rPr>
        <sz val="11"/>
        <color rgb="FF000000"/>
        <rFont val="Aptos Narrow"/>
        <scheme val="minor"/>
      </rPr>
      <t>,
        "currencyCode": "UZS"
    },</t>
    </r>
  </si>
  <si>
    <r>
      <rPr>
        <b/>
        <sz val="11"/>
        <color rgb="FF000000"/>
        <rFont val="Aptos Narrow"/>
        <scheme val="minor"/>
      </rPr>
      <t>"userId":</t>
    </r>
    <r>
      <rPr>
        <sz val="11"/>
        <color rgb="FF000000"/>
        <rFont val="Aptos Narrow"/>
        <scheme val="minor"/>
      </rPr>
      <t xml:space="preserve"> {{Customer's Userd}}</t>
    </r>
  </si>
  <si>
    <r>
      <rPr>
        <b/>
        <sz val="11"/>
        <color rgb="FF000000"/>
        <rFont val="Aptos Narrow"/>
        <scheme val="minor"/>
      </rPr>
      <t>"xCorrelationId"</t>
    </r>
    <r>
      <rPr>
        <sz val="11"/>
        <color rgb="FF000000"/>
        <rFont val="Aptos Narrow"/>
        <scheme val="minor"/>
      </rPr>
      <t xml:space="preserve">: Check, that "xCorrelationId" value from Create Operation - iABS (internal) is the same as "xCorrelationId" value from </t>
    </r>
    <r>
      <rPr>
        <b/>
        <sz val="11"/>
        <color rgb="FF000000"/>
        <rFont val="Aptos Narrow"/>
        <scheme val="minor"/>
      </rPr>
      <t>Repay</t>
    </r>
    <r>
      <rPr>
        <sz val="11"/>
        <color rgb="FF000000"/>
        <rFont val="Aptos Narrow"/>
        <scheme val="minor"/>
      </rPr>
      <t xml:space="preserve"> Success Log </t>
    </r>
  </si>
  <si>
    <t>Repay loan - Mambu v2 Success LOG checks:</t>
  </si>
  <si>
    <t>"accountBalances": {</t>
  </si>
  <si>
    <r>
      <rPr>
        <b/>
        <sz val="12"/>
        <color rgb="FF000000"/>
        <rFont val="Aptos Narrow"/>
        <scheme val="minor"/>
      </rPr>
      <t>"totalBalance":</t>
    </r>
    <r>
      <rPr>
        <sz val="12"/>
        <color rgb="FF000000"/>
        <rFont val="Aptos Narrow"/>
        <scheme val="minor"/>
      </rPr>
      <t xml:space="preserve"> {{Value should be </t>
    </r>
    <r>
      <rPr>
        <b/>
        <sz val="12"/>
        <color rgb="FF000000"/>
        <rFont val="Aptos Narrow"/>
        <scheme val="minor"/>
      </rPr>
      <t>Total Balance</t>
    </r>
    <r>
      <rPr>
        <sz val="12"/>
        <color rgb="FF000000"/>
        <rFont val="Aptos Narrow"/>
        <scheme val="minor"/>
      </rPr>
      <t xml:space="preserve"> value from Mambu after repayment: refresh Mambu}}</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</si>
  <si>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Mambu after repayment: refresh Mambu}}</t>
    </r>
  </si>
  <si>
    <r>
      <rPr>
        <b/>
        <sz val="12"/>
        <color rgb="FF000000"/>
        <rFont val="Aptos Narrow"/>
        <scheme val="minor"/>
      </rPr>
      <t>"principalBalance":</t>
    </r>
    <r>
      <rPr>
        <sz val="12"/>
        <color rgb="FF000000"/>
        <rFont val="Aptos Narrow"/>
        <scheme val="minor"/>
      </rPr>
      <t xml:space="preserve">  {{Value should be </t>
    </r>
    <r>
      <rPr>
        <b/>
        <sz val="12"/>
        <color rgb="FF000000"/>
        <rFont val="Aptos Narrow"/>
        <scheme val="minor"/>
      </rPr>
      <t>Principal Balance</t>
    </r>
    <r>
      <rPr>
        <sz val="12"/>
        <color rgb="FF000000"/>
        <rFont val="Aptos Narrow"/>
        <scheme val="minor"/>
      </rPr>
      <t xml:space="preserve"> value from Mambu after repayment: refresh Mambu}}</t>
    </r>
  </si>
  <si>
    <t>"affectedAmounts": {</t>
  </si>
  <si>
    <r>
      <rPr>
        <b/>
        <sz val="12"/>
        <color rgb="FF000000"/>
        <rFont val="Aptos Narrow"/>
        <scheme val="minor"/>
      </rPr>
      <t>"principalAmount":</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Repay Formula}}</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</si>
  <si>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t>
    </r>
  </si>
  <si>
    <r>
      <rPr>
        <b/>
        <sz val="12"/>
        <color rgb="FF000000"/>
        <rFont val="Aptos Narrow"/>
        <scheme val="minor"/>
      </rPr>
      <t xml:space="preserve">"feesAmount": </t>
    </r>
    <r>
      <rPr>
        <b/>
        <sz val="12"/>
        <color rgb="FFC00000"/>
        <rFont val="Aptos Narrow"/>
        <scheme val="minor"/>
      </rPr>
      <t>For this case must be 0</t>
    </r>
  </si>
  <si>
    <r>
      <rPr>
        <b/>
        <sz val="12"/>
        <color rgb="FF000000"/>
        <rFont val="Aptos Narrow"/>
        <scheme val="minor"/>
      </rPr>
      <t>"penaltyAmount":</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Repay Formula}}</t>
    </r>
  </si>
  <si>
    <r>
      <rPr>
        <b/>
        <sz val="12"/>
        <color rgb="FF000000"/>
        <rFont val="Aptos Narrow"/>
        <scheme val="minor"/>
      </rPr>
      <t xml:space="preserve">"amount": </t>
    </r>
    <r>
      <rPr>
        <sz val="12"/>
        <color rgb="FF000000"/>
        <rFont val="Aptos Narrow"/>
        <scheme val="minor"/>
      </rPr>
      <t xml:space="preserve"> {{Requested Amount, which you write in repayment field}}</t>
    </r>
  </si>
  <si>
    <t>"countryCode": "UZ"</t>
  </si>
  <si>
    <r>
      <rPr>
        <b/>
        <sz val="12"/>
        <color rgb="FF000000"/>
        <rFont val="Aptos Narrow"/>
        <scheme val="minor"/>
      </rPr>
      <t xml:space="preserve">    "id":</t>
    </r>
    <r>
      <rPr>
        <sz val="12"/>
        <color rgb="FF000000"/>
        <rFont val="Aptos Narrow"/>
        <scheme val="minor"/>
      </rPr>
      <t xml:space="preserve"> {{Customer's LoanId}}</t>
    </r>
  </si>
  <si>
    <r>
      <rPr>
        <b/>
        <sz val="12"/>
        <color rgb="FF000000"/>
        <rFont val="Aptos Narrow"/>
        <scheme val="minor"/>
      </rPr>
      <t xml:space="preserve">    "loanId": </t>
    </r>
    <r>
      <rPr>
        <sz val="12"/>
        <color rgb="FF000000"/>
        <rFont val="Aptos Narrow"/>
        <scheme val="minor"/>
      </rPr>
      <t>{{Customer's LoanId}}</t>
    </r>
  </si>
  <si>
    <r>
      <rPr>
        <b/>
        <sz val="12"/>
        <color rgb="FF000000"/>
        <rFont val="Aptos Narrow"/>
        <scheme val="minor"/>
      </rPr>
      <t>"userKey":</t>
    </r>
    <r>
      <rPr>
        <sz val="12"/>
        <color rgb="FF000000"/>
        <rFont val="Aptos Narrow"/>
        <scheme val="minor"/>
      </rPr>
      <t xml:space="preserve"> {{Customer's MambuCorrelationKey}}</t>
    </r>
  </si>
  <si>
    <t>"type": "REPAYMENT"</t>
  </si>
  <si>
    <t>Mambu Field Checks in Mambu:</t>
  </si>
  <si>
    <t>Dues:</t>
  </si>
  <si>
    <r>
      <rPr>
        <b/>
        <sz val="12"/>
        <color rgb="FF000000"/>
        <rFont val="Aptos Narrow"/>
        <scheme val="minor"/>
      </rPr>
      <t xml:space="preserve">Total Due: </t>
    </r>
    <r>
      <rPr>
        <sz val="12"/>
        <color rgb="FF000000"/>
        <rFont val="Aptos Narrow"/>
        <scheme val="minor"/>
      </rPr>
      <t xml:space="preserve">{{Value should </t>
    </r>
    <r>
      <rPr>
        <b/>
        <sz val="12"/>
        <color rgb="FF000000"/>
        <rFont val="Aptos Narrow"/>
        <scheme val="minor"/>
      </rPr>
      <t>Total Due</t>
    </r>
    <r>
      <rPr>
        <sz val="12"/>
        <color rgb="FF000000"/>
        <rFont val="Aptos Narrow"/>
        <scheme val="minor"/>
      </rPr>
      <t xml:space="preserve"> value after repayment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</si>
  <si>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Principal Balance: </t>
    </r>
    <r>
      <rPr>
        <sz val="12"/>
        <color rgb="FF000000"/>
        <rFont val="Aptos Narrow"/>
        <scheme val="minor"/>
      </rPr>
      <t xml:space="preserve">{{Value should </t>
    </r>
    <r>
      <rPr>
        <b/>
        <sz val="12"/>
        <color rgb="FF000000"/>
        <rFont val="Aptos Narrow"/>
        <scheme val="minor"/>
      </rPr>
      <t>Principal Balance</t>
    </r>
    <r>
      <rPr>
        <sz val="12"/>
        <color rgb="FF000000"/>
        <rFont val="Aptos Narrow"/>
        <scheme val="minor"/>
      </rPr>
      <t xml:space="preserve"> value after repayment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</si>
  <si>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Principal Due: </t>
    </r>
    <r>
      <rPr>
        <sz val="12"/>
        <color rgb="FF000000"/>
        <rFont val="Aptos Narrow"/>
        <scheme val="minor"/>
      </rPr>
      <t xml:space="preserve">{{Value should </t>
    </r>
    <r>
      <rPr>
        <b/>
        <sz val="12"/>
        <color rgb="FF000000"/>
        <rFont val="Aptos Narrow"/>
        <scheme val="minor"/>
      </rPr>
      <t>Principal Due</t>
    </r>
    <r>
      <rPr>
        <sz val="12"/>
        <color rgb="FF000000"/>
        <rFont val="Aptos Narrow"/>
        <scheme val="minor"/>
      </rPr>
      <t xml:space="preserve"> value after repayment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</si>
  <si>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Interest Due: </t>
    </r>
    <r>
      <rPr>
        <sz val="12"/>
        <color rgb="FF000000"/>
        <rFont val="Aptos Narrow"/>
        <scheme val="minor"/>
      </rPr>
      <t xml:space="preserve">{{Value should </t>
    </r>
    <r>
      <rPr>
        <b/>
        <sz val="12"/>
        <color rgb="FF000000"/>
        <rFont val="Aptos Narrow"/>
        <scheme val="minor"/>
      </rPr>
      <t>Interest Due</t>
    </r>
    <r>
      <rPr>
        <sz val="12"/>
        <color rgb="FF000000"/>
        <rFont val="Aptos Narrow"/>
        <scheme val="minor"/>
      </rPr>
      <t xml:space="preserve"> value after repayment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</si>
  <si>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Penalty Due: </t>
    </r>
    <r>
      <rPr>
        <sz val="12"/>
        <color rgb="FF000000"/>
        <rFont val="Aptos Narrow"/>
        <scheme val="minor"/>
      </rPr>
      <t xml:space="preserve">{{Value should </t>
    </r>
    <r>
      <rPr>
        <b/>
        <sz val="12"/>
        <color rgb="FF000000"/>
        <rFont val="Aptos Narrow"/>
        <scheme val="minor"/>
      </rPr>
      <t>Penalty Due</t>
    </r>
    <r>
      <rPr>
        <sz val="12"/>
        <color rgb="FF000000"/>
        <rFont val="Aptos Narrow"/>
        <scheme val="minor"/>
      </rPr>
      <t xml:space="preserve"> value after repayment calculated with </t>
    </r>
    <r>
      <rPr>
        <b/>
        <sz val="12"/>
        <color rgb="FF000000"/>
        <rFont val="Aptos Narrow"/>
        <scheme val="minor"/>
      </rPr>
      <t>Repay Formula</t>
    </r>
    <r>
      <rPr>
        <sz val="12"/>
        <color rgb="FF000000"/>
        <rFont val="Aptos Narrow"/>
        <scheme val="minor"/>
      </rPr>
      <t>}}</t>
    </r>
  </si>
  <si>
    <t>Paid:</t>
  </si>
  <si>
    <r>
      <rPr>
        <b/>
        <sz val="12"/>
        <color rgb="FF000000"/>
        <rFont val="Aptos Narrow"/>
        <scheme val="minor"/>
      </rPr>
      <t xml:space="preserve">Total Paid: </t>
    </r>
    <r>
      <rPr>
        <sz val="12"/>
        <color rgb="FF000000"/>
        <rFont val="Aptos Narrow"/>
        <scheme val="minor"/>
      </rPr>
      <t xml:space="preserve">{{Value should </t>
    </r>
    <r>
      <rPr>
        <b/>
        <sz val="12"/>
        <color rgb="FF000000"/>
        <rFont val="Aptos Narrow"/>
        <scheme val="minor"/>
      </rPr>
      <t>Total Paid amount, which customer entered in Loan Repayment Field</t>
    </r>
    <r>
      <rPr>
        <sz val="12"/>
        <color rgb="FF000000"/>
        <rFont val="Aptos Narrow"/>
        <scheme val="minor"/>
      </rPr>
      <t>}}</t>
    </r>
  </si>
  <si>
    <r>
      <rPr>
        <b/>
        <sz val="12"/>
        <color rgb="FF000000"/>
        <rFont val="Aptos Narrow"/>
        <scheme val="minor"/>
      </rPr>
      <t xml:space="preserve">Principal Paid: </t>
    </r>
    <r>
      <rPr>
        <sz val="12"/>
        <color rgb="FF000000"/>
        <rFont val="Aptos Narrow"/>
        <scheme val="minor"/>
      </rPr>
      <t xml:space="preserve">{{Value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</si>
  <si>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</si>
  <si>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Fees Paid: </t>
    </r>
    <r>
      <rPr>
        <sz val="12"/>
        <color rgb="FF000000"/>
        <rFont val="Aptos Narrow"/>
        <scheme val="minor"/>
      </rPr>
      <t>{{Value should be 0 for this case}}</t>
    </r>
  </si>
  <si>
    <r>
      <rPr>
        <b/>
        <sz val="12"/>
        <color rgb="FF000000"/>
        <rFont val="Aptos Narrow"/>
        <scheme val="minor"/>
      </rPr>
      <t xml:space="preserve">Penalty Paid: </t>
    </r>
    <r>
      <rPr>
        <sz val="12"/>
        <color rgb="FF000000"/>
        <rFont val="Aptos Narrow"/>
        <scheme val="minor"/>
      </rPr>
      <t xml:space="preserve">{{Value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</si>
  <si>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t>Application Part for History:</t>
  </si>
  <si>
    <t>Payment Transaction Details on Loan History Page: Go to Loan Manage Page =&gt; Press "Other" button =&gt; Choose "History"</t>
  </si>
  <si>
    <r>
      <rPr>
        <b/>
        <sz val="11"/>
        <color rgb="FF000000"/>
        <rFont val="Calibri"/>
        <family val="2"/>
      </rPr>
      <t>Transaction</t>
    </r>
    <r>
      <rPr>
        <sz val="11"/>
        <color rgb="FF000000"/>
        <rFont val="Calibri"/>
        <family val="2"/>
      </rPr>
      <t xml:space="preserve"> </t>
    </r>
    <r>
      <rPr>
        <b/>
        <sz val="11"/>
        <color rgb="FF000000"/>
        <rFont val="Calibri"/>
        <family val="2"/>
      </rPr>
      <t>Date in Header</t>
    </r>
    <r>
      <rPr>
        <sz val="11"/>
        <color rgb="FF000000"/>
        <rFont val="Calibri"/>
        <family val="2"/>
      </rPr>
      <t>: Current date</t>
    </r>
  </si>
  <si>
    <r>
      <rPr>
        <b/>
        <sz val="11"/>
        <color rgb="FF000000"/>
        <rFont val="Calibri"/>
        <family val="2"/>
      </rPr>
      <t xml:space="preserve">Transaction color </t>
    </r>
    <r>
      <rPr>
        <sz val="11"/>
        <color rgb="FF000000"/>
        <rFont val="Calibri"/>
        <family val="2"/>
      </rPr>
      <t xml:space="preserve">should be </t>
    </r>
    <r>
      <rPr>
        <b/>
        <sz val="11"/>
        <color rgb="FFFF0000"/>
        <rFont val="Calibri"/>
        <family val="2"/>
      </rPr>
      <t>Red color</t>
    </r>
  </si>
  <si>
    <r>
      <rPr>
        <b/>
        <sz val="11"/>
        <color rgb="FF000000"/>
        <rFont val="Calibri"/>
        <family val="2"/>
      </rPr>
      <t xml:space="preserve">Text for transaction: </t>
    </r>
    <r>
      <rPr>
        <sz val="11"/>
        <color rgb="FF000000"/>
        <rFont val="Calibri"/>
        <family val="2"/>
      </rPr>
      <t xml:space="preserve">Repay loan </t>
    </r>
  </si>
  <si>
    <r>
      <rPr>
        <sz val="11"/>
        <color rgb="FF000000"/>
        <rFont val="Aptos Narrow"/>
        <scheme val="minor"/>
      </rPr>
      <t>"</t>
    </r>
    <r>
      <rPr>
        <b/>
        <sz val="11"/>
        <color rgb="FF000000"/>
        <rFont val="Aptos Narrow"/>
        <scheme val="minor"/>
      </rPr>
      <t>amount</t>
    </r>
    <r>
      <rPr>
        <sz val="11"/>
        <color rgb="FF000000"/>
        <rFont val="Aptos Narrow"/>
        <scheme val="minor"/>
      </rPr>
      <t>": {{Amount  which customer paid with Loan repayment}}</t>
    </r>
  </si>
  <si>
    <t>Detailed Transaction in Loan History:</t>
  </si>
  <si>
    <r>
      <rPr>
        <b/>
        <sz val="11"/>
        <color rgb="FF000000"/>
        <rFont val="Calibri"/>
        <family val="2"/>
      </rPr>
      <t xml:space="preserve">Next Step: </t>
    </r>
    <r>
      <rPr>
        <sz val="11"/>
        <color rgb="FF000000"/>
        <rFont val="Calibri"/>
        <family val="2"/>
      </rPr>
      <t>Press Payment transaction: Should be opened detailed transaction page</t>
    </r>
  </si>
  <si>
    <r>
      <rPr>
        <b/>
        <sz val="12"/>
        <color rgb="FF000000"/>
        <rFont val="Calibri"/>
        <family val="2"/>
      </rPr>
      <t xml:space="preserve">Text for transaction: </t>
    </r>
    <r>
      <rPr>
        <sz val="12"/>
        <color rgb="FF000000"/>
        <rFont val="Calibri"/>
        <family val="2"/>
      </rPr>
      <t>Repay Loan</t>
    </r>
  </si>
  <si>
    <r>
      <rPr>
        <b/>
        <sz val="11"/>
        <color rgb="FF000000"/>
        <rFont val="Aptos Narrow"/>
      </rPr>
      <t>Amount</t>
    </r>
    <r>
      <rPr>
        <sz val="11"/>
        <color rgb="FF000000"/>
        <rFont val="Aptos Narrow"/>
      </rPr>
      <t>:</t>
    </r>
    <r>
      <rPr>
        <b/>
        <sz val="11"/>
        <color rgb="FF000000"/>
        <rFont val="Aptos Narrow"/>
      </rPr>
      <t xml:space="preserve"> {{Paid Amount with minus and red color</t>
    </r>
    <r>
      <rPr>
        <sz val="11"/>
        <color rgb="FF000000"/>
        <rFont val="Aptos Narrow"/>
      </rPr>
      <t>: value should be amount, which customer paid with Loan repayment}}</t>
    </r>
  </si>
  <si>
    <r>
      <rPr>
        <b/>
        <sz val="11"/>
        <color rgb="FF000000"/>
        <rFont val="Calibri"/>
        <family val="2"/>
      </rPr>
      <t>Transaction</t>
    </r>
    <r>
      <rPr>
        <sz val="11"/>
        <color rgb="FF000000"/>
        <rFont val="Calibri"/>
        <family val="2"/>
      </rPr>
      <t xml:space="preserve"> </t>
    </r>
    <r>
      <rPr>
        <b/>
        <sz val="11"/>
        <color rgb="FF000000"/>
        <rFont val="Calibri"/>
        <family val="2"/>
      </rPr>
      <t>Date</t>
    </r>
    <r>
      <rPr>
        <sz val="11"/>
        <color rgb="FF000000"/>
        <rFont val="Calibri"/>
        <family val="2"/>
      </rPr>
      <t>: Current date</t>
    </r>
  </si>
  <si>
    <t>General Data of  Paid Amounts:</t>
  </si>
  <si>
    <t>Interest Paid:</t>
  </si>
  <si>
    <r>
      <rPr>
        <b/>
        <sz val="11"/>
        <color rgb="FF000000"/>
        <rFont val="Calibri"/>
        <family val="2"/>
      </rPr>
      <t>ENG</t>
    </r>
    <r>
      <rPr>
        <sz val="11"/>
        <color rgb="FF000000"/>
        <rFont val="Calibri"/>
        <family val="2"/>
      </rPr>
      <t xml:space="preserve">: Interest amount
</t>
    </r>
    <r>
      <rPr>
        <b/>
        <sz val="11"/>
        <color rgb="FF000000"/>
        <rFont val="Calibri"/>
        <family val="2"/>
      </rPr>
      <t>RUS</t>
    </r>
    <r>
      <rPr>
        <sz val="11"/>
        <color rgb="FF000000"/>
        <rFont val="Calibri"/>
        <family val="2"/>
      </rPr>
      <t xml:space="preserve">: Сумма процентов
</t>
    </r>
    <r>
      <rPr>
        <b/>
        <sz val="11"/>
        <color rgb="FF000000"/>
        <rFont val="Calibri"/>
        <family val="2"/>
      </rPr>
      <t>UZB</t>
    </r>
    <r>
      <rPr>
        <sz val="11"/>
        <color rgb="FF000000"/>
        <rFont val="Calibri"/>
        <family val="2"/>
      </rPr>
      <t>: Foiz summasi</t>
    </r>
  </si>
  <si>
    <r>
      <rPr>
        <b/>
        <sz val="12"/>
        <color rgb="FF000000"/>
        <rFont val="Aptos Narrow"/>
        <scheme val="minor"/>
      </rPr>
      <t>"Interest 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t>
    </r>
  </si>
  <si>
    <t>Penalty Paid:</t>
  </si>
  <si>
    <r>
      <rPr>
        <b/>
        <sz val="11"/>
        <color rgb="FF000000"/>
        <rFont val="Calibri"/>
        <family val="2"/>
      </rPr>
      <t>ENG</t>
    </r>
    <r>
      <rPr>
        <sz val="11"/>
        <color rgb="FF000000"/>
        <rFont val="Calibri"/>
        <family val="2"/>
      </rPr>
      <t xml:space="preserve">: Increased interest amount
</t>
    </r>
    <r>
      <rPr>
        <b/>
        <sz val="11"/>
        <color rgb="FF000000"/>
        <rFont val="Calibri"/>
        <family val="2"/>
      </rPr>
      <t>RUS</t>
    </r>
    <r>
      <rPr>
        <sz val="11"/>
        <color rgb="FF000000"/>
        <rFont val="Calibri"/>
        <family val="2"/>
      </rPr>
      <t xml:space="preserve">: Сумма повышенных процентов
</t>
    </r>
    <r>
      <rPr>
        <b/>
        <sz val="11"/>
        <color rgb="FF000000"/>
        <rFont val="Calibri"/>
        <family val="2"/>
      </rPr>
      <t>UZB</t>
    </r>
    <r>
      <rPr>
        <sz val="11"/>
        <color rgb="FF000000"/>
        <rFont val="Calibri"/>
        <family val="2"/>
      </rPr>
      <t>: Oshirilgan foizlar miqdori</t>
    </r>
  </si>
  <si>
    <r>
      <rPr>
        <b/>
        <sz val="12"/>
        <color rgb="FF000000"/>
        <rFont val="Aptos Narrow"/>
        <scheme val="minor"/>
      </rPr>
      <t>"Increased interest amount":</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Repay Formula}}</t>
    </r>
  </si>
  <si>
    <t>Principal Paid:</t>
  </si>
  <si>
    <r>
      <rPr>
        <b/>
        <sz val="12"/>
        <color rgb="FF000000"/>
        <rFont val="Calibri"/>
        <family val="2"/>
      </rPr>
      <t>ENG</t>
    </r>
    <r>
      <rPr>
        <sz val="12"/>
        <color rgb="FF000000"/>
        <rFont val="Calibri"/>
        <family val="2"/>
      </rPr>
      <t xml:space="preserve">: Principal amount
</t>
    </r>
    <r>
      <rPr>
        <b/>
        <sz val="12"/>
        <color rgb="FF000000"/>
        <rFont val="Calibri"/>
        <family val="2"/>
      </rPr>
      <t>RUS</t>
    </r>
    <r>
      <rPr>
        <sz val="12"/>
        <color rgb="FF000000"/>
        <rFont val="Calibri"/>
        <family val="2"/>
      </rPr>
      <t xml:space="preserve">: Основная сумма
</t>
    </r>
    <r>
      <rPr>
        <b/>
        <sz val="12"/>
        <color rgb="FF000000"/>
        <rFont val="Calibri"/>
        <family val="2"/>
      </rPr>
      <t>UZB</t>
    </r>
    <r>
      <rPr>
        <sz val="12"/>
        <color rgb="FF000000"/>
        <rFont val="Calibri"/>
        <family val="2"/>
      </rPr>
      <t>: Asosiy summa</t>
    </r>
  </si>
  <si>
    <r>
      <rPr>
        <b/>
        <sz val="11"/>
        <color rgb="FF000000"/>
        <rFont val="Calibri"/>
        <family val="2"/>
      </rPr>
      <t xml:space="preserve">"Principal Amount":  </t>
    </r>
    <r>
      <rPr>
        <sz val="11"/>
        <color rgb="FF000000"/>
        <rFont val="Calibri"/>
        <family val="2"/>
      </rPr>
      <t xml:space="preserve">{{Value should be </t>
    </r>
    <r>
      <rPr>
        <b/>
        <sz val="11"/>
        <color rgb="FF000000"/>
        <rFont val="Calibri"/>
        <family val="2"/>
      </rPr>
      <t>Overdue</t>
    </r>
    <r>
      <rPr>
        <sz val="11"/>
        <color rgb="FF000000"/>
        <rFont val="Calibri"/>
        <family val="2"/>
      </rPr>
      <t xml:space="preserve"> </t>
    </r>
    <r>
      <rPr>
        <b/>
        <sz val="11"/>
        <color rgb="FF000000"/>
        <rFont val="Calibri"/>
        <family val="2"/>
      </rPr>
      <t>Principal</t>
    </r>
    <r>
      <rPr>
        <sz val="11"/>
        <color rgb="FF000000"/>
        <rFont val="Calibri"/>
        <family val="2"/>
      </rPr>
      <t xml:space="preserve"> amount calculated with Repay Formula}}</t>
    </r>
  </si>
  <si>
    <t>Card Info:</t>
  </si>
  <si>
    <r>
      <rPr>
        <b/>
        <sz val="11"/>
        <color rgb="FF000000"/>
        <rFont val="Calibri"/>
        <family val="2"/>
      </rPr>
      <t>ENG</t>
    </r>
    <r>
      <rPr>
        <sz val="11"/>
        <color rgb="FF000000"/>
        <rFont val="Calibri"/>
        <family val="2"/>
      </rPr>
      <t xml:space="preserve">: Sender's card
</t>
    </r>
    <r>
      <rPr>
        <b/>
        <sz val="11"/>
        <color rgb="FF000000"/>
        <rFont val="Calibri"/>
        <family val="2"/>
      </rPr>
      <t>RUS</t>
    </r>
    <r>
      <rPr>
        <sz val="11"/>
        <color rgb="FF000000"/>
        <rFont val="Calibri"/>
        <family val="2"/>
      </rPr>
      <t xml:space="preserve">: Карта отправителя
</t>
    </r>
    <r>
      <rPr>
        <b/>
        <sz val="11"/>
        <color rgb="FF000000"/>
        <rFont val="Calibri"/>
        <family val="2"/>
      </rPr>
      <t>UZB</t>
    </r>
    <r>
      <rPr>
        <sz val="11"/>
        <color rgb="FF000000"/>
        <rFont val="Calibri"/>
        <family val="2"/>
      </rPr>
      <t xml:space="preserve">: Yuboruvchining kartasi </t>
    </r>
  </si>
  <si>
    <r>
      <rPr>
        <b/>
        <sz val="12"/>
        <color rgb="FF000000"/>
        <rFont val="Aptos Narrow"/>
        <family val="2"/>
        <scheme val="minor"/>
      </rPr>
      <t>Sender`s card value</t>
    </r>
    <r>
      <rPr>
        <sz val="12"/>
        <color rgb="FF000000"/>
        <rFont val="Aptos Narrow"/>
        <family val="2"/>
        <scheme val="minor"/>
      </rPr>
      <t>: If Currect account - TBC, If any card - * and last 4 digits of the card</t>
    </r>
  </si>
  <si>
    <t>Actions Check:</t>
  </si>
  <si>
    <r>
      <rPr>
        <b/>
        <sz val="12"/>
        <color rgb="FF000000"/>
        <rFont val="Calibri"/>
        <family val="2"/>
      </rPr>
      <t xml:space="preserve">Actions: </t>
    </r>
    <r>
      <rPr>
        <sz val="12"/>
        <color rgb="FF000000"/>
        <rFont val="Calibri"/>
        <family val="2"/>
      </rPr>
      <t>select * from SpaceRex.dbo.Actions
where LoanId = '5173078'
order by Timestamp desc;</t>
    </r>
  </si>
  <si>
    <t>"IABSTransactionIds": {{Value should be TransactionIDs from Transactions}}</t>
  </si>
  <si>
    <r>
      <rPr>
        <sz val="12"/>
        <color rgb="FF000000"/>
        <rFont val="Calibri"/>
        <family val="2"/>
      </rPr>
      <t xml:space="preserve">"CardOperationIds": {{Value should be </t>
    </r>
    <r>
      <rPr>
        <b/>
        <sz val="12"/>
        <color rgb="FF000000"/>
        <rFont val="Calibri"/>
        <family val="2"/>
      </rPr>
      <t>OperationId</t>
    </r>
    <r>
      <rPr>
        <sz val="12"/>
        <color rgb="FF000000"/>
        <rFont val="Calibri"/>
        <family val="2"/>
      </rPr>
      <t xml:space="preserve"> from Create Operation - iABS (internal)}}</t>
    </r>
  </si>
  <si>
    <t>"interestAmount": {{Paid Amount for Interest}}</t>
  </si>
  <si>
    <r>
      <rPr>
        <sz val="12"/>
        <color rgb="FF000000"/>
        <rFont val="Aptos Narrow"/>
        <scheme val="minor"/>
      </rPr>
      <t xml:space="preserve">"interestAmount_MoneyObject": {
    "amount": </t>
    </r>
    <r>
      <rPr>
        <b/>
        <sz val="12"/>
        <color rgb="FF000000"/>
        <rFont val="Aptos Narrow"/>
        <scheme val="minor"/>
      </rPr>
      <t xml:space="preserve">{{Paid Amount for Interest * 100}} </t>
    </r>
    <r>
      <rPr>
        <sz val="12"/>
        <color rgb="FF000000"/>
        <rFont val="Aptos Narrow"/>
        <scheme val="minor"/>
      </rPr>
      <t>,
    "currencyCode": "UZS"
  },</t>
    </r>
  </si>
  <si>
    <t>"penaltyAmount": {{Paid Amount for Interest}}</t>
  </si>
  <si>
    <r>
      <rPr>
        <sz val="12"/>
        <color rgb="FF000000"/>
        <rFont val="Aptos Narrow"/>
        <scheme val="minor"/>
      </rPr>
      <t xml:space="preserve">"penaltyAmount_MoneyObject": {
    "amount": </t>
    </r>
    <r>
      <rPr>
        <b/>
        <sz val="12"/>
        <color rgb="FF000000"/>
        <rFont val="Aptos Narrow"/>
        <scheme val="minor"/>
      </rPr>
      <t xml:space="preserve">{{Paid Amount for Penalty * 100}} ,
</t>
    </r>
    <r>
      <rPr>
        <sz val="12"/>
        <color rgb="FF000000"/>
        <rFont val="Aptos Narrow"/>
        <scheme val="minor"/>
      </rPr>
      <t xml:space="preserve">    "currencyCode": "UZS"
  },</t>
    </r>
  </si>
  <si>
    <r>
      <rPr>
        <sz val="12"/>
        <color rgb="FF000000"/>
        <rFont val="Calibri"/>
        <family val="2"/>
      </rPr>
      <t xml:space="preserve">principalAmount: </t>
    </r>
    <r>
      <rPr>
        <b/>
        <sz val="12"/>
        <color rgb="FF000000"/>
        <rFont val="Calibri"/>
        <family val="2"/>
      </rPr>
      <t>{{Paid Amount for Pricipal}}</t>
    </r>
  </si>
  <si>
    <r>
      <rPr>
        <sz val="12"/>
        <color rgb="FF000000"/>
        <rFont val="Calibri"/>
        <family val="2"/>
      </rPr>
      <t xml:space="preserve">  "principalAmount_MoneyObject": {
    "amount": </t>
    </r>
    <r>
      <rPr>
        <b/>
        <sz val="12"/>
        <color rgb="FF000000"/>
        <rFont val="Calibri"/>
        <family val="2"/>
      </rPr>
      <t>{{Paid Amount for Principal * 100}}</t>
    </r>
    <r>
      <rPr>
        <sz val="12"/>
        <color rgb="FF000000"/>
        <rFont val="Calibri"/>
        <family val="2"/>
      </rPr>
      <t>,
    "currencyCode": "UZS"
  },</t>
    </r>
  </si>
  <si>
    <t>"senderCardNumber": {{Value should be card number from cards}}</t>
  </si>
  <si>
    <t>"senderCardHolderName": {{Value should be Customer Full Name}}</t>
  </si>
  <si>
    <t>Case 2:</t>
  </si>
  <si>
    <r>
      <rPr>
        <b/>
        <sz val="16"/>
        <color rgb="FF000000"/>
        <rFont val="Aptos Narrow"/>
        <scheme val="minor"/>
      </rPr>
      <t xml:space="preserve">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Customer pays Part of Overdue loan from Loan Repayment field: amount should be 0.01 UZS </t>
    </r>
    <r>
      <rPr>
        <b/>
        <sz val="16"/>
        <color rgb="FFC00000"/>
        <rFont val="Aptos Narrow"/>
        <scheme val="minor"/>
      </rPr>
      <t>(Note customer paid with current account)</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</si>
  <si>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0.01 UZS</t>
    </r>
  </si>
  <si>
    <r>
      <rPr>
        <sz val="11"/>
        <color rgb="FF000000"/>
        <rFont val="Aptos Narrow"/>
        <scheme val="minor"/>
      </rPr>
      <t xml:space="preserve">After initiating </t>
    </r>
    <r>
      <rPr>
        <b/>
        <sz val="11"/>
        <color rgb="FF000000"/>
        <rFont val="Aptos Narrow"/>
        <scheme val="minor"/>
      </rPr>
      <t>Repay loan - NEW</t>
    </r>
    <r>
      <rPr>
        <sz val="11"/>
        <color rgb="FF000000"/>
        <rFont val="Aptos Narrow"/>
        <scheme val="minor"/>
      </rPr>
      <t xml:space="preserve"> process check, that process continues on following condiitons: </t>
    </r>
    <r>
      <rPr>
        <b/>
        <sz val="11"/>
        <color rgb="FFC00000"/>
        <rFont val="Aptos Narrow"/>
        <scheme val="minor"/>
      </rPr>
      <t xml:space="preserve"> {{repaymentAmount}} &gt;0</t>
    </r>
    <r>
      <rPr>
        <sz val="11"/>
        <color rgb="FF000000"/>
        <rFont val="Aptos Narrow"/>
        <scheme val="minor"/>
      </rPr>
      <t xml:space="preserve"> and then continues on following one:</t>
    </r>
    <r>
      <rPr>
        <b/>
        <sz val="11"/>
        <color rgb="FFC00000"/>
        <rFont val="Aptos Narrow"/>
        <scheme val="minor"/>
      </rPr>
      <t xml:space="preserve"> {{isOverdue}} == true </t>
    </r>
    <r>
      <rPr>
        <b/>
        <sz val="11"/>
        <color rgb="FF000000"/>
        <rFont val="Aptos Narrow"/>
        <scheme val="minor"/>
      </rPr>
      <t>&amp;&amp;</t>
    </r>
    <r>
      <rPr>
        <b/>
        <sz val="11"/>
        <color rgb="FFC00000"/>
        <rFont val="Aptos Narrow"/>
        <scheme val="minor"/>
      </rPr>
      <t xml:space="preserve"> {{repaymentAmount}} &lt; {{GetLoanResponseData.Loan.OverdueAmount}} </t>
    </r>
  </si>
  <si>
    <r>
      <rPr>
        <b/>
        <sz val="12"/>
        <color rgb="FF000000"/>
        <rFont val="Calibri"/>
        <family val="2"/>
      </rPr>
      <t>Create Operation - iABS (internal) Success Log: (</t>
    </r>
    <r>
      <rPr>
        <b/>
        <sz val="12"/>
        <color rgb="FFFF0000"/>
        <rFont val="Calibri"/>
        <family val="2"/>
      </rPr>
      <t xml:space="preserve">Note: Only check, if repayment is made with Card) </t>
    </r>
    <r>
      <rPr>
        <b/>
        <sz val="12"/>
        <color rgb="FF000000"/>
        <rFont val="Calibri"/>
        <family val="2"/>
      </rPr>
      <t>https://devzoid.spacebank.ge/process/7925/diagram/64101668ad012537a83ae498/archive</t>
    </r>
  </si>
  <si>
    <t>Case 3:</t>
  </si>
  <si>
    <r>
      <rPr>
        <b/>
        <sz val="16"/>
        <color rgb="FF000000"/>
        <rFont val="Aptos Narrow"/>
        <scheme val="minor"/>
      </rPr>
      <t xml:space="preserve">Case 3: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amount should be less with 0.01 UZS then Overdue amount (</t>
    </r>
    <r>
      <rPr>
        <b/>
        <sz val="16"/>
        <color rgb="FFC00000"/>
        <rFont val="Aptos Narrow"/>
        <scheme val="minor"/>
      </rPr>
      <t>Total due in mambu</t>
    </r>
    <r>
      <rPr>
        <b/>
        <sz val="16"/>
        <color rgb="FF000000"/>
        <rFont val="Aptos Narrow"/>
        <scheme val="minor"/>
      </rPr>
      <t>) (For example, if your Overdue amount is 100, pay 100 UZS - 0.01 UZS = 99.99 UZS)</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</si>
  <si>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t>
    </r>
    <r>
      <rPr>
        <b/>
        <sz val="12"/>
        <color rgb="FFC00000"/>
        <rFont val="Aptos Narrow"/>
        <scheme val="minor"/>
      </rPr>
      <t>Pay  Overdue Loan Amount which is wriiten in the field - 0.01 UZS</t>
    </r>
  </si>
  <si>
    <r>
      <rPr>
        <sz val="12"/>
        <color rgb="FF000000"/>
        <rFont val="Aptos Narrow"/>
        <scheme val="minor"/>
      </rPr>
      <t xml:space="preserve">            "Amount": {
                "Amount":</t>
    </r>
    <r>
      <rPr>
        <b/>
        <sz val="12"/>
        <color rgb="FFC00000"/>
        <rFont val="Aptos Narrow"/>
        <scheme val="minor"/>
      </rPr>
      <t xml:space="preserve"> {{Requested Amount, which you write in repayment field * 100}}</t>
    </r>
    <r>
      <rPr>
        <sz val="12"/>
        <color rgb="FF000000"/>
        <rFont val="Aptos Narrow"/>
        <scheme val="minor"/>
      </rPr>
      <t>,
                "CurrencyCode": "UZS"
            }</t>
    </r>
  </si>
  <si>
    <t>Case 4:</t>
  </si>
  <si>
    <r>
      <rPr>
        <b/>
        <sz val="16"/>
        <color rgb="FF000000"/>
        <rFont val="Aptos Narrow"/>
        <scheme val="minor"/>
      </rPr>
      <t xml:space="preserve">Case 4: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Customer has FIXED Penalty accrued. </t>
    </r>
    <r>
      <rPr>
        <b/>
        <sz val="16"/>
        <color rgb="FF000000"/>
        <rFont val="Aptos Narrow"/>
        <scheme val="minor"/>
      </rPr>
      <t xml:space="preserve">Customer pays </t>
    </r>
    <r>
      <rPr>
        <b/>
        <sz val="16"/>
        <color rgb="FFC00000"/>
        <rFont val="Aptos Narrow"/>
        <scheme val="minor"/>
      </rPr>
      <t>Part of Overdue Loan</t>
    </r>
    <r>
      <rPr>
        <b/>
        <sz val="16"/>
        <color rgb="FF000000"/>
        <rFont val="Aptos Narrow"/>
        <scheme val="minor"/>
      </rPr>
      <t xml:space="preserve"> from Loan Repayment field: amount should be less with 50 000.01 UZS then Overdue amount (</t>
    </r>
    <r>
      <rPr>
        <b/>
        <sz val="16"/>
        <color rgb="FFC00000"/>
        <rFont val="Aptos Narrow"/>
        <scheme val="minor"/>
      </rPr>
      <t>Total due in mambu</t>
    </r>
    <r>
      <rPr>
        <b/>
        <sz val="16"/>
        <color rgb="FF000000"/>
        <rFont val="Aptos Narrow"/>
        <scheme val="minor"/>
      </rPr>
      <t>) (For example, if your Overdue amount is 100 000, pay 100 000 UZS - 50 000.01 UZS = 49 999.99 UZS)</t>
    </r>
  </si>
  <si>
    <r>
      <rPr>
        <b/>
        <sz val="16"/>
        <color rgb="FF0D0D0D"/>
        <rFont val="Aptos Narrow"/>
        <scheme val="minor"/>
      </rPr>
      <t xml:space="preserve">Note: </t>
    </r>
    <r>
      <rPr>
        <b/>
        <sz val="16"/>
        <color rgb="FFC00000"/>
        <rFont val="Aptos Narrow"/>
        <scheme val="minor"/>
      </rPr>
      <t>Because customer pays less then Total Dues - 50 000.01 UZS Amount, Fixed Fee won't be paid</t>
    </r>
  </si>
  <si>
    <r>
      <rPr>
        <sz val="11"/>
        <color rgb="FF000000"/>
        <rFont val="Aptos Narrow"/>
        <scheme val="minor"/>
      </rPr>
      <t xml:space="preserve">Check, that after Repay loan - NEW process continues on following condition: </t>
    </r>
    <r>
      <rPr>
        <b/>
        <sz val="11"/>
        <color rgb="FFC00000"/>
        <rFont val="Aptos Narrow"/>
        <scheme val="minor"/>
      </rPr>
      <t xml:space="preserve"> {{isOverdue}} == true </t>
    </r>
    <r>
      <rPr>
        <sz val="11"/>
        <color rgb="FF0D0D0D"/>
        <rFont val="Aptos Narrow"/>
        <scheme val="minor"/>
      </rPr>
      <t>&amp;&amp;</t>
    </r>
    <r>
      <rPr>
        <b/>
        <sz val="11"/>
        <color rgb="FFC00000"/>
        <rFont val="Aptos Narrow"/>
        <scheme val="minor"/>
      </rPr>
      <t xml:space="preserve"> {{repaymentAmount}} &lt; {{GetLoanResponseData.Loan.OverdueAmount}} </t>
    </r>
    <r>
      <rPr>
        <sz val="11"/>
        <color rgb="FF000000"/>
        <rFont val="Aptos Narrow"/>
        <scheme val="minor"/>
      </rPr>
      <t xml:space="preserve">then following process is called: </t>
    </r>
    <r>
      <rPr>
        <b/>
        <sz val="11"/>
        <color rgb="FF000000"/>
        <rFont val="Aptos Narrow"/>
        <scheme val="minor"/>
      </rPr>
      <t>Repay loan - Mambu v2</t>
    </r>
  </si>
  <si>
    <t>c</t>
  </si>
  <si>
    <t>Case 5:</t>
  </si>
  <si>
    <r>
      <rPr>
        <b/>
        <sz val="16"/>
        <color rgb="FF000000"/>
        <rFont val="Aptos Narrow"/>
        <scheme val="minor"/>
      </rPr>
      <t xml:space="preserve">Case 5: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Customer has FIXED Penalty accrued. </t>
    </r>
    <r>
      <rPr>
        <b/>
        <sz val="16"/>
        <color rgb="FF000000"/>
        <rFont val="Aptos Narrow"/>
        <scheme val="minor"/>
      </rPr>
      <t xml:space="preserve">Customer pays </t>
    </r>
    <r>
      <rPr>
        <b/>
        <sz val="16"/>
        <color rgb="FFC00000"/>
        <rFont val="Aptos Narrow"/>
        <scheme val="minor"/>
      </rPr>
      <t>Part of Overdue Loan</t>
    </r>
    <r>
      <rPr>
        <b/>
        <sz val="16"/>
        <color rgb="FF000000"/>
        <rFont val="Aptos Narrow"/>
        <scheme val="minor"/>
      </rPr>
      <t xml:space="preserve"> from Loan Repayment field: amount should be less with 0.01 UZS then Total Due amount (</t>
    </r>
    <r>
      <rPr>
        <b/>
        <sz val="16"/>
        <color rgb="FFC00000"/>
        <rFont val="Aptos Narrow"/>
        <scheme val="minor"/>
      </rPr>
      <t>Total due in mambu</t>
    </r>
    <r>
      <rPr>
        <b/>
        <sz val="16"/>
        <color rgb="FF000000"/>
        <rFont val="Aptos Narrow"/>
        <scheme val="minor"/>
      </rPr>
      <t>) (For example, if your Overdue amount is 100, pay 100 UZS - 0.01 UZS = 99.99 UZS)</t>
    </r>
  </si>
  <si>
    <r>
      <rPr>
        <b/>
        <sz val="16"/>
        <color rgb="FF0D0D0D"/>
        <rFont val="Aptos Narrow"/>
        <scheme val="minor"/>
      </rPr>
      <t xml:space="preserve">Note: </t>
    </r>
    <r>
      <rPr>
        <b/>
        <sz val="16"/>
        <color rgb="FFC00000"/>
        <rFont val="Aptos Narrow"/>
        <scheme val="minor"/>
      </rPr>
      <t>Because customer pays less then Overdue Amount with 0.01 UZS, Fixed Fee will be paid partially</t>
    </r>
  </si>
  <si>
    <r>
      <rPr>
        <b/>
        <sz val="12"/>
        <color rgb="FF000000"/>
        <rFont val="Aptos Narrow"/>
        <scheme val="minor"/>
      </rPr>
      <t>"FeesPaid":</t>
    </r>
    <r>
      <rPr>
        <sz val="12"/>
        <color rgb="FF000000"/>
        <rFont val="Aptos Narrow"/>
        <scheme val="minor"/>
      </rPr>
      <t xml:space="preserve"> {{Value should be 49 999.99 for this case}}</t>
    </r>
  </si>
  <si>
    <r>
      <rPr>
        <sz val="12"/>
        <color rgb="FF000000"/>
        <rFont val="Aptos Narrow"/>
        <scheme val="minor"/>
      </rPr>
      <t xml:space="preserve">            "Amount": {
                "</t>
    </r>
    <r>
      <rPr>
        <b/>
        <sz val="12"/>
        <color rgb="FF000000"/>
        <rFont val="Aptos Narrow"/>
        <scheme val="minor"/>
      </rPr>
      <t>Amount</t>
    </r>
    <r>
      <rPr>
        <sz val="12"/>
        <color rgb="FF000000"/>
        <rFont val="Aptos Narrow"/>
        <scheme val="minor"/>
      </rPr>
      <t>":</t>
    </r>
    <r>
      <rPr>
        <b/>
        <sz val="12"/>
        <color rgb="FFC00000"/>
        <rFont val="Aptos Narrow"/>
        <scheme val="minor"/>
      </rPr>
      <t xml:space="preserve"> {{Requested Amount, which you write in repayment field * 100}}</t>
    </r>
    <r>
      <rPr>
        <sz val="12"/>
        <color rgb="FF000000"/>
        <rFont val="Aptos Narrow"/>
        <scheme val="minor"/>
      </rPr>
      <t>,
                "CurrencyCode": "UZS"
            }</t>
    </r>
  </si>
  <si>
    <r>
      <rPr>
        <b/>
        <sz val="12"/>
        <color rgb="FF000000"/>
        <rFont val="Aptos Narrow"/>
        <scheme val="minor"/>
      </rPr>
      <t xml:space="preserve">    "paidFees": </t>
    </r>
    <r>
      <rPr>
        <sz val="12"/>
        <color rgb="FF000000"/>
        <rFont val="Aptos Narrow"/>
        <scheme val="minor"/>
      </rPr>
      <t xml:space="preserve">{{For this case </t>
    </r>
    <r>
      <rPr>
        <b/>
        <sz val="12"/>
        <color rgb="FF000000"/>
        <rFont val="Aptos Narrow"/>
        <scheme val="minor"/>
      </rPr>
      <t>49 999.99</t>
    </r>
    <r>
      <rPr>
        <sz val="12"/>
        <color rgb="FF000000"/>
        <rFont val="Aptos Narrow"/>
        <scheme val="minor"/>
      </rPr>
      <t xml:space="preserve"> UZS}}</t>
    </r>
  </si>
  <si>
    <t>Transaction 5:</t>
  </si>
  <si>
    <r>
      <t xml:space="preserve">            "sender": {
                "accountNumber":</t>
    </r>
    <r>
      <rPr>
        <sz val="11"/>
        <color rgb="FF000000"/>
        <rFont val="Aptos Narrow"/>
        <family val="2"/>
        <scheme val="minor"/>
      </rPr>
      <t xml:space="preserve"> value should be Customer`s Loan`s</t>
    </r>
    <r>
      <rPr>
        <b/>
        <u val="double"/>
        <sz val="11"/>
        <color rgb="FFFF0000"/>
        <rFont val="Aptos Narrow"/>
        <family val="2"/>
        <scheme val="minor"/>
      </rPr>
      <t xml:space="preserve"> Settlement Account</t>
    </r>
    <r>
      <rPr>
        <sz val="11"/>
        <color rgb="FF000000"/>
        <rFont val="Aptos Narrow"/>
        <family val="2"/>
        <scheme val="minor"/>
      </rPr>
      <t xml:space="preserve"> from Mambu</t>
    </r>
  </si>
  <si>
    <r>
      <t xml:space="preserve">          </t>
    </r>
    <r>
      <rPr>
        <b/>
        <sz val="11"/>
        <color rgb="FF000000"/>
        <rFont val="Aptos Narrow"/>
        <family val="2"/>
        <scheme val="minor"/>
      </rPr>
      <t xml:space="preserve">  "recipient": {
                "branchId": "01180",
                "accountNumber": </t>
    </r>
    <r>
      <rPr>
        <sz val="11"/>
        <color rgb="FF000000"/>
        <rFont val="Aptos Narrow"/>
        <family val="2"/>
        <scheme val="minor"/>
      </rPr>
      <t xml:space="preserve"> value should be Customer`s Loan`s </t>
    </r>
    <r>
      <rPr>
        <b/>
        <u val="double"/>
        <sz val="11"/>
        <color rgb="FFFF0000"/>
        <rFont val="Aptos Narrow"/>
        <family val="2"/>
        <scheme val="minor"/>
      </rPr>
      <t xml:space="preserve"> Fixed Penalty Accrual Account</t>
    </r>
    <r>
      <rPr>
        <sz val="11"/>
        <color rgb="FF000000"/>
        <rFont val="Aptos Narrow"/>
        <family val="2"/>
        <scheme val="minor"/>
      </rPr>
      <t xml:space="preserve"> from Mambu</t>
    </r>
  </si>
  <si>
    <r>
      <rPr>
        <b/>
        <sz val="11"/>
        <color rgb="FF000000"/>
        <rFont val="Aptos Narrow"/>
        <family val="2"/>
        <scheme val="minor"/>
      </rPr>
      <t xml:space="preserve">"purposeOrCashSymbol": {
                "code": </t>
    </r>
    <r>
      <rPr>
        <sz val="11"/>
        <color rgb="FF000000"/>
        <rFont val="Aptos Narrow"/>
        <family val="2"/>
        <scheme val="minor"/>
      </rPr>
      <t>"00675"</t>
    </r>
  </si>
  <si>
    <r>
      <rPr>
        <b/>
        <sz val="11"/>
        <color rgb="FF000000"/>
        <rFont val="Aptos Narrow"/>
        <scheme val="minor"/>
      </rPr>
      <t xml:space="preserve">"name": </t>
    </r>
    <r>
      <rPr>
        <sz val="11"/>
        <color rgb="FF000000"/>
        <rFont val="Aptos Narrow"/>
        <scheme val="minor"/>
      </rPr>
      <t>"Погашение начисленного штрафа согласно кред. дог. №</t>
    </r>
    <r>
      <rPr>
        <b/>
        <sz val="11"/>
        <color rgb="FF000000"/>
        <rFont val="Aptos Narrow"/>
        <scheme val="minor"/>
      </rPr>
      <t>{LoanId}</t>
    </r>
    <r>
      <rPr>
        <sz val="11"/>
        <color rgb="FF000000"/>
        <rFont val="Aptos Narrow"/>
        <scheme val="minor"/>
      </rPr>
      <t xml:space="preserve"> от</t>
    </r>
    <r>
      <rPr>
        <b/>
        <sz val="11"/>
        <color rgb="FF000000"/>
        <rFont val="Aptos Narrow"/>
        <scheme val="minor"/>
      </rPr>
      <t xml:space="preserve"> {</t>
    </r>
    <r>
      <rPr>
        <b/>
        <u val="double"/>
        <sz val="11"/>
        <color rgb="FF000000"/>
        <rFont val="Aptos Narrow"/>
        <scheme val="minor"/>
      </rPr>
      <t>Activation Date</t>
    </r>
    <r>
      <rPr>
        <sz val="11"/>
        <color rgb="FF000000"/>
        <rFont val="Aptos Narrow"/>
        <scheme val="minor"/>
      </rPr>
      <t xml:space="preserve"> field value from Mambu</t>
    </r>
    <r>
      <rPr>
        <b/>
        <sz val="11"/>
        <color rgb="FF000000"/>
        <rFont val="Aptos Narrow"/>
        <scheme val="minor"/>
      </rPr>
      <t>} {</t>
    </r>
    <r>
      <rPr>
        <sz val="11"/>
        <color rgb="FF000000"/>
        <rFont val="Aptos Narrow"/>
        <scheme val="minor"/>
      </rPr>
      <t>Customer`s Full Name</t>
    </r>
    <r>
      <rPr>
        <b/>
        <sz val="11"/>
        <color rgb="FF000000"/>
        <rFont val="Aptos Narrow"/>
        <scheme val="minor"/>
      </rPr>
      <t>}</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</si>
  <si>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Fee, for this case 49999.99</t>
    </r>
    <r>
      <rPr>
        <sz val="11"/>
        <color rgb="FF000000"/>
        <rFont val="Aptos Narrow"/>
        <scheme val="minor"/>
      </rPr>
      <t>}}</t>
    </r>
  </si>
  <si>
    <r>
      <rPr>
        <b/>
        <sz val="12"/>
        <color rgb="FF000000"/>
        <rFont val="Aptos Narrow"/>
        <scheme val="minor"/>
      </rPr>
      <t xml:space="preserve">"feesAmount": </t>
    </r>
    <r>
      <rPr>
        <b/>
        <sz val="12"/>
        <color rgb="FFC00000"/>
        <rFont val="Aptos Narrow"/>
        <scheme val="minor"/>
      </rPr>
      <t>For this case must be 49 999.99</t>
    </r>
  </si>
  <si>
    <r>
      <rPr>
        <b/>
        <sz val="12"/>
        <color rgb="FF000000"/>
        <rFont val="Aptos Narrow"/>
        <scheme val="minor"/>
      </rPr>
      <t xml:space="preserve">Fees Due: </t>
    </r>
    <r>
      <rPr>
        <sz val="12"/>
        <color rgb="FF000000"/>
        <rFont val="Aptos Narrow"/>
        <scheme val="minor"/>
      </rPr>
      <t>{{Value should be 0.01 for this Case}}</t>
    </r>
  </si>
  <si>
    <r>
      <rPr>
        <b/>
        <sz val="12"/>
        <color rgb="FF000000"/>
        <rFont val="Aptos Narrow"/>
        <scheme val="minor"/>
      </rPr>
      <t xml:space="preserve">Fees Paid: </t>
    </r>
    <r>
      <rPr>
        <sz val="12"/>
        <color rgb="FF000000"/>
        <rFont val="Aptos Narrow"/>
        <scheme val="minor"/>
      </rPr>
      <t xml:space="preserve">{{Value should be </t>
    </r>
    <r>
      <rPr>
        <b/>
        <sz val="12"/>
        <color rgb="FF000000"/>
        <rFont val="Aptos Narrow"/>
        <scheme val="minor"/>
      </rPr>
      <t>49 999.99</t>
    </r>
    <r>
      <rPr>
        <sz val="12"/>
        <color rgb="FF000000"/>
        <rFont val="Aptos Narrow"/>
        <scheme val="minor"/>
      </rPr>
      <t xml:space="preserve"> for this case}}</t>
    </r>
  </si>
  <si>
    <t>Fees Paid:</t>
  </si>
  <si>
    <r>
      <rPr>
        <b/>
        <sz val="12"/>
        <color rgb="FF000000"/>
        <rFont val="Calibri"/>
        <family val="2"/>
      </rPr>
      <t>ENG</t>
    </r>
    <r>
      <rPr>
        <sz val="12"/>
        <color rgb="FF000000"/>
        <rFont val="Calibri"/>
        <family val="2"/>
      </rPr>
      <t xml:space="preserve">: Penalty amount
</t>
    </r>
    <r>
      <rPr>
        <b/>
        <sz val="12"/>
        <color rgb="FF000000"/>
        <rFont val="Calibri"/>
        <family val="2"/>
      </rPr>
      <t>RUS</t>
    </r>
    <r>
      <rPr>
        <sz val="12"/>
        <color rgb="FF000000"/>
        <rFont val="Calibri"/>
        <family val="2"/>
      </rPr>
      <t xml:space="preserve">: Сумма Штрафа
</t>
    </r>
    <r>
      <rPr>
        <b/>
        <sz val="12"/>
        <color rgb="FF000000"/>
        <rFont val="Calibri"/>
        <family val="2"/>
      </rPr>
      <t>UZB</t>
    </r>
    <r>
      <rPr>
        <sz val="12"/>
        <color rgb="FF000000"/>
        <rFont val="Calibri"/>
        <family val="2"/>
      </rPr>
      <t>: Jarima miqdori</t>
    </r>
  </si>
  <si>
    <r>
      <rPr>
        <b/>
        <sz val="11"/>
        <color rgb="FF000000"/>
        <rFont val="Calibri"/>
        <family val="2"/>
      </rPr>
      <t>Value for Fees Amount:</t>
    </r>
    <r>
      <rPr>
        <sz val="11"/>
        <color rgb="FF000000"/>
        <rFont val="Calibri"/>
        <family val="2"/>
      </rPr>
      <t xml:space="preserve">  should be </t>
    </r>
    <r>
      <rPr>
        <b/>
        <sz val="11"/>
        <color rgb="FF000000"/>
        <rFont val="Calibri"/>
        <family val="2"/>
      </rPr>
      <t>Fees Paid</t>
    </r>
    <r>
      <rPr>
        <sz val="11"/>
        <color rgb="FF000000"/>
        <rFont val="Calibri"/>
        <family val="2"/>
      </rPr>
      <t xml:space="preserve"> value from Mambu</t>
    </r>
  </si>
  <si>
    <t>"feesAmount": "49999.99 UZS"</t>
  </si>
  <si>
    <t xml:space="preserve">  "feesAmount_MoneyObject": {
    "amount": "49999.99",
    "currencyCode": "UZS"
  },</t>
  </si>
  <si>
    <t>Case 6:</t>
  </si>
  <si>
    <r>
      <rPr>
        <b/>
        <sz val="16"/>
        <color rgb="FF000000"/>
        <rFont val="Aptos Narrow"/>
        <scheme val="minor"/>
      </rPr>
      <t xml:space="preserve">Case 6: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t>
    </r>
    <r>
      <rPr>
        <b/>
        <sz val="16"/>
        <color rgb="FF000000"/>
        <rFont val="Aptos Narrow"/>
        <scheme val="minor"/>
      </rPr>
      <t xml:space="preserve">FIXED Penalty </t>
    </r>
    <r>
      <rPr>
        <b/>
        <sz val="16"/>
        <color rgb="FFC00000"/>
        <rFont val="Aptos Narrow"/>
        <scheme val="minor"/>
      </rPr>
      <t>IS NOT</t>
    </r>
    <r>
      <rPr>
        <b/>
        <sz val="16"/>
        <color rgb="FF000000"/>
        <rFont val="Aptos Narrow"/>
        <scheme val="minor"/>
      </rPr>
      <t xml:space="preserve">  accrued</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 xml:space="preserve"> Full Total Due / Overdue Loan</t>
    </r>
    <r>
      <rPr>
        <b/>
        <sz val="16"/>
        <color rgb="FF000000"/>
        <rFont val="Aptos Narrow"/>
        <scheme val="minor"/>
      </rPr>
      <t xml:space="preserve"> from Loan Repayment field: amount should be same as Total Due amount (</t>
    </r>
    <r>
      <rPr>
        <b/>
        <sz val="16"/>
        <color rgb="FFC00000"/>
        <rFont val="Aptos Narrow"/>
        <scheme val="minor"/>
      </rPr>
      <t>Total due in mambu</t>
    </r>
    <r>
      <rPr>
        <b/>
        <sz val="16"/>
        <color rgb="FF000000"/>
        <rFont val="Aptos Narrow"/>
        <scheme val="minor"/>
      </rPr>
      <t>)</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</si>
  <si>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t>
    </r>
    <r>
      <rPr>
        <b/>
        <sz val="12"/>
        <color rgb="FFC00000"/>
        <rFont val="Aptos Narrow"/>
        <scheme val="minor"/>
      </rPr>
      <t xml:space="preserve">Pay  Overdue Loan Amount which is wriiten in the field </t>
    </r>
  </si>
  <si>
    <r>
      <rPr>
        <sz val="11"/>
        <color rgb="FF000000"/>
        <rFont val="Aptos Narrow"/>
        <scheme val="minor"/>
      </rPr>
      <t xml:space="preserve">After initiating </t>
    </r>
    <r>
      <rPr>
        <b/>
        <sz val="11"/>
        <color rgb="FF000000"/>
        <rFont val="Aptos Narrow"/>
        <scheme val="minor"/>
      </rPr>
      <t>Repay loan - NEW</t>
    </r>
    <r>
      <rPr>
        <sz val="11"/>
        <color rgb="FF000000"/>
        <rFont val="Aptos Narrow"/>
        <scheme val="minor"/>
      </rPr>
      <t xml:space="preserve"> process check, that process continues on following condiitons: </t>
    </r>
    <r>
      <rPr>
        <b/>
        <sz val="11"/>
        <color rgb="FFC00000"/>
        <rFont val="Aptos Narrow"/>
        <scheme val="minor"/>
      </rPr>
      <t xml:space="preserve"> {{repaymentAmount}} &gt;0</t>
    </r>
    <r>
      <rPr>
        <sz val="11"/>
        <color rgb="FF000000"/>
        <rFont val="Aptos Narrow"/>
        <scheme val="minor"/>
      </rPr>
      <t xml:space="preserve"> and then MUST checn, thay </t>
    </r>
    <r>
      <rPr>
        <b/>
        <sz val="14"/>
        <color rgb="FFC00000"/>
        <rFont val="Aptos Narrow"/>
        <scheme val="minor"/>
      </rPr>
      <t>Does NOT</t>
    </r>
    <r>
      <rPr>
        <sz val="11"/>
        <color rgb="FF000000"/>
        <rFont val="Aptos Narrow"/>
        <scheme val="minor"/>
      </rPr>
      <t xml:space="preserve"> continue on following one:</t>
    </r>
    <r>
      <rPr>
        <b/>
        <sz val="11"/>
        <color rgb="FFC00000"/>
        <rFont val="Aptos Narrow"/>
        <scheme val="minor"/>
      </rPr>
      <t xml:space="preserve"> {{isOverdue}} == true </t>
    </r>
    <r>
      <rPr>
        <sz val="11"/>
        <color rgb="FF000000"/>
        <rFont val="Aptos Narrow"/>
        <scheme val="minor"/>
      </rPr>
      <t>&amp;&amp;</t>
    </r>
    <r>
      <rPr>
        <b/>
        <sz val="11"/>
        <color rgb="FFC00000"/>
        <rFont val="Aptos Narrow"/>
        <scheme val="minor"/>
      </rPr>
      <t xml:space="preserve"> {{repaymentAmount}} &lt; {{GetLoanResponseData.Loan.OverdueAmount}} </t>
    </r>
  </si>
  <si>
    <r>
      <rPr>
        <sz val="11"/>
        <color rgb="FF000000"/>
        <rFont val="Aptos Narrow"/>
        <scheme val="minor"/>
      </rPr>
      <t xml:space="preserve">Check, that after Repay loan - NEW process </t>
    </r>
    <r>
      <rPr>
        <b/>
        <sz val="11"/>
        <color rgb="FFC00000"/>
        <rFont val="Aptos Narrow"/>
        <scheme val="minor"/>
      </rPr>
      <t>Does NOT</t>
    </r>
    <r>
      <rPr>
        <sz val="11"/>
        <color rgb="FF000000"/>
        <rFont val="Aptos Narrow"/>
        <scheme val="minor"/>
      </rPr>
      <t xml:space="preserve"> continues on following condition: </t>
    </r>
    <r>
      <rPr>
        <b/>
        <sz val="11"/>
        <color rgb="FFC00000"/>
        <rFont val="Aptos Narrow"/>
        <scheme val="minor"/>
      </rPr>
      <t xml:space="preserve"> {{isOverdue}} == true </t>
    </r>
    <r>
      <rPr>
        <sz val="11"/>
        <color rgb="FF0D0D0D"/>
        <rFont val="Aptos Narrow"/>
        <scheme val="minor"/>
      </rPr>
      <t>&amp;&amp;</t>
    </r>
    <r>
      <rPr>
        <b/>
        <sz val="11"/>
        <color rgb="FFC00000"/>
        <rFont val="Aptos Narrow"/>
        <scheme val="minor"/>
      </rPr>
      <t xml:space="preserve"> {{repaymentAmount}} &lt; {{GetLoanResponseData.Loan.OverdueAmount}} </t>
    </r>
    <r>
      <rPr>
        <sz val="11"/>
        <color rgb="FF000000"/>
        <rFont val="Aptos Narrow"/>
        <scheme val="minor"/>
      </rPr>
      <t xml:space="preserve">then following process is called: </t>
    </r>
    <r>
      <rPr>
        <b/>
        <sz val="11"/>
        <color rgb="FF000000"/>
        <rFont val="Aptos Narrow"/>
        <scheme val="minor"/>
      </rPr>
      <t>Repay loan - Mambu v2</t>
    </r>
  </si>
  <si>
    <r>
      <rPr>
        <sz val="11"/>
        <color rgb="FF000000"/>
        <rFont val="Aptos Narrow"/>
        <scheme val="minor"/>
      </rPr>
      <t xml:space="preserve">Check, that Repay loan - Mambu v2 process </t>
    </r>
    <r>
      <rPr>
        <b/>
        <sz val="11"/>
        <color rgb="FFC00000"/>
        <rFont val="Aptos Narrow"/>
        <scheme val="minor"/>
      </rPr>
      <t>Does NOT</t>
    </r>
    <r>
      <rPr>
        <sz val="11"/>
        <color rgb="FF000000"/>
        <rFont val="Aptos Narrow"/>
        <scheme val="minor"/>
      </rPr>
      <t xml:space="preserve"> go on following condition: </t>
    </r>
    <r>
      <rPr>
        <b/>
        <sz val="11"/>
        <color rgb="FFC00000"/>
        <rFont val="Aptos Narrow"/>
        <scheme val="minor"/>
      </rPr>
      <t>{{date}} ==</t>
    </r>
  </si>
  <si>
    <t>Success Page for Repay Loan of Overdue:</t>
  </si>
  <si>
    <r>
      <rPr>
        <b/>
        <sz val="12"/>
        <color rgb="FF000000"/>
        <rFont val="Aptos Narrow"/>
      </rPr>
      <t>ENG</t>
    </r>
    <r>
      <rPr>
        <sz val="12"/>
        <color rgb="FF000000"/>
        <rFont val="Aptos Narrow"/>
      </rPr>
      <t xml:space="preserve">: You have successfully paid the overdue
</t>
    </r>
    <r>
      <rPr>
        <b/>
        <sz val="12"/>
        <color rgb="FF000000"/>
        <rFont val="Aptos Narrow"/>
      </rPr>
      <t>RUS</t>
    </r>
    <r>
      <rPr>
        <sz val="12"/>
        <color rgb="FF000000"/>
        <rFont val="Aptos Narrow"/>
      </rPr>
      <t xml:space="preserve">: Вы успешно оплатили просрочку
</t>
    </r>
    <r>
      <rPr>
        <b/>
        <sz val="12"/>
        <color rgb="FF000000"/>
        <rFont val="Aptos Narrow"/>
      </rPr>
      <t>UZ</t>
    </r>
    <r>
      <rPr>
        <sz val="12"/>
        <color rgb="FF000000"/>
        <rFont val="Aptos Narrow"/>
      </rPr>
      <t>: Kechiktirilgan qarzdorligingiz to'landi</t>
    </r>
  </si>
  <si>
    <r>
      <rPr>
        <sz val="12"/>
        <color rgb="FF000000"/>
        <rFont val="Aptos Narrow"/>
        <scheme val="minor"/>
      </rPr>
      <t xml:space="preserve">After pressing Close button on Overdue Loan Success Page. process should continue on Overdue </t>
    </r>
    <r>
      <rPr>
        <b/>
        <sz val="12"/>
        <color rgb="FF000000"/>
        <rFont val="Aptos Narrow"/>
        <scheme val="minor"/>
      </rPr>
      <t>Loan Manage Page: Before Overdue Repayment, there was Overdue Loan Manage Page and because overdue amount was  paid fully, loan now is in Active State</t>
    </r>
  </si>
  <si>
    <t>Details to be checked on Loan Manage Page:</t>
  </si>
  <si>
    <r>
      <rPr>
        <sz val="11"/>
        <color rgb="FF000000"/>
        <rFont val="Calibri"/>
        <family val="2"/>
      </rPr>
      <t xml:space="preserve">* </t>
    </r>
    <r>
      <rPr>
        <b/>
        <sz val="11"/>
        <color rgb="FF000000"/>
        <rFont val="Calibri"/>
        <family val="2"/>
      </rPr>
      <t>Loan amount</t>
    </r>
    <r>
      <rPr>
        <sz val="11"/>
        <color rgb="FF000000"/>
        <rFont val="Calibri"/>
        <family val="2"/>
      </rPr>
      <t xml:space="preserve"> in the circle is Full loan amount</t>
    </r>
  </si>
  <si>
    <r>
      <rPr>
        <sz val="11"/>
        <color rgb="FF000000"/>
        <rFont val="Calibri"/>
        <family val="2"/>
      </rPr>
      <t xml:space="preserve">* </t>
    </r>
    <r>
      <rPr>
        <b/>
        <sz val="11"/>
        <color rgb="FF000000"/>
        <rFont val="Calibri"/>
        <family val="2"/>
      </rPr>
      <t>Payment Date</t>
    </r>
    <r>
      <rPr>
        <sz val="11"/>
        <color rgb="FF000000"/>
        <rFont val="Calibri"/>
        <family val="2"/>
      </rPr>
      <t xml:space="preserve"> is correct: check Mambu loan schedules first pending payment date</t>
    </r>
  </si>
  <si>
    <r>
      <rPr>
        <sz val="11"/>
        <color rgb="FF000000"/>
        <rFont val="Calibri"/>
        <family val="2"/>
      </rPr>
      <t xml:space="preserve">* </t>
    </r>
    <r>
      <rPr>
        <b/>
        <sz val="11"/>
        <color rgb="FF000000"/>
        <rFont val="Calibri"/>
        <family val="2"/>
      </rPr>
      <t>Next payment</t>
    </r>
    <r>
      <rPr>
        <sz val="11"/>
        <color rgb="FF000000"/>
        <rFont val="Calibri"/>
        <family val="2"/>
      </rPr>
      <t xml:space="preserve"> amount is correct: check Mambu loan schedules first pending payment amount</t>
    </r>
  </si>
  <si>
    <r>
      <rPr>
        <sz val="11"/>
        <color rgb="FF000000"/>
        <rFont val="Calibri"/>
        <family val="2"/>
      </rPr>
      <t xml:space="preserve">* </t>
    </r>
    <r>
      <rPr>
        <b/>
        <sz val="11"/>
        <color rgb="FF000000"/>
        <rFont val="Calibri"/>
        <family val="2"/>
      </rPr>
      <t>Remaining payments</t>
    </r>
    <r>
      <rPr>
        <sz val="11"/>
        <color rgb="FF000000"/>
        <rFont val="Calibri"/>
        <family val="2"/>
      </rPr>
      <t xml:space="preserve"> number is left payment number: In Mambu loan schedule sum of Pending status payments number</t>
    </r>
  </si>
  <si>
    <t>F</t>
  </si>
  <si>
    <t>https://spaceneobank.atlassian.net/jira/software/c/projects/HEN/boards/646?selectedIssue=HEN-538</t>
  </si>
  <si>
    <r>
      <rPr>
        <sz val="11"/>
        <color rgb="FF000000"/>
        <rFont val="Calibri"/>
        <family val="2"/>
      </rPr>
      <t xml:space="preserve">* </t>
    </r>
    <r>
      <rPr>
        <b/>
        <sz val="11"/>
        <color rgb="FF000000"/>
        <rFont val="Calibri"/>
        <family val="2"/>
      </rPr>
      <t>Agreement number</t>
    </r>
    <r>
      <rPr>
        <sz val="11"/>
        <color rgb="FF000000"/>
        <rFont val="Calibri"/>
        <family val="2"/>
      </rPr>
      <t xml:space="preserve"> field value is disbursed loan ID number</t>
    </r>
  </si>
  <si>
    <r>
      <rPr>
        <b/>
        <sz val="12"/>
        <color rgb="FF000000"/>
        <rFont val="Aptos Narrow"/>
        <scheme val="minor"/>
      </rPr>
      <t xml:space="preserve">    "paidFees": </t>
    </r>
    <r>
      <rPr>
        <sz val="12"/>
        <color rgb="FF000000"/>
        <rFont val="Aptos Narrow"/>
        <scheme val="minor"/>
      </rPr>
      <t xml:space="preserve">{{For this case </t>
    </r>
    <r>
      <rPr>
        <b/>
        <sz val="12"/>
        <color rgb="FF000000"/>
        <rFont val="Aptos Narrow"/>
        <scheme val="minor"/>
      </rPr>
      <t>0</t>
    </r>
    <r>
      <rPr>
        <sz val="12"/>
        <color rgb="FF000000"/>
        <rFont val="Aptos Narrow"/>
        <scheme val="minor"/>
      </rPr>
      <t xml:space="preserve"> UZS}}</t>
    </r>
  </si>
  <si>
    <t>customPaymentAmounts check</t>
  </si>
  <si>
    <t xml:space="preserve"> "customPaymentAmounts": [],</t>
  </si>
  <si>
    <r>
      <rPr>
        <b/>
        <sz val="12"/>
        <color rgb="FF000000"/>
        <rFont val="Aptos Narrow"/>
        <scheme val="minor"/>
      </rPr>
      <t xml:space="preserve">Fees Due: </t>
    </r>
    <r>
      <rPr>
        <sz val="12"/>
        <color rgb="FF000000"/>
        <rFont val="Aptos Narrow"/>
        <scheme val="minor"/>
      </rPr>
      <t>{{Value should be 0 for this Case}}</t>
    </r>
  </si>
  <si>
    <r>
      <rPr>
        <b/>
        <sz val="12"/>
        <color rgb="FF000000"/>
        <rFont val="Aptos Narrow"/>
        <scheme val="minor"/>
      </rPr>
      <t xml:space="preserve">Fees Paid: </t>
    </r>
    <r>
      <rPr>
        <sz val="12"/>
        <color rgb="FF000000"/>
        <rFont val="Aptos Narrow"/>
        <scheme val="minor"/>
      </rPr>
      <t xml:space="preserve">{{Value should be </t>
    </r>
    <r>
      <rPr>
        <b/>
        <sz val="12"/>
        <color rgb="FF000000"/>
        <rFont val="Aptos Narrow"/>
        <scheme val="minor"/>
      </rPr>
      <t>0</t>
    </r>
    <r>
      <rPr>
        <sz val="12"/>
        <color rgb="FF000000"/>
        <rFont val="Aptos Narrow"/>
        <scheme val="minor"/>
      </rPr>
      <t xml:space="preserve"> for this case}}</t>
    </r>
  </si>
  <si>
    <t>Case 7:</t>
  </si>
  <si>
    <r>
      <rPr>
        <b/>
        <sz val="16"/>
        <color rgb="FF000000"/>
        <rFont val="Aptos Narrow"/>
        <scheme val="minor"/>
      </rPr>
      <t xml:space="preserve">Case 7: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t>
    </r>
    <r>
      <rPr>
        <b/>
        <sz val="16"/>
        <color rgb="FF000000"/>
        <rFont val="Aptos Narrow"/>
        <scheme val="minor"/>
      </rPr>
      <t xml:space="preserve">FIXED Penalty </t>
    </r>
    <r>
      <rPr>
        <b/>
        <sz val="16"/>
        <color rgb="FFC00000"/>
        <rFont val="Aptos Narrow"/>
        <scheme val="minor"/>
      </rPr>
      <t>IS</t>
    </r>
    <r>
      <rPr>
        <b/>
        <sz val="16"/>
        <color rgb="FF000000"/>
        <rFont val="Aptos Narrow"/>
        <scheme val="minor"/>
      </rPr>
      <t xml:space="preserve"> accrued</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 xml:space="preserve"> Full Total Due / Overdue Loan</t>
    </r>
    <r>
      <rPr>
        <b/>
        <sz val="16"/>
        <color rgb="FF000000"/>
        <rFont val="Aptos Narrow"/>
        <scheme val="minor"/>
      </rPr>
      <t xml:space="preserve"> from Loan Repayment field: amount should be same as Total Due amount (</t>
    </r>
    <r>
      <rPr>
        <b/>
        <sz val="16"/>
        <color rgb="FFC00000"/>
        <rFont val="Aptos Narrow"/>
        <scheme val="minor"/>
      </rPr>
      <t>Total due in mambu</t>
    </r>
    <r>
      <rPr>
        <b/>
        <sz val="16"/>
        <color rgb="FF000000"/>
        <rFont val="Aptos Narrow"/>
        <scheme val="minor"/>
      </rPr>
      <t>)</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</si>
  <si>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t>
    </r>
    <r>
      <rPr>
        <b/>
        <sz val="12"/>
        <color rgb="FFC00000"/>
        <rFont val="Aptos Narrow"/>
        <scheme val="minor"/>
      </rPr>
      <t>Pay  Overdue Loan Amount which is written in the field</t>
    </r>
  </si>
  <si>
    <r>
      <rPr>
        <b/>
        <sz val="12"/>
        <color rgb="FF000000"/>
        <rFont val="Aptos Narrow"/>
        <scheme val="minor"/>
      </rPr>
      <t>"FeesPaid":</t>
    </r>
    <r>
      <rPr>
        <sz val="12"/>
        <color rgb="FF000000"/>
        <rFont val="Aptos Narrow"/>
        <scheme val="minor"/>
      </rPr>
      <t xml:space="preserve"> {{Value should be </t>
    </r>
    <r>
      <rPr>
        <b/>
        <sz val="12"/>
        <color rgb="FF000000"/>
        <rFont val="Aptos Narrow"/>
        <scheme val="minor"/>
      </rPr>
      <t>50 0000</t>
    </r>
    <r>
      <rPr>
        <sz val="12"/>
        <color rgb="FF000000"/>
        <rFont val="Aptos Narrow"/>
        <scheme val="minor"/>
      </rPr>
      <t xml:space="preserve"> for this case}}</t>
    </r>
  </si>
  <si>
    <r>
      <rPr>
        <b/>
        <sz val="12"/>
        <color rgb="FF000000"/>
        <rFont val="Aptos Narrow"/>
        <scheme val="minor"/>
      </rPr>
      <t xml:space="preserve">    "paidFees": </t>
    </r>
    <r>
      <rPr>
        <sz val="12"/>
        <color rgb="FF000000"/>
        <rFont val="Aptos Narrow"/>
        <scheme val="minor"/>
      </rPr>
      <t xml:space="preserve">{{For this case </t>
    </r>
    <r>
      <rPr>
        <b/>
        <sz val="12"/>
        <color rgb="FF000000"/>
        <rFont val="Aptos Narrow"/>
        <scheme val="minor"/>
      </rPr>
      <t>50 000</t>
    </r>
    <r>
      <rPr>
        <sz val="12"/>
        <color rgb="FF000000"/>
        <rFont val="Aptos Narrow"/>
        <scheme val="minor"/>
      </rPr>
      <t xml:space="preserve"> UZS}}</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</si>
  <si>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Fee, for this case 50 000</t>
    </r>
    <r>
      <rPr>
        <sz val="11"/>
        <color rgb="FF000000"/>
        <rFont val="Aptos Narrow"/>
        <scheme val="minor"/>
      </rPr>
      <t>}}</t>
    </r>
  </si>
  <si>
    <r>
      <rPr>
        <b/>
        <sz val="12"/>
        <color rgb="FF000000"/>
        <rFont val="Aptos Narrow"/>
        <scheme val="minor"/>
      </rPr>
      <t xml:space="preserve">"feesAmount": </t>
    </r>
    <r>
      <rPr>
        <b/>
        <sz val="12"/>
        <color rgb="FFC00000"/>
        <rFont val="Aptos Narrow"/>
        <scheme val="minor"/>
      </rPr>
      <t>For this case must be 50 000</t>
    </r>
  </si>
  <si>
    <r>
      <rPr>
        <b/>
        <sz val="12"/>
        <color rgb="FF000000"/>
        <rFont val="Aptos Narrow"/>
        <scheme val="minor"/>
      </rPr>
      <t xml:space="preserve">Fees Paid: </t>
    </r>
    <r>
      <rPr>
        <sz val="12"/>
        <color rgb="FF000000"/>
        <rFont val="Aptos Narrow"/>
        <scheme val="minor"/>
      </rPr>
      <t xml:space="preserve">{{Value should be </t>
    </r>
    <r>
      <rPr>
        <b/>
        <sz val="12"/>
        <color rgb="FF000000"/>
        <rFont val="Aptos Narrow"/>
        <scheme val="minor"/>
      </rPr>
      <t>50 000</t>
    </r>
    <r>
      <rPr>
        <sz val="12"/>
        <color rgb="FF000000"/>
        <rFont val="Aptos Narrow"/>
        <scheme val="minor"/>
      </rPr>
      <t xml:space="preserve"> for this case}}</t>
    </r>
  </si>
  <si>
    <t>"feesAmount": "50 000 UZS"</t>
  </si>
  <si>
    <t xml:space="preserve">  "feesAmount_MoneyObject": {
    "amount": "50 000",
    "currencyCode": "UZS"
  },</t>
  </si>
  <si>
    <t>Case 8.</t>
  </si>
  <si>
    <r>
      <rPr>
        <b/>
        <sz val="16"/>
        <color rgb="FF000000"/>
        <rFont val="Aptos Narrow"/>
        <scheme val="minor"/>
      </rPr>
      <t xml:space="preserve">Case 8: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 Penalty Balance is 0.</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amount should be less then Overdue amount (</t>
    </r>
    <r>
      <rPr>
        <b/>
        <sz val="16"/>
        <color rgb="FFC00000"/>
        <rFont val="Aptos Narrow"/>
        <scheme val="minor"/>
      </rPr>
      <t>Total due in mambu</t>
    </r>
    <r>
      <rPr>
        <b/>
        <sz val="16"/>
        <color rgb="FF000000"/>
        <rFont val="Aptos Narrow"/>
        <scheme val="minor"/>
      </rPr>
      <t>)</t>
    </r>
  </si>
  <si>
    <r>
      <rPr>
        <b/>
        <sz val="14"/>
        <color rgb="FF000000"/>
        <rFont val="Aptos Narrow"/>
        <scheme val="minor"/>
      </rPr>
      <t>Precondition</t>
    </r>
    <r>
      <rPr>
        <sz val="14"/>
        <color rgb="FF000000"/>
        <rFont val="Aptos Narrow"/>
        <scheme val="minor"/>
      </rPr>
      <t xml:space="preserve">: You must have </t>
    </r>
    <r>
      <rPr>
        <b/>
        <sz val="14"/>
        <color rgb="FFC00000"/>
        <rFont val="Aptos Narrow"/>
        <scheme val="minor"/>
      </rPr>
      <t>0 balance Penalty Due</t>
    </r>
    <r>
      <rPr>
        <sz val="14"/>
        <color rgb="FF000000"/>
        <rFont val="Aptos Narrow"/>
        <scheme val="minor"/>
      </rPr>
      <t xml:space="preserve"> (Pay it with </t>
    </r>
    <r>
      <rPr>
        <b/>
        <sz val="14"/>
        <color rgb="FF000000"/>
        <rFont val="Aptos Narrow"/>
        <scheme val="minor"/>
      </rPr>
      <t>Custom Repayment in Mambu</t>
    </r>
    <r>
      <rPr>
        <sz val="14"/>
        <color rgb="FF000000"/>
        <rFont val="Aptos Narrow"/>
        <scheme val="minor"/>
      </rPr>
      <t xml:space="preserve">) and </t>
    </r>
    <r>
      <rPr>
        <b/>
        <sz val="14"/>
        <color rgb="FF000000"/>
        <rFont val="Aptos Narrow"/>
        <scheme val="minor"/>
      </rPr>
      <t>only after this correct Balances in iABS</t>
    </r>
  </si>
  <si>
    <r>
      <rPr>
        <b/>
        <sz val="12"/>
        <color rgb="FF000000"/>
        <rFont val="Aptos Narrow"/>
        <scheme val="minor"/>
      </rPr>
      <t>"PenaltyPaid":</t>
    </r>
    <r>
      <rPr>
        <sz val="12"/>
        <color rgb="FF000000"/>
        <rFont val="Aptos Narrow"/>
        <scheme val="minor"/>
      </rPr>
      <t xml:space="preserve"> {{Value should be Penalty amount calculated with Repay Formula, </t>
    </r>
    <r>
      <rPr>
        <b/>
        <sz val="12"/>
        <color rgb="FFC00000"/>
        <rFont val="Aptos Narrow"/>
        <scheme val="minor"/>
      </rPr>
      <t>for this case 0</t>
    </r>
    <r>
      <rPr>
        <sz val="12"/>
        <color rgb="FF000000"/>
        <rFont val="Aptos Narrow"/>
        <scheme val="minor"/>
      </rPr>
      <t>}}</t>
    </r>
  </si>
  <si>
    <r>
      <rPr>
        <b/>
        <sz val="12"/>
        <color rgb="FF000000"/>
        <rFont val="Aptos Narrow"/>
        <scheme val="minor"/>
      </rPr>
      <t xml:space="preserve">    "paidPenalty"</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Repay Formula, </t>
    </r>
    <r>
      <rPr>
        <b/>
        <sz val="12"/>
        <color rgb="FFC00000"/>
        <rFont val="Aptos Narrow"/>
        <scheme val="minor"/>
      </rPr>
      <t>for this case 0}</t>
    </r>
    <r>
      <rPr>
        <sz val="12"/>
        <color rgb="FF000000"/>
        <rFont val="Aptos Narrow"/>
        <scheme val="minor"/>
      </rPr>
      <t>}</t>
    </r>
  </si>
  <si>
    <r>
      <rPr>
        <b/>
        <sz val="12"/>
        <color rgb="FF000000"/>
        <rFont val="Aptos Narrow"/>
        <scheme val="minor"/>
      </rPr>
      <t>"penaltyAmount":</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Repay Formula, </t>
    </r>
    <r>
      <rPr>
        <b/>
        <sz val="12"/>
        <color rgb="FFC00000"/>
        <rFont val="Aptos Narrow"/>
        <scheme val="minor"/>
      </rPr>
      <t>for this case 0</t>
    </r>
    <r>
      <rPr>
        <sz val="12"/>
        <color rgb="FF000000"/>
        <rFont val="Aptos Narrow"/>
        <scheme val="minor"/>
      </rPr>
      <t>}}</t>
    </r>
  </si>
  <si>
    <r>
      <rPr>
        <b/>
        <sz val="12"/>
        <color rgb="FF000000"/>
        <rFont val="Aptos Narrow"/>
        <scheme val="minor"/>
      </rPr>
      <t xml:space="preserve">Penalty Due: </t>
    </r>
    <r>
      <rPr>
        <sz val="12"/>
        <color rgb="FF000000"/>
        <rFont val="Aptos Narrow"/>
        <scheme val="minor"/>
      </rPr>
      <t xml:space="preserve">{{Value should </t>
    </r>
    <r>
      <rPr>
        <b/>
        <sz val="12"/>
        <color rgb="FF000000"/>
        <rFont val="Aptos Narrow"/>
        <scheme val="minor"/>
      </rPr>
      <t>Penalty Due</t>
    </r>
    <r>
      <rPr>
        <sz val="12"/>
        <color rgb="FF000000"/>
        <rFont val="Aptos Narrow"/>
        <scheme val="minor"/>
      </rPr>
      <t xml:space="preserve"> value after repayment calculated with </t>
    </r>
    <r>
      <rPr>
        <b/>
        <sz val="12"/>
        <color rgb="FF000000"/>
        <rFont val="Aptos Narrow"/>
        <scheme val="minor"/>
      </rPr>
      <t xml:space="preserve">Repay Formula, </t>
    </r>
    <r>
      <rPr>
        <b/>
        <sz val="12"/>
        <color rgb="FFC00000"/>
        <rFont val="Aptos Narrow"/>
        <scheme val="minor"/>
      </rPr>
      <t>for this case 0</t>
    </r>
    <r>
      <rPr>
        <sz val="12"/>
        <color rgb="FF000000"/>
        <rFont val="Aptos Narrow"/>
        <scheme val="minor"/>
      </rPr>
      <t>}}</t>
    </r>
  </si>
  <si>
    <r>
      <rPr>
        <b/>
        <sz val="12"/>
        <color rgb="FF000000"/>
        <rFont val="Aptos Narrow"/>
        <scheme val="minor"/>
      </rPr>
      <t xml:space="preserve">Penalty Paid: </t>
    </r>
    <r>
      <rPr>
        <sz val="12"/>
        <color rgb="FF000000"/>
        <rFont val="Aptos Narrow"/>
        <scheme val="minor"/>
      </rPr>
      <t xml:space="preserve">{{Value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 xml:space="preserve">Repay Formula, </t>
    </r>
    <r>
      <rPr>
        <b/>
        <sz val="12"/>
        <color rgb="FFC00000"/>
        <rFont val="Aptos Narrow"/>
        <scheme val="minor"/>
      </rPr>
      <t>for this case Paid Penalty, which you paid from Mambu Custom Repayment</t>
    </r>
    <r>
      <rPr>
        <sz val="12"/>
        <color rgb="FF000000"/>
        <rFont val="Aptos Narrow"/>
        <scheme val="minor"/>
      </rPr>
      <t>}}</t>
    </r>
  </si>
  <si>
    <t>Case 9</t>
  </si>
  <si>
    <r>
      <rPr>
        <b/>
        <sz val="16"/>
        <color rgb="FF000000"/>
        <rFont val="Aptos Narrow"/>
        <scheme val="minor"/>
      </rPr>
      <t xml:space="preserve">Case 9: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 Penalty Balance is 0 &amp; Interest Due Balance is 0.</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amount should be less then Overdue amount (</t>
    </r>
    <r>
      <rPr>
        <b/>
        <sz val="16"/>
        <color rgb="FFC00000"/>
        <rFont val="Aptos Narrow"/>
        <scheme val="minor"/>
      </rPr>
      <t>Total due in mambu</t>
    </r>
    <r>
      <rPr>
        <b/>
        <sz val="16"/>
        <color rgb="FF000000"/>
        <rFont val="Aptos Narrow"/>
        <scheme val="minor"/>
      </rPr>
      <t>)</t>
    </r>
  </si>
  <si>
    <r>
      <rPr>
        <b/>
        <sz val="14"/>
        <color rgb="FF000000"/>
        <rFont val="Aptos Narrow"/>
        <scheme val="minor"/>
      </rPr>
      <t>Precondition</t>
    </r>
    <r>
      <rPr>
        <sz val="14"/>
        <color rgb="FF000000"/>
        <rFont val="Aptos Narrow"/>
        <scheme val="minor"/>
      </rPr>
      <t xml:space="preserve">: You must have </t>
    </r>
    <r>
      <rPr>
        <b/>
        <sz val="14"/>
        <color rgb="FFC00000"/>
        <rFont val="Aptos Narrow"/>
        <scheme val="minor"/>
      </rPr>
      <t xml:space="preserve">0 balance Penalty Due and 0 balance Interest Due </t>
    </r>
    <r>
      <rPr>
        <sz val="14"/>
        <color rgb="FF000000"/>
        <rFont val="Aptos Narrow"/>
        <scheme val="minor"/>
      </rPr>
      <t xml:space="preserve">(Pay it with </t>
    </r>
    <r>
      <rPr>
        <b/>
        <sz val="14"/>
        <color rgb="FF000000"/>
        <rFont val="Aptos Narrow"/>
        <scheme val="minor"/>
      </rPr>
      <t>Custom Repayment in Mambu</t>
    </r>
    <r>
      <rPr>
        <sz val="14"/>
        <color rgb="FF000000"/>
        <rFont val="Aptos Narrow"/>
        <scheme val="minor"/>
      </rPr>
      <t xml:space="preserve">) and </t>
    </r>
    <r>
      <rPr>
        <b/>
        <sz val="14"/>
        <color rgb="FF000000"/>
        <rFont val="Aptos Narrow"/>
        <scheme val="minor"/>
      </rPr>
      <t>only after this correct Balances in iABS</t>
    </r>
  </si>
  <si>
    <r>
      <rPr>
        <b/>
        <sz val="12"/>
        <color rgb="FF000000"/>
        <rFont val="Aptos Narrow"/>
        <scheme val="minor"/>
      </rPr>
      <t>"InterestPaid":</t>
    </r>
    <r>
      <rPr>
        <sz val="12"/>
        <color rgb="FF000000"/>
        <rFont val="Aptos Narrow"/>
        <scheme val="minor"/>
      </rPr>
      <t xml:space="preserve"> {{Value should be Overdue Interest amount calculated with Repay Formula, </t>
    </r>
    <r>
      <rPr>
        <b/>
        <sz val="12"/>
        <color rgb="FFC00000"/>
        <rFont val="Aptos Narrow"/>
        <scheme val="minor"/>
      </rPr>
      <t>for this case 0</t>
    </r>
    <r>
      <rPr>
        <sz val="12"/>
        <color rgb="FF000000"/>
        <rFont val="Aptos Narrow"/>
        <scheme val="minor"/>
      </rPr>
      <t>}}</t>
    </r>
  </si>
  <si>
    <r>
      <rPr>
        <b/>
        <sz val="12"/>
        <color rgb="FF000000"/>
        <rFont val="Aptos Narrow"/>
        <scheme val="minor"/>
      </rPr>
      <t xml:space="preserve">    "paidOverDueInterest":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 </t>
    </r>
    <r>
      <rPr>
        <b/>
        <sz val="12"/>
        <color rgb="FFC00000"/>
        <rFont val="Aptos Narrow"/>
        <scheme val="minor"/>
      </rPr>
      <t>for this case 0</t>
    </r>
    <r>
      <rPr>
        <sz val="12"/>
        <color rgb="FF000000"/>
        <rFont val="Aptos Narrow"/>
        <scheme val="minor"/>
      </rPr>
      <t>}}</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</si>
  <si>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 </t>
    </r>
    <r>
      <rPr>
        <b/>
        <sz val="12"/>
        <color rgb="FFC00000"/>
        <rFont val="Aptos Narrow"/>
        <scheme val="minor"/>
      </rPr>
      <t>for this case 0</t>
    </r>
    <r>
      <rPr>
        <sz val="12"/>
        <color rgb="FF000000"/>
        <rFont val="Aptos Narrow"/>
        <scheme val="minor"/>
      </rPr>
      <t>}}</t>
    </r>
  </si>
  <si>
    <r>
      <rPr>
        <b/>
        <sz val="12"/>
        <color rgb="FF000000"/>
        <rFont val="Aptos Narrow"/>
        <scheme val="minor"/>
      </rPr>
      <t xml:space="preserve">Interest Due: </t>
    </r>
    <r>
      <rPr>
        <sz val="12"/>
        <color rgb="FF000000"/>
        <rFont val="Aptos Narrow"/>
        <scheme val="minor"/>
      </rPr>
      <t xml:space="preserve">{{Value should </t>
    </r>
    <r>
      <rPr>
        <b/>
        <sz val="12"/>
        <color rgb="FF000000"/>
        <rFont val="Aptos Narrow"/>
        <scheme val="minor"/>
      </rPr>
      <t>Interest Due</t>
    </r>
    <r>
      <rPr>
        <sz val="12"/>
        <color rgb="FF000000"/>
        <rFont val="Aptos Narrow"/>
        <scheme val="minor"/>
      </rPr>
      <t xml:space="preserve"> value after repayment calculated with </t>
    </r>
    <r>
      <rPr>
        <b/>
        <sz val="12"/>
        <color rgb="FF000000"/>
        <rFont val="Aptos Narrow"/>
        <scheme val="minor"/>
      </rPr>
      <t xml:space="preserve">Repay Formula, </t>
    </r>
    <r>
      <rPr>
        <b/>
        <sz val="12"/>
        <color rgb="FFC00000"/>
        <rFont val="Aptos Narrow"/>
        <scheme val="minor"/>
      </rPr>
      <t>for this case 0</t>
    </r>
    <r>
      <rPr>
        <sz val="12"/>
        <color rgb="FF000000"/>
        <rFont val="Aptos Narrow"/>
        <scheme val="minor"/>
      </rPr>
      <t>}}</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</si>
  <si>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 xml:space="preserve">Repay Formula, </t>
    </r>
    <r>
      <rPr>
        <b/>
        <sz val="12"/>
        <color rgb="FFC00000"/>
        <rFont val="Aptos Narrow"/>
        <scheme val="minor"/>
      </rPr>
      <t>for this case Paid Overdue Interest, which you paid from Mambu Custom Repayment</t>
    </r>
    <r>
      <rPr>
        <sz val="12"/>
        <color rgb="FF000000"/>
        <rFont val="Aptos Narrow"/>
        <scheme val="minor"/>
      </rPr>
      <t>}}</t>
    </r>
  </si>
  <si>
    <t>Case 10</t>
  </si>
  <si>
    <r>
      <rPr>
        <b/>
        <sz val="16"/>
        <color rgb="FF000000"/>
        <rFont val="Aptos Narrow"/>
        <scheme val="minor"/>
      </rPr>
      <t xml:space="preserve">Case 10: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 Overdue Interest Balance is 0.</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amount should be less then Overdue amount (</t>
    </r>
    <r>
      <rPr>
        <b/>
        <sz val="16"/>
        <color rgb="FFC00000"/>
        <rFont val="Aptos Narrow"/>
        <scheme val="minor"/>
      </rPr>
      <t>Total due in mambu</t>
    </r>
    <r>
      <rPr>
        <b/>
        <sz val="16"/>
        <color rgb="FF000000"/>
        <rFont val="Aptos Narrow"/>
        <scheme val="minor"/>
      </rPr>
      <t>)</t>
    </r>
  </si>
  <si>
    <r>
      <rPr>
        <b/>
        <sz val="14"/>
        <color rgb="FF000000"/>
        <rFont val="Aptos Narrow"/>
        <scheme val="minor"/>
      </rPr>
      <t>Precondition</t>
    </r>
    <r>
      <rPr>
        <sz val="14"/>
        <color rgb="FF000000"/>
        <rFont val="Aptos Narrow"/>
        <scheme val="minor"/>
      </rPr>
      <t xml:space="preserve">: You must have </t>
    </r>
    <r>
      <rPr>
        <b/>
        <sz val="14"/>
        <color rgb="FFC00000"/>
        <rFont val="Aptos Narrow"/>
        <scheme val="minor"/>
      </rPr>
      <t>0 balance Interest Due</t>
    </r>
    <r>
      <rPr>
        <sz val="14"/>
        <color rgb="FF000000"/>
        <rFont val="Aptos Narrow"/>
        <scheme val="minor"/>
      </rPr>
      <t xml:space="preserve"> (Pay it with </t>
    </r>
    <r>
      <rPr>
        <b/>
        <sz val="14"/>
        <color rgb="FF000000"/>
        <rFont val="Aptos Narrow"/>
        <scheme val="minor"/>
      </rPr>
      <t>Custom Repayment in Mambu</t>
    </r>
    <r>
      <rPr>
        <sz val="14"/>
        <color rgb="FF000000"/>
        <rFont val="Aptos Narrow"/>
        <scheme val="minor"/>
      </rPr>
      <t xml:space="preserve">) and </t>
    </r>
    <r>
      <rPr>
        <b/>
        <sz val="14"/>
        <color rgb="FF000000"/>
        <rFont val="Aptos Narrow"/>
        <scheme val="minor"/>
      </rPr>
      <t>only after this correct Balances in iABS</t>
    </r>
  </si>
  <si>
    <t>Case 11:</t>
  </si>
  <si>
    <r>
      <rPr>
        <b/>
        <sz val="16"/>
        <color rgb="FF000000"/>
        <rFont val="Aptos Narrow"/>
        <scheme val="minor"/>
      </rPr>
      <t xml:space="preserve">Case 11: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t>
    </r>
    <r>
      <rPr>
        <b/>
        <sz val="16"/>
        <color rgb="FF000000"/>
        <rFont val="Aptos Narrow"/>
        <scheme val="minor"/>
      </rPr>
      <t xml:space="preserve">FIXED Penalty </t>
    </r>
    <r>
      <rPr>
        <b/>
        <sz val="16"/>
        <color rgb="FFC00000"/>
        <rFont val="Aptos Narrow"/>
        <scheme val="minor"/>
      </rPr>
      <t>IS</t>
    </r>
    <r>
      <rPr>
        <b/>
        <sz val="16"/>
        <color rgb="FF000000"/>
        <rFont val="Aptos Narrow"/>
        <scheme val="minor"/>
      </rPr>
      <t xml:space="preserve"> accrued</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 xml:space="preserve"> Full Total Due / Overdue Loan + 0.01 UZS</t>
    </r>
    <r>
      <rPr>
        <b/>
        <sz val="16"/>
        <color rgb="FF000000"/>
        <rFont val="Aptos Narrow"/>
        <scheme val="minor"/>
      </rPr>
      <t xml:space="preserve"> from Loan Repayment field: amount should be same as Total Due amount (</t>
    </r>
    <r>
      <rPr>
        <b/>
        <sz val="16"/>
        <color rgb="FFC00000"/>
        <rFont val="Aptos Narrow"/>
        <scheme val="minor"/>
      </rPr>
      <t>Total due in mambu</t>
    </r>
    <r>
      <rPr>
        <b/>
        <sz val="16"/>
        <color rgb="FF000000"/>
        <rFont val="Aptos Narrow"/>
        <scheme val="minor"/>
      </rPr>
      <t>) + 0.01 UZS</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</si>
  <si>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t>
    </r>
    <r>
      <rPr>
        <b/>
        <sz val="12"/>
        <color rgb="FFC00000"/>
        <rFont val="Aptos Narrow"/>
        <scheme val="minor"/>
      </rPr>
      <t>Pay  Overdue Loan Amount which is written in the field + 0.01 UZS</t>
    </r>
  </si>
  <si>
    <r>
      <rPr>
        <b/>
        <sz val="12"/>
        <color rgb="FF000000"/>
        <rFont val="Aptos Narrow"/>
        <scheme val="minor"/>
      </rPr>
      <t>"PenaltyPaid":</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</si>
  <si>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 + 0.01 UZS</t>
    </r>
    <r>
      <rPr>
        <sz val="12"/>
        <color rgb="FF000000"/>
        <rFont val="Aptos Narrow"/>
        <scheme val="minor"/>
      </rPr>
      <t>}}</t>
    </r>
  </si>
  <si>
    <r>
      <rPr>
        <b/>
        <sz val="12"/>
        <color rgb="FF000000"/>
        <rFont val="Aptos Narrow"/>
        <scheme val="minor"/>
      </rPr>
      <t>"PrincipalPaid":</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</si>
  <si>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    "paidInterest": </t>
    </r>
    <r>
      <rPr>
        <sz val="12"/>
        <color rgb="FF000000"/>
        <rFont val="Aptos Narrow"/>
        <scheme val="minor"/>
      </rPr>
      <t xml:space="preserve">{{For this case </t>
    </r>
    <r>
      <rPr>
        <b/>
        <sz val="12"/>
        <color rgb="FF000000"/>
        <rFont val="Aptos Narrow"/>
        <scheme val="minor"/>
      </rPr>
      <t>0.01 UZS</t>
    </r>
    <r>
      <rPr>
        <sz val="12"/>
        <color rgb="FF000000"/>
        <rFont val="Aptos Narrow"/>
        <scheme val="minor"/>
      </rPr>
      <t>}}</t>
    </r>
  </si>
  <si>
    <r>
      <rPr>
        <b/>
        <sz val="12"/>
        <color rgb="FF000000"/>
        <rFont val="Aptos Narrow"/>
        <scheme val="minor"/>
      </rPr>
      <t xml:space="preserve">    "paidPrincipal"</t>
    </r>
    <r>
      <rPr>
        <sz val="12"/>
        <color rgb="FF000000"/>
        <rFont val="Aptos Narrow"/>
        <scheme val="minor"/>
      </rPr>
      <t>: {{For this case 0}}</t>
    </r>
  </si>
  <si>
    <t>Transaction 6:</t>
  </si>
  <si>
    <r>
      <rPr>
        <sz val="11"/>
        <color rgb="FF000000"/>
        <rFont val="Aptos Narrow"/>
        <scheme val="minor"/>
      </rPr>
      <t xml:space="preserve">          </t>
    </r>
    <r>
      <rPr>
        <b/>
        <sz val="11"/>
        <color rgb="FF000000"/>
        <rFont val="Aptos Narrow"/>
        <scheme val="minor"/>
      </rPr>
      <t xml:space="preserve">  "recipient": {
                "branchId": "01180",
                "accountNumber": </t>
    </r>
    <r>
      <rPr>
        <sz val="11"/>
        <color rgb="FF000000"/>
        <rFont val="Aptos Narrow"/>
        <scheme val="minor"/>
      </rPr>
      <t xml:space="preserve"> value should be Loan`s </t>
    </r>
    <r>
      <rPr>
        <b/>
        <u/>
        <sz val="11"/>
        <color rgb="FFFF0000"/>
        <rFont val="Aptos Narrow"/>
        <scheme val="minor"/>
      </rPr>
      <t>Interest Accrual Account</t>
    </r>
    <r>
      <rPr>
        <b/>
        <u val="double"/>
        <sz val="11"/>
        <color rgb="FFFF0000"/>
        <rFont val="Aptos Narrow"/>
        <scheme val="minor"/>
      </rPr>
      <t xml:space="preserve"> </t>
    </r>
    <r>
      <rPr>
        <sz val="11"/>
        <color rgb="FF000000"/>
        <rFont val="Aptos Narrow"/>
        <scheme val="minor"/>
      </rPr>
      <t>from Mambu</t>
    </r>
  </si>
  <si>
    <r>
      <rPr>
        <b/>
        <sz val="11"/>
        <color rgb="FF000000"/>
        <rFont val="Aptos Narrow"/>
        <scheme val="minor"/>
      </rPr>
      <t xml:space="preserve">"purposeOrCashSymbol": {
                "code": </t>
    </r>
    <r>
      <rPr>
        <sz val="11"/>
        <color rgb="FF000000"/>
        <rFont val="Aptos Narrow"/>
        <scheme val="minor"/>
      </rPr>
      <t>"01015"</t>
    </r>
  </si>
  <si>
    <r>
      <rPr>
        <b/>
        <sz val="11"/>
        <color rgb="FF000000"/>
        <rFont val="Aptos Narrow"/>
        <scheme val="minor"/>
      </rPr>
      <t>"name": Погашение начисленных процентов по кредитному договору №</t>
    </r>
    <r>
      <rPr>
        <b/>
        <sz val="11"/>
        <color rgb="FFFF0000"/>
        <rFont val="Aptos Narrow"/>
        <scheme val="minor"/>
      </rPr>
      <t>{{LoanId Value}} от {{DisbursementDate for loan: can be seen in Mambu General fields: Activation date}}</t>
    </r>
  </si>
  <si>
    <r>
      <rPr>
        <sz val="11"/>
        <color rgb="FF000000"/>
        <rFont val="Aptos Narrow"/>
        <scheme val="minor"/>
      </rPr>
      <t>"</t>
    </r>
    <r>
      <rPr>
        <b/>
        <sz val="11"/>
        <color rgb="FF000000"/>
        <rFont val="Aptos Narrow"/>
        <scheme val="minor"/>
      </rPr>
      <t>amount</t>
    </r>
    <r>
      <rPr>
        <sz val="11"/>
        <color rgb="FF000000"/>
        <rFont val="Aptos Narrow"/>
        <scheme val="minor"/>
      </rPr>
      <t xml:space="preserve">": Amount that was transfered from Settlemet account to Interest Account: </t>
    </r>
    <r>
      <rPr>
        <b/>
        <sz val="11"/>
        <color rgb="FF000000"/>
        <rFont val="Aptos Narrow"/>
        <scheme val="minor"/>
      </rPr>
      <t>for this case 0.01 UZS</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</si>
  <si>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Mambu after repayment: refresh Mambu, </t>
    </r>
    <r>
      <rPr>
        <b/>
        <sz val="12"/>
        <color rgb="FFC00000"/>
        <rFont val="Aptos Narrow"/>
        <scheme val="minor"/>
      </rPr>
      <t>for this case 0 UZS</t>
    </r>
    <r>
      <rPr>
        <sz val="12"/>
        <color rgb="FF000000"/>
        <rFont val="Aptos Narrow"/>
        <scheme val="minor"/>
      </rPr>
      <t>}}</t>
    </r>
  </si>
  <si>
    <r>
      <rPr>
        <b/>
        <sz val="12"/>
        <color rgb="FF000000"/>
        <rFont val="Aptos Narrow"/>
        <scheme val="minor"/>
      </rPr>
      <t>"principalAmount":</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</si>
  <si>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 + 0.01 UZS</t>
    </r>
    <r>
      <rPr>
        <sz val="12"/>
        <color rgb="FF000000"/>
        <rFont val="Aptos Narrow"/>
        <scheme val="minor"/>
      </rPr>
      <t>}}</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</si>
  <si>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 + 0.01 UZS</t>
    </r>
    <r>
      <rPr>
        <sz val="12"/>
        <color rgb="FF000000"/>
        <rFont val="Aptos Narrow"/>
        <scheme val="minor"/>
      </rPr>
      <t>}}</t>
    </r>
  </si>
  <si>
    <r>
      <rPr>
        <b/>
        <sz val="12"/>
        <color rgb="FF000000"/>
        <rFont val="Aptos Narrow"/>
        <scheme val="minor"/>
      </rPr>
      <t>"Interest 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 + 0.01 UZS}}</t>
    </r>
  </si>
  <si>
    <r>
      <rPr>
        <sz val="12"/>
        <color rgb="FF000000"/>
        <rFont val="Aptos Narrow"/>
        <scheme val="minor"/>
      </rPr>
      <t xml:space="preserve">"interestAmount_MoneyObject": {
    "amount": </t>
    </r>
    <r>
      <rPr>
        <b/>
        <sz val="12"/>
        <color rgb="FF000000"/>
        <rFont val="Aptos Narrow"/>
        <scheme val="minor"/>
      </rPr>
      <t xml:space="preserve">{{Paid Amount for Interest}} </t>
    </r>
    <r>
      <rPr>
        <sz val="12"/>
        <color rgb="FF000000"/>
        <rFont val="Aptos Narrow"/>
        <scheme val="minor"/>
      </rPr>
      <t>,
    "currencyCode": "UZS"
  },</t>
    </r>
  </si>
  <si>
    <r>
      <rPr>
        <sz val="12"/>
        <color rgb="FF000000"/>
        <rFont val="Aptos Narrow"/>
        <scheme val="minor"/>
      </rPr>
      <t xml:space="preserve">"penaltyAmount_MoneyObject": {
    "amount": </t>
    </r>
    <r>
      <rPr>
        <b/>
        <sz val="12"/>
        <color rgb="FF000000"/>
        <rFont val="Aptos Narrow"/>
        <scheme val="minor"/>
      </rPr>
      <t xml:space="preserve">{{Paid Amount for Penalty}} ,
</t>
    </r>
    <r>
      <rPr>
        <sz val="12"/>
        <color rgb="FF000000"/>
        <rFont val="Aptos Narrow"/>
        <scheme val="minor"/>
      </rPr>
      <t xml:space="preserve">    "currencyCode": "UZS"
  },</t>
    </r>
  </si>
  <si>
    <r>
      <rPr>
        <sz val="12"/>
        <color rgb="FF000000"/>
        <rFont val="Calibri"/>
        <family val="2"/>
      </rPr>
      <t xml:space="preserve">  "principalAmount_MoneyObject": {
    "amount": </t>
    </r>
    <r>
      <rPr>
        <b/>
        <sz val="12"/>
        <color rgb="FF000000"/>
        <rFont val="Calibri"/>
        <family val="2"/>
      </rPr>
      <t>{{Paid Amount for Principal}}</t>
    </r>
    <r>
      <rPr>
        <sz val="12"/>
        <color rgb="FF000000"/>
        <rFont val="Calibri"/>
        <family val="2"/>
      </rPr>
      <t>,
    "currencyCode": "UZS"
  },</t>
    </r>
  </si>
  <si>
    <t>Case 12:</t>
  </si>
  <si>
    <r>
      <rPr>
        <b/>
        <sz val="16"/>
        <color rgb="FF000000"/>
        <rFont val="Aptos Narrow"/>
        <scheme val="minor"/>
      </rPr>
      <t xml:space="preserve">Case 12: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t>
    </r>
    <r>
      <rPr>
        <b/>
        <sz val="16"/>
        <color rgb="FF000000"/>
        <rFont val="Aptos Narrow"/>
        <scheme val="minor"/>
      </rPr>
      <t xml:space="preserve">FIXED Penalty </t>
    </r>
    <r>
      <rPr>
        <b/>
        <sz val="16"/>
        <color rgb="FFC00000"/>
        <rFont val="Aptos Narrow"/>
        <scheme val="minor"/>
      </rPr>
      <t>IS NOT</t>
    </r>
    <r>
      <rPr>
        <b/>
        <sz val="16"/>
        <color rgb="FF000000"/>
        <rFont val="Aptos Narrow"/>
        <scheme val="minor"/>
      </rPr>
      <t xml:space="preserve"> accrued</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 xml:space="preserve"> Full Total Due / Overdue Loan + Accrued Interest</t>
    </r>
    <r>
      <rPr>
        <b/>
        <sz val="16"/>
        <color rgb="FF000000"/>
        <rFont val="Aptos Narrow"/>
        <scheme val="minor"/>
      </rPr>
      <t xml:space="preserve"> from Loan Repayment field: amount should be same as Total Due amount (</t>
    </r>
    <r>
      <rPr>
        <b/>
        <sz val="16"/>
        <color rgb="FFC00000"/>
        <rFont val="Aptos Narrow"/>
        <scheme val="minor"/>
      </rPr>
      <t>Total due in mambu</t>
    </r>
    <r>
      <rPr>
        <b/>
        <sz val="16"/>
        <color rgb="FF000000"/>
        <rFont val="Aptos Narrow"/>
        <scheme val="minor"/>
      </rPr>
      <t xml:space="preserve">) + Accrued Interest (How to calculate Accrued Interest: Interest Balance - Interest Due) </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</si>
  <si>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t>
    </r>
    <r>
      <rPr>
        <b/>
        <sz val="12"/>
        <color rgb="FFC00000"/>
        <rFont val="Aptos Narrow"/>
        <scheme val="minor"/>
      </rPr>
      <t>Pay  Overdue Loan Amount which is written in the field + Accrued Interest</t>
    </r>
  </si>
  <si>
    <r>
      <rPr>
        <sz val="12"/>
        <color rgb="FF000000"/>
        <rFont val="Aptos Narrow"/>
        <scheme val="minor"/>
      </rPr>
      <t xml:space="preserve">After pressing Close button on Overdue Loan Success Page. process should continue on ACTIVE </t>
    </r>
    <r>
      <rPr>
        <b/>
        <sz val="12"/>
        <color rgb="FF000000"/>
        <rFont val="Aptos Narrow"/>
        <scheme val="minor"/>
      </rPr>
      <t>Loan Manage Page: Before Overdue Repayment, there was Overdue Loan Manage Page and because overdue amount was  paid fully, loan now is in Active State</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</si>
  <si>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 xml:space="preserve">Repay Formula + Accrued Interest, or </t>
    </r>
    <r>
      <rPr>
        <sz val="12"/>
        <color rgb="FF000000"/>
        <rFont val="Aptos Narrow"/>
        <scheme val="minor"/>
      </rPr>
      <t>Interest Balance before repayment}}</t>
    </r>
  </si>
  <si>
    <r>
      <rPr>
        <sz val="12"/>
        <color rgb="FF000000"/>
        <rFont val="Aptos Narrow"/>
        <scheme val="minor"/>
      </rPr>
      <t xml:space="preserve">            "Amount": {
                "</t>
    </r>
    <r>
      <rPr>
        <b/>
        <sz val="12"/>
        <color rgb="FF000000"/>
        <rFont val="Aptos Narrow"/>
        <scheme val="minor"/>
      </rPr>
      <t>Amount</t>
    </r>
    <r>
      <rPr>
        <sz val="12"/>
        <color rgb="FF000000"/>
        <rFont val="Aptos Narrow"/>
        <scheme val="minor"/>
      </rPr>
      <t>":</t>
    </r>
    <r>
      <rPr>
        <b/>
        <sz val="12"/>
        <color rgb="FFC00000"/>
        <rFont val="Aptos Narrow"/>
        <scheme val="minor"/>
      </rPr>
      <t xml:space="preserve"> {{Requested Amount, which you write in repayment field }}</t>
    </r>
    <r>
      <rPr>
        <sz val="12"/>
        <color rgb="FF000000"/>
        <rFont val="Aptos Narrow"/>
        <scheme val="minor"/>
      </rPr>
      <t>,
                "CurrencyCode": "UZS"
            }</t>
    </r>
  </si>
  <si>
    <r>
      <rPr>
        <b/>
        <sz val="12"/>
        <color rgb="FF000000"/>
        <rFont val="Aptos Narrow"/>
        <scheme val="minor"/>
      </rPr>
      <t xml:space="preserve">    "paidInterest": </t>
    </r>
    <r>
      <rPr>
        <sz val="12"/>
        <color rgb="FF000000"/>
        <rFont val="Aptos Narrow"/>
        <scheme val="minor"/>
      </rPr>
      <t xml:space="preserve">{{For this case </t>
    </r>
    <r>
      <rPr>
        <b/>
        <sz val="12"/>
        <color rgb="FF000000"/>
        <rFont val="Aptos Narrow"/>
        <scheme val="minor"/>
      </rPr>
      <t>Interest Balance</t>
    </r>
    <r>
      <rPr>
        <sz val="12"/>
        <color rgb="FF000000"/>
        <rFont val="Aptos Narrow"/>
        <scheme val="minor"/>
      </rPr>
      <t xml:space="preserve"> before repayment - </t>
    </r>
    <r>
      <rPr>
        <b/>
        <sz val="12"/>
        <color rgb="FF000000"/>
        <rFont val="Aptos Narrow"/>
        <scheme val="minor"/>
      </rPr>
      <t>Interest Due</t>
    </r>
    <r>
      <rPr>
        <sz val="12"/>
        <color rgb="FF000000"/>
        <rFont val="Aptos Narrow"/>
        <scheme val="minor"/>
      </rPr>
      <t xml:space="preserve"> before repayment}}</t>
    </r>
  </si>
  <si>
    <t>-</t>
  </si>
  <si>
    <r>
      <rPr>
        <sz val="11"/>
        <color rgb="FF000000"/>
        <rFont val="Aptos Narrow"/>
        <scheme val="minor"/>
      </rPr>
      <t>"</t>
    </r>
    <r>
      <rPr>
        <b/>
        <sz val="11"/>
        <color rgb="FF000000"/>
        <rFont val="Aptos Narrow"/>
        <scheme val="minor"/>
      </rPr>
      <t>amount</t>
    </r>
    <r>
      <rPr>
        <sz val="11"/>
        <color rgb="FF000000"/>
        <rFont val="Aptos Narrow"/>
        <scheme val="minor"/>
      </rPr>
      <t xml:space="preserve">": Amount that was transfered from Settlemet account to Interest Account: </t>
    </r>
    <r>
      <rPr>
        <b/>
        <sz val="11"/>
        <color rgb="FF000000"/>
        <rFont val="Aptos Narrow"/>
        <scheme val="minor"/>
      </rPr>
      <t>for this case Accrued Interest value (Interest Balance - Interest Due)</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</si>
  <si>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 xml:space="preserve">Repay Formula + Accrued Interest: </t>
    </r>
    <r>
      <rPr>
        <sz val="12"/>
        <color rgb="FF000000"/>
        <rFont val="Aptos Narrow"/>
        <scheme val="minor"/>
      </rPr>
      <t>can also see</t>
    </r>
    <r>
      <rPr>
        <b/>
        <sz val="12"/>
        <color rgb="FF000000"/>
        <rFont val="Aptos Narrow"/>
        <scheme val="minor"/>
      </rPr>
      <t xml:space="preserve"> Interest Balance</t>
    </r>
    <r>
      <rPr>
        <sz val="12"/>
        <color rgb="FF000000"/>
        <rFont val="Aptos Narrow"/>
        <scheme val="minor"/>
      </rPr>
      <t xml:space="preserve"> value from Mambu before repayment}}</t>
    </r>
  </si>
  <si>
    <r>
      <rPr>
        <b/>
        <sz val="12"/>
        <color rgb="FF000000"/>
        <rFont val="Aptos Narrow"/>
        <scheme val="minor"/>
      </rPr>
      <t xml:space="preserve">Total Due: </t>
    </r>
    <r>
      <rPr>
        <sz val="12"/>
        <color rgb="FF000000"/>
        <rFont val="Aptos Narrow"/>
        <scheme val="minor"/>
      </rPr>
      <t xml:space="preserve">{{Value should </t>
    </r>
    <r>
      <rPr>
        <b/>
        <sz val="12"/>
        <color rgb="FF000000"/>
        <rFont val="Aptos Narrow"/>
        <scheme val="minor"/>
      </rPr>
      <t>be 0</t>
    </r>
    <r>
      <rPr>
        <sz val="12"/>
        <color rgb="FF000000"/>
        <rFont val="Aptos Narrow"/>
        <scheme val="minor"/>
      </rPr>
      <t>}}</t>
    </r>
  </si>
  <si>
    <r>
      <rPr>
        <b/>
        <sz val="12"/>
        <color rgb="FF000000"/>
        <rFont val="Aptos Narrow"/>
        <scheme val="minor"/>
      </rPr>
      <t xml:space="preserve">Principal Balance: </t>
    </r>
    <r>
      <rPr>
        <sz val="12"/>
        <color rgb="FF000000"/>
        <rFont val="Aptos Narrow"/>
        <scheme val="minor"/>
      </rPr>
      <t xml:space="preserve">{{Value should </t>
    </r>
    <r>
      <rPr>
        <b/>
        <sz val="12"/>
        <color rgb="FF000000"/>
        <rFont val="Aptos Narrow"/>
        <scheme val="minor"/>
      </rPr>
      <t>Principal Balance = Principal balance before repayment - Principal Due</t>
    </r>
    <r>
      <rPr>
        <sz val="12"/>
        <color rgb="FF000000"/>
        <rFont val="Aptos Narrow"/>
        <scheme val="minor"/>
      </rPr>
      <t>}}</t>
    </r>
  </si>
  <si>
    <r>
      <rPr>
        <b/>
        <sz val="12"/>
        <color rgb="FF000000"/>
        <rFont val="Aptos Narrow"/>
        <scheme val="minor"/>
      </rPr>
      <t xml:space="preserve">Principal Due: </t>
    </r>
    <r>
      <rPr>
        <sz val="12"/>
        <color rgb="FF000000"/>
        <rFont val="Aptos Narrow"/>
        <scheme val="minor"/>
      </rPr>
      <t xml:space="preserve">{{Value should </t>
    </r>
    <r>
      <rPr>
        <b/>
        <sz val="12"/>
        <color rgb="FF000000"/>
        <rFont val="Aptos Narrow"/>
        <scheme val="minor"/>
      </rPr>
      <t>Principal Due</t>
    </r>
    <r>
      <rPr>
        <sz val="12"/>
        <color rgb="FF000000"/>
        <rFont val="Aptos Narrow"/>
        <scheme val="minor"/>
      </rPr>
      <t xml:space="preserve"> value after repayment calculated with </t>
    </r>
    <r>
      <rPr>
        <b/>
        <sz val="12"/>
        <color rgb="FF000000"/>
        <rFont val="Aptos Narrow"/>
        <scheme val="minor"/>
      </rPr>
      <t>Repay Formula, for this case 0}</t>
    </r>
    <r>
      <rPr>
        <sz val="12"/>
        <color rgb="FF000000"/>
        <rFont val="Aptos Narrow"/>
        <scheme val="minor"/>
      </rPr>
      <t>}}</t>
    </r>
  </si>
  <si>
    <r>
      <rPr>
        <b/>
        <sz val="12"/>
        <color rgb="FF000000"/>
        <rFont val="Aptos Narrow"/>
        <scheme val="minor"/>
      </rPr>
      <t xml:space="preserve">Interest Due: </t>
    </r>
    <r>
      <rPr>
        <sz val="12"/>
        <color rgb="FF000000"/>
        <rFont val="Aptos Narrow"/>
        <scheme val="minor"/>
      </rPr>
      <t xml:space="preserve">{{Value should </t>
    </r>
    <r>
      <rPr>
        <b/>
        <sz val="12"/>
        <color rgb="FF000000"/>
        <rFont val="Aptos Narrow"/>
        <scheme val="minor"/>
      </rPr>
      <t>Interest Due</t>
    </r>
    <r>
      <rPr>
        <sz val="12"/>
        <color rgb="FF000000"/>
        <rFont val="Aptos Narrow"/>
        <scheme val="minor"/>
      </rPr>
      <t xml:space="preserve"> value after repayment calculated with </t>
    </r>
    <r>
      <rPr>
        <b/>
        <sz val="12"/>
        <color rgb="FF000000"/>
        <rFont val="Aptos Narrow"/>
        <scheme val="minor"/>
      </rPr>
      <t xml:space="preserve">Repay Formula, </t>
    </r>
    <r>
      <rPr>
        <sz val="12"/>
        <color rgb="FF000000"/>
        <rFont val="Aptos Narrow"/>
        <scheme val="minor"/>
      </rPr>
      <t>for this case 0}}}</t>
    </r>
  </si>
  <si>
    <r>
      <rPr>
        <b/>
        <sz val="12"/>
        <color rgb="FF000000"/>
        <rFont val="Aptos Narrow"/>
        <scheme val="minor"/>
      </rPr>
      <t xml:space="preserve">Penalty Due: </t>
    </r>
    <r>
      <rPr>
        <sz val="12"/>
        <color rgb="FF000000"/>
        <rFont val="Aptos Narrow"/>
        <scheme val="minor"/>
      </rPr>
      <t xml:space="preserve">{{Value should </t>
    </r>
    <r>
      <rPr>
        <b/>
        <sz val="12"/>
        <color rgb="FF000000"/>
        <rFont val="Aptos Narrow"/>
        <scheme val="minor"/>
      </rPr>
      <t>Penalty Due</t>
    </r>
    <r>
      <rPr>
        <sz val="12"/>
        <color rgb="FF000000"/>
        <rFont val="Aptos Narrow"/>
        <scheme val="minor"/>
      </rPr>
      <t xml:space="preserve"> value after repayment calculated with </t>
    </r>
    <r>
      <rPr>
        <b/>
        <sz val="12"/>
        <color rgb="FF000000"/>
        <rFont val="Aptos Narrow"/>
        <scheme val="minor"/>
      </rPr>
      <t>Repay Formula, for this case 0</t>
    </r>
    <r>
      <rPr>
        <sz val="12"/>
        <color rgb="FF000000"/>
        <rFont val="Aptos Narrow"/>
        <scheme val="minor"/>
      </rPr>
      <t>}}</t>
    </r>
  </si>
  <si>
    <r>
      <rPr>
        <b/>
        <sz val="12"/>
        <color rgb="FF000000"/>
        <rFont val="Aptos Narrow"/>
        <scheme val="minor"/>
      </rPr>
      <t xml:space="preserve">Principal Paid: </t>
    </r>
    <r>
      <rPr>
        <sz val="12"/>
        <color rgb="FF000000"/>
        <rFont val="Aptos Narrow"/>
        <scheme val="minor"/>
      </rPr>
      <t xml:space="preserve">{{Value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 same as Principal Due before repayment</t>
    </r>
    <r>
      <rPr>
        <sz val="12"/>
        <color rgb="FF000000"/>
        <rFont val="Aptos Narrow"/>
        <scheme val="minor"/>
      </rPr>
      <t>}}</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</si>
  <si>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 xml:space="preserve">Repay Formula + Accrued Interest: or </t>
    </r>
    <r>
      <rPr>
        <sz val="12"/>
        <color rgb="FF000000"/>
        <rFont val="Aptos Narrow"/>
        <scheme val="minor"/>
      </rPr>
      <t xml:space="preserve">can see </t>
    </r>
    <r>
      <rPr>
        <b/>
        <sz val="12"/>
        <color rgb="FF000000"/>
        <rFont val="Aptos Narrow"/>
        <scheme val="minor"/>
      </rPr>
      <t>Interest Balance</t>
    </r>
    <r>
      <rPr>
        <sz val="12"/>
        <color rgb="FF000000"/>
        <rFont val="Aptos Narrow"/>
        <scheme val="minor"/>
      </rPr>
      <t xml:space="preserve"> value before repayment}}</t>
    </r>
  </si>
  <si>
    <r>
      <rPr>
        <b/>
        <sz val="12"/>
        <color rgb="FF000000"/>
        <rFont val="Aptos Narrow"/>
        <scheme val="minor"/>
      </rPr>
      <t xml:space="preserve">Penalty Paid: </t>
    </r>
    <r>
      <rPr>
        <sz val="12"/>
        <color rgb="FF000000"/>
        <rFont val="Aptos Narrow"/>
        <scheme val="minor"/>
      </rPr>
      <t xml:space="preserve">{{Value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Repay Formula, Penalty due before repayement</t>
    </r>
    <r>
      <rPr>
        <sz val="12"/>
        <color rgb="FF000000"/>
        <rFont val="Aptos Narrow"/>
        <scheme val="minor"/>
      </rPr>
      <t>}}</t>
    </r>
  </si>
  <si>
    <r>
      <rPr>
        <b/>
        <sz val="12"/>
        <color rgb="FF000000"/>
        <rFont val="Aptos Narrow"/>
        <scheme val="minor"/>
      </rPr>
      <t>"Interest 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 + Accrued Interest, or </t>
    </r>
    <r>
      <rPr>
        <b/>
        <sz val="12"/>
        <color rgb="FF000000"/>
        <rFont val="Aptos Narrow"/>
        <scheme val="minor"/>
      </rPr>
      <t>Interest Balance</t>
    </r>
    <r>
      <rPr>
        <sz val="12"/>
        <color rgb="FF000000"/>
        <rFont val="Aptos Narrow"/>
        <scheme val="minor"/>
      </rPr>
      <t xml:space="preserve"> from Mmabu before repayment}}</t>
    </r>
  </si>
  <si>
    <t>Case 13:</t>
  </si>
  <si>
    <r>
      <rPr>
        <b/>
        <sz val="16"/>
        <color rgb="FF000000"/>
        <rFont val="Aptos Narrow"/>
        <scheme val="minor"/>
      </rPr>
      <t xml:space="preserve">Case 13: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t>
    </r>
    <r>
      <rPr>
        <b/>
        <sz val="16"/>
        <color rgb="FF000000"/>
        <rFont val="Aptos Narrow"/>
        <scheme val="minor"/>
      </rPr>
      <t xml:space="preserve">FIXED Penalty </t>
    </r>
    <r>
      <rPr>
        <b/>
        <sz val="16"/>
        <color rgb="FFC00000"/>
        <rFont val="Aptos Narrow"/>
        <scheme val="minor"/>
      </rPr>
      <t>IS NOT</t>
    </r>
    <r>
      <rPr>
        <b/>
        <sz val="16"/>
        <color rgb="FF000000"/>
        <rFont val="Aptos Narrow"/>
        <scheme val="minor"/>
      </rPr>
      <t xml:space="preserve"> accrued</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 xml:space="preserve"> Full Loan Amount - 0.01 UZS </t>
    </r>
    <r>
      <rPr>
        <b/>
        <sz val="16"/>
        <color rgb="FF000000"/>
        <rFont val="Aptos Narrow"/>
        <scheme val="minor"/>
      </rPr>
      <t xml:space="preserve">from Loan Repayment field: amount should be same as </t>
    </r>
    <r>
      <rPr>
        <b/>
        <sz val="16"/>
        <color rgb="FFC00000"/>
        <rFont val="Aptos Narrow"/>
        <scheme val="minor"/>
      </rPr>
      <t>Full Loan Amount - 0.01 UZS</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</si>
  <si>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t>
    </r>
    <r>
      <rPr>
        <b/>
        <sz val="12"/>
        <color rgb="FFC00000"/>
        <rFont val="Aptos Narrow"/>
        <scheme val="minor"/>
      </rPr>
      <t>Pay  Full Loan Amount - 0.01 UZS</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</si>
  <si>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Interest Balance</t>
    </r>
    <r>
      <rPr>
        <sz val="12"/>
        <color rgb="FF000000"/>
        <rFont val="Aptos Narrow"/>
        <scheme val="minor"/>
      </rPr>
      <t xml:space="preserve"> from Mambu before repayment}}</t>
    </r>
  </si>
  <si>
    <r>
      <rPr>
        <b/>
        <sz val="12"/>
        <color rgb="FF000000"/>
        <rFont val="Aptos Narrow"/>
        <scheme val="minor"/>
      </rPr>
      <t>"PrincipalPaid":</t>
    </r>
    <r>
      <rPr>
        <sz val="12"/>
        <color rgb="FF000000"/>
        <rFont val="Aptos Narrow"/>
        <scheme val="minor"/>
      </rPr>
      <t xml:space="preserve"> {{Value should be</t>
    </r>
    <r>
      <rPr>
        <b/>
        <sz val="12"/>
        <color rgb="FF000000"/>
        <rFont val="Aptos Narrow"/>
        <scheme val="minor"/>
      </rPr>
      <t xml:space="preserve"> Principal Balance</t>
    </r>
    <r>
      <rPr>
        <sz val="12"/>
        <color rgb="FF000000"/>
        <rFont val="Aptos Narrow"/>
        <scheme val="minor"/>
      </rPr>
      <t xml:space="preserve"> amount before repayment  - 0.01 UZS}}</t>
    </r>
  </si>
  <si>
    <r>
      <rPr>
        <b/>
        <sz val="12"/>
        <color rgb="FF000000"/>
        <rFont val="Aptos Narrow"/>
        <scheme val="minor"/>
      </rPr>
      <t>"FeesPaid":</t>
    </r>
    <r>
      <rPr>
        <sz val="12"/>
        <color rgb="FF000000"/>
        <rFont val="Aptos Narrow"/>
        <scheme val="minor"/>
      </rPr>
      <t xml:space="preserve"> {{Value should be </t>
    </r>
    <r>
      <rPr>
        <b/>
        <sz val="12"/>
        <color rgb="FF000000"/>
        <rFont val="Aptos Narrow"/>
        <scheme val="minor"/>
      </rPr>
      <t>0</t>
    </r>
    <r>
      <rPr>
        <sz val="12"/>
        <color rgb="FF000000"/>
        <rFont val="Aptos Narrow"/>
        <scheme val="minor"/>
      </rPr>
      <t xml:space="preserve"> for this case}}</t>
    </r>
  </si>
  <si>
    <r>
      <rPr>
        <b/>
        <sz val="12"/>
        <color rgb="FF000000"/>
        <rFont val="Aptos Narrow"/>
        <scheme val="minor"/>
      </rPr>
      <t xml:space="preserve">    "paidInterest": </t>
    </r>
    <r>
      <rPr>
        <sz val="12"/>
        <color rgb="FF000000"/>
        <rFont val="Aptos Narrow"/>
        <scheme val="minor"/>
      </rPr>
      <t xml:space="preserve">{{For this case </t>
    </r>
    <r>
      <rPr>
        <b/>
        <sz val="12"/>
        <color rgb="FF000000"/>
        <rFont val="Aptos Narrow"/>
        <scheme val="minor"/>
      </rPr>
      <t>Interest</t>
    </r>
    <r>
      <rPr>
        <sz val="12"/>
        <color rgb="FF000000"/>
        <rFont val="Aptos Narrow"/>
        <scheme val="minor"/>
      </rPr>
      <t xml:space="preserve"> </t>
    </r>
    <r>
      <rPr>
        <b/>
        <sz val="12"/>
        <color rgb="FF000000"/>
        <rFont val="Aptos Narrow"/>
        <scheme val="minor"/>
      </rPr>
      <t>Balance</t>
    </r>
    <r>
      <rPr>
        <sz val="12"/>
        <color rgb="FF000000"/>
        <rFont val="Aptos Narrow"/>
        <scheme val="minor"/>
      </rPr>
      <t xml:space="preserve"> before repaument - </t>
    </r>
    <r>
      <rPr>
        <b/>
        <sz val="12"/>
        <color rgb="FF000000"/>
        <rFont val="Aptos Narrow"/>
        <scheme val="minor"/>
      </rPr>
      <t>Interest Due</t>
    </r>
    <r>
      <rPr>
        <sz val="12"/>
        <color rgb="FF000000"/>
        <rFont val="Aptos Narrow"/>
        <scheme val="minor"/>
      </rPr>
      <t xml:space="preserve"> before repayment}}</t>
    </r>
  </si>
  <si>
    <r>
      <rPr>
        <b/>
        <sz val="12"/>
        <color rgb="FF000000"/>
        <rFont val="Aptos Narrow"/>
        <scheme val="minor"/>
      </rPr>
      <t xml:space="preserve">    "paidOverDueInterest":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 </t>
    </r>
    <r>
      <rPr>
        <b/>
        <sz val="12"/>
        <color rgb="FF000000"/>
        <rFont val="Aptos Narrow"/>
        <scheme val="minor"/>
      </rPr>
      <t>Interest Due</t>
    </r>
    <r>
      <rPr>
        <sz val="12"/>
        <color rgb="FF000000"/>
        <rFont val="Aptos Narrow"/>
        <scheme val="minor"/>
      </rPr>
      <t xml:space="preserve"> before repayment}}</t>
    </r>
  </si>
  <si>
    <r>
      <rPr>
        <b/>
        <sz val="12"/>
        <color rgb="FF000000"/>
        <rFont val="Aptos Narrow"/>
        <scheme val="minor"/>
      </rPr>
      <t xml:space="preserve">    "paidOverDuePrincipal"</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Repay Formula, </t>
    </r>
    <r>
      <rPr>
        <b/>
        <sz val="12"/>
        <color rgb="FF000000"/>
        <rFont val="Aptos Narrow"/>
        <scheme val="minor"/>
      </rPr>
      <t>Principal Due</t>
    </r>
    <r>
      <rPr>
        <sz val="12"/>
        <color rgb="FF000000"/>
        <rFont val="Aptos Narrow"/>
        <scheme val="minor"/>
      </rPr>
      <t xml:space="preserve"> before repayment}}</t>
    </r>
  </si>
  <si>
    <r>
      <rPr>
        <b/>
        <sz val="12"/>
        <color rgb="FF000000"/>
        <rFont val="Aptos Narrow"/>
        <scheme val="minor"/>
      </rPr>
      <t xml:space="preserve">    "paidPenalty"</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Repay Formula, </t>
    </r>
    <r>
      <rPr>
        <b/>
        <sz val="12"/>
        <color rgb="FF000000"/>
        <rFont val="Aptos Narrow"/>
        <scheme val="minor"/>
      </rPr>
      <t>Penalty Due</t>
    </r>
    <r>
      <rPr>
        <sz val="12"/>
        <color rgb="FF000000"/>
        <rFont val="Aptos Narrow"/>
        <scheme val="minor"/>
      </rPr>
      <t xml:space="preserve"> before repayment}}</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</si>
  <si>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Overdue Interest</t>
    </r>
    <r>
      <rPr>
        <sz val="11"/>
        <color rgb="FF000000"/>
        <rFont val="Aptos Narrow"/>
        <scheme val="minor"/>
      </rPr>
      <t xml:space="preserve"> Calculated with Repay Formula, Interest Die before repayment}}</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</si>
  <si>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Overdue Principal</t>
    </r>
    <r>
      <rPr>
        <sz val="11"/>
        <color rgb="FF000000"/>
        <rFont val="Aptos Narrow"/>
        <scheme val="minor"/>
      </rPr>
      <t xml:space="preserve"> Calculated with Repay Formula, Principal Due before repayment}}</t>
    </r>
  </si>
  <si>
    <r>
      <rPr>
        <sz val="11"/>
        <color rgb="FF000000"/>
        <rFont val="Aptos Narrow"/>
        <scheme val="minor"/>
      </rPr>
      <t xml:space="preserve">          </t>
    </r>
    <r>
      <rPr>
        <b/>
        <sz val="11"/>
        <color rgb="FF000000"/>
        <rFont val="Aptos Narrow"/>
        <scheme val="minor"/>
      </rPr>
      <t xml:space="preserve">  "recipient": {
                "branchId": "01180",
                "accountNumber": </t>
    </r>
    <r>
      <rPr>
        <sz val="11"/>
        <color rgb="FF000000"/>
        <rFont val="Aptos Narrow"/>
        <scheme val="minor"/>
      </rPr>
      <t xml:space="preserve"> value should be Loan`s </t>
    </r>
    <r>
      <rPr>
        <b/>
        <u val="double"/>
        <sz val="11"/>
        <color rgb="FFFF0000"/>
        <rFont val="Aptos Narrow"/>
        <scheme val="minor"/>
      </rPr>
      <t xml:space="preserve">Principal  Account </t>
    </r>
    <r>
      <rPr>
        <sz val="11"/>
        <color rgb="FF000000"/>
        <rFont val="Aptos Narrow"/>
        <scheme val="minor"/>
      </rPr>
      <t>from Mambu</t>
    </r>
  </si>
  <si>
    <r>
      <rPr>
        <b/>
        <sz val="11"/>
        <color rgb="FF000000"/>
        <rFont val="Aptos Narrow"/>
        <scheme val="minor"/>
      </rPr>
      <t>"name": Погашение суммы основного долга долгосрочного микрозайма по кредитному договору №</t>
    </r>
    <r>
      <rPr>
        <b/>
        <sz val="11"/>
        <color rgb="FFFF0000"/>
        <rFont val="Aptos Narrow"/>
        <scheme val="minor"/>
      </rPr>
      <t xml:space="preserve">{{LoanId Value}} </t>
    </r>
    <r>
      <rPr>
        <b/>
        <sz val="11"/>
        <color rgb="FF000000"/>
        <rFont val="Aptos Narrow"/>
        <scheme val="minor"/>
      </rPr>
      <t xml:space="preserve">от </t>
    </r>
    <r>
      <rPr>
        <b/>
        <sz val="11"/>
        <color rgb="FFFF0000"/>
        <rFont val="Aptos Narrow"/>
        <scheme val="minor"/>
      </rPr>
      <t>{{DisbursementDate for loan: can be seen in Mambu General fields: Activation date}} {{Customer Full Name}}</t>
    </r>
  </si>
  <si>
    <r>
      <rPr>
        <sz val="11"/>
        <color rgb="FF000000"/>
        <rFont val="Aptos Narrow"/>
        <scheme val="minor"/>
      </rPr>
      <t>"</t>
    </r>
    <r>
      <rPr>
        <b/>
        <sz val="11"/>
        <color rgb="FF000000"/>
        <rFont val="Aptos Narrow"/>
        <scheme val="minor"/>
      </rPr>
      <t>amount</t>
    </r>
    <r>
      <rPr>
        <sz val="11"/>
        <color rgb="FF000000"/>
        <rFont val="Aptos Narrow"/>
        <scheme val="minor"/>
      </rPr>
      <t xml:space="preserve">": Principal Amount that was transfered from Settlement acc. to Pricnipal Account. </t>
    </r>
    <r>
      <rPr>
        <b/>
        <sz val="11"/>
        <color rgb="FFFF0000"/>
        <rFont val="Aptos Narrow"/>
        <scheme val="minor"/>
      </rPr>
      <t>Principal Balance value</t>
    </r>
    <r>
      <rPr>
        <sz val="11"/>
        <color rgb="FF000000"/>
        <rFont val="Aptos Narrow"/>
        <scheme val="minor"/>
      </rPr>
      <t xml:space="preserve"> from Mambu before repayment - </t>
    </r>
    <r>
      <rPr>
        <b/>
        <sz val="11"/>
        <color rgb="FF000000"/>
        <rFont val="Aptos Narrow"/>
        <scheme val="minor"/>
      </rPr>
      <t>Principal Due from Mambu before repayment</t>
    </r>
    <r>
      <rPr>
        <sz val="11"/>
        <color rgb="FF000000"/>
        <rFont val="Aptos Narrow"/>
        <scheme val="minor"/>
      </rPr>
      <t xml:space="preserve"> - 0.01 UZS</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</si>
  <si>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 xml:space="preserve">Repay Formula + Accrued Interet: or </t>
    </r>
    <r>
      <rPr>
        <sz val="12"/>
        <color rgb="FF000000"/>
        <rFont val="Aptos Narrow"/>
        <scheme val="minor"/>
      </rPr>
      <t xml:space="preserve">can see </t>
    </r>
    <r>
      <rPr>
        <b/>
        <sz val="12"/>
        <color rgb="FF000000"/>
        <rFont val="Aptos Narrow"/>
        <scheme val="minor"/>
      </rPr>
      <t>Interest Balance</t>
    </r>
    <r>
      <rPr>
        <sz val="12"/>
        <color rgb="FF000000"/>
        <rFont val="Aptos Narrow"/>
        <scheme val="minor"/>
      </rPr>
      <t xml:space="preserve"> value before repayment}}</t>
    </r>
  </si>
  <si>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t>
    </r>
    <r>
      <rPr>
        <b/>
        <sz val="16"/>
        <color rgb="FFC00000"/>
        <rFont val="Aptos Narrow"/>
        <scheme val="minor"/>
      </rPr>
      <t>amount should be less then Penalty + Overdue Interest + Overdue Principal</t>
    </r>
  </si>
  <si>
    <r>
      <rPr>
        <b/>
        <sz val="12"/>
        <color rgb="FF000000"/>
        <rFont val="Aptos Narrow"/>
        <scheme val="minor"/>
      </rPr>
      <t>Payment Day:</t>
    </r>
    <r>
      <rPr>
        <sz val="12"/>
        <color rgb="FF000000"/>
        <rFont val="Aptos Narrow"/>
        <scheme val="minor"/>
      </rPr>
      <t xml:space="preserve"> Yes</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</si>
  <si>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t>
    </r>
    <r>
      <rPr>
        <b/>
        <sz val="12"/>
        <color rgb="FFC00000"/>
        <rFont val="Aptos Narrow"/>
        <scheme val="minor"/>
      </rPr>
      <t>Mambu Loan Schedule of Late payment</t>
    </r>
    <r>
      <rPr>
        <sz val="12"/>
        <color rgb="FF000000"/>
        <rFont val="Aptos Narrow"/>
        <scheme val="minor"/>
      </rPr>
      <t xml:space="preserve"> after repayment: refresh Mambu}}</t>
    </r>
  </si>
  <si>
    <r>
      <rPr>
        <b/>
        <sz val="12"/>
        <color rgb="FF000000"/>
        <rFont val="Aptos Narrow"/>
        <scheme val="minor"/>
      </rPr>
      <t xml:space="preserve">Total Due: </t>
    </r>
    <r>
      <rPr>
        <sz val="12"/>
        <color rgb="FF000000"/>
        <rFont val="Aptos Narrow"/>
        <scheme val="minor"/>
      </rPr>
      <t xml:space="preserve">{{Value should </t>
    </r>
    <r>
      <rPr>
        <b/>
        <sz val="12"/>
        <color rgb="FF000000"/>
        <rFont val="Aptos Narrow"/>
        <scheme val="minor"/>
      </rPr>
      <t>Total Due</t>
    </r>
    <r>
      <rPr>
        <sz val="12"/>
        <color rgb="FF000000"/>
        <rFont val="Aptos Narrow"/>
        <scheme val="minor"/>
      </rPr>
      <t xml:space="preserve"> value after repayment: </t>
    </r>
    <r>
      <rPr>
        <b/>
        <sz val="12"/>
        <color rgb="FFC00000"/>
        <rFont val="Aptos Narrow"/>
        <scheme val="minor"/>
      </rPr>
      <t>Total Due Before Rapayment - Repaid Amount</t>
    </r>
    <r>
      <rPr>
        <sz val="12"/>
        <color rgb="FF000000"/>
        <rFont val="Aptos Narrow"/>
        <scheme val="minor"/>
      </rPr>
      <t>}}</t>
    </r>
  </si>
  <si>
    <r>
      <rPr>
        <b/>
        <sz val="12"/>
        <color rgb="FF000000"/>
        <rFont val="Aptos Narrow"/>
        <scheme val="minor"/>
      </rPr>
      <t xml:space="preserve">Principal Balance: </t>
    </r>
    <r>
      <rPr>
        <sz val="12"/>
        <color rgb="FF000000"/>
        <rFont val="Aptos Narrow"/>
        <scheme val="minor"/>
      </rPr>
      <t xml:space="preserve">{{Value should </t>
    </r>
    <r>
      <rPr>
        <b/>
        <sz val="12"/>
        <color rgb="FF000000"/>
        <rFont val="Aptos Narrow"/>
        <scheme val="minor"/>
      </rPr>
      <t>Principal Balance</t>
    </r>
    <r>
      <rPr>
        <sz val="12"/>
        <color rgb="FF000000"/>
        <rFont val="Aptos Narrow"/>
        <scheme val="minor"/>
      </rPr>
      <t xml:space="preserve"> value after repayment: </t>
    </r>
    <r>
      <rPr>
        <b/>
        <sz val="12"/>
        <color rgb="FFC00000"/>
        <rFont val="Aptos Narrow"/>
        <scheme val="minor"/>
      </rPr>
      <t>Principal Balance Before Rapeyment - Paid Principal</t>
    </r>
    <r>
      <rPr>
        <sz val="12"/>
        <color rgb="FF000000"/>
        <rFont val="Aptos Narrow"/>
        <scheme val="minor"/>
      </rPr>
      <t>}}</t>
    </r>
  </si>
  <si>
    <r>
      <rPr>
        <b/>
        <sz val="12"/>
        <color rgb="FF000000"/>
        <rFont val="Aptos Narrow"/>
        <scheme val="minor"/>
      </rPr>
      <t xml:space="preserve">Principal Due: </t>
    </r>
    <r>
      <rPr>
        <sz val="12"/>
        <color rgb="FF000000"/>
        <rFont val="Aptos Narrow"/>
        <scheme val="minor"/>
      </rPr>
      <t xml:space="preserve">{{Value should </t>
    </r>
    <r>
      <rPr>
        <b/>
        <sz val="12"/>
        <color rgb="FF000000"/>
        <rFont val="Aptos Narrow"/>
        <scheme val="minor"/>
      </rPr>
      <t>Principal Due</t>
    </r>
    <r>
      <rPr>
        <sz val="12"/>
        <color rgb="FF000000"/>
        <rFont val="Aptos Narrow"/>
        <scheme val="minor"/>
      </rPr>
      <t xml:space="preserve"> value after repayment: </t>
    </r>
    <r>
      <rPr>
        <b/>
        <sz val="12"/>
        <color rgb="FFC00000"/>
        <rFont val="Aptos Narrow"/>
        <scheme val="minor"/>
      </rPr>
      <t>Principal Due</t>
    </r>
    <r>
      <rPr>
        <sz val="12"/>
        <color rgb="FFC00000"/>
        <rFont val="Aptos Narrow"/>
        <scheme val="minor"/>
      </rPr>
      <t xml:space="preserve"> </t>
    </r>
    <r>
      <rPr>
        <b/>
        <sz val="12"/>
        <color rgb="FFC00000"/>
        <rFont val="Aptos Narrow"/>
        <scheme val="minor"/>
      </rPr>
      <t>Before Rapeyment</t>
    </r>
    <r>
      <rPr>
        <sz val="12"/>
        <color rgb="FFC00000"/>
        <rFont val="Aptos Narrow"/>
        <scheme val="minor"/>
      </rPr>
      <t xml:space="preserve"> - </t>
    </r>
    <r>
      <rPr>
        <b/>
        <sz val="12"/>
        <color rgb="FFC00000"/>
        <rFont val="Aptos Narrow"/>
        <scheme val="minor"/>
      </rPr>
      <t>Paid Principal</t>
    </r>
    <r>
      <rPr>
        <sz val="12"/>
        <color rgb="FF000000"/>
        <rFont val="Aptos Narrow"/>
        <scheme val="minor"/>
      </rPr>
      <t>}}</t>
    </r>
  </si>
  <si>
    <r>
      <rPr>
        <b/>
        <sz val="12"/>
        <color rgb="FF000000"/>
        <rFont val="Aptos Narrow"/>
        <scheme val="minor"/>
      </rPr>
      <t xml:space="preserve">Interest Due: </t>
    </r>
    <r>
      <rPr>
        <sz val="12"/>
        <color rgb="FF000000"/>
        <rFont val="Aptos Narrow"/>
        <scheme val="minor"/>
      </rPr>
      <t xml:space="preserve">{{Value should </t>
    </r>
    <r>
      <rPr>
        <b/>
        <sz val="12"/>
        <color rgb="FF000000"/>
        <rFont val="Aptos Narrow"/>
        <scheme val="minor"/>
      </rPr>
      <t>Interest Due</t>
    </r>
    <r>
      <rPr>
        <sz val="12"/>
        <color rgb="FF000000"/>
        <rFont val="Aptos Narrow"/>
        <scheme val="minor"/>
      </rPr>
      <t xml:space="preserve"> value after repayment: </t>
    </r>
    <r>
      <rPr>
        <b/>
        <sz val="12"/>
        <color rgb="FFC00000"/>
        <rFont val="Aptos Narrow"/>
        <scheme val="minor"/>
      </rPr>
      <t>Interest Due Before Rapeyment - Paid Interest</t>
    </r>
    <r>
      <rPr>
        <sz val="12"/>
        <color rgb="FF000000"/>
        <rFont val="Aptos Narrow"/>
        <scheme val="minor"/>
      </rPr>
      <t>}}</t>
    </r>
  </si>
  <si>
    <t>Case 2: Less than 0.01 UZS Case</t>
  </si>
  <si>
    <r>
      <rPr>
        <b/>
        <sz val="16"/>
        <color rgb="FF000000"/>
        <rFont val="Aptos Narrow"/>
        <scheme val="minor"/>
      </rPr>
      <t xml:space="preserve">Case 2: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t>
    </r>
    <r>
      <rPr>
        <b/>
        <sz val="16"/>
        <color rgb="FFC00000"/>
        <rFont val="Aptos Narrow"/>
        <scheme val="minor"/>
      </rPr>
      <t xml:space="preserve">amount should be Penalty + Overdue Interest + Overdue Principal - 0.01 UZS </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</si>
  <si>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Penalty + Overdue Interest + Overdue Principal  - 0.01 UZS</t>
    </r>
  </si>
  <si>
    <t>Case 3: Exact Overdue Repayment Case</t>
  </si>
  <si>
    <r>
      <rPr>
        <b/>
        <sz val="16"/>
        <color rgb="FF000000"/>
        <rFont val="Aptos Narrow"/>
        <scheme val="minor"/>
      </rPr>
      <t xml:space="preserve">Case 3: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 xml:space="preserve">amount should same as Penalty + Overdue Interest + Overdue Principal </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</si>
  <si>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t>
    </r>
    <r>
      <rPr>
        <b/>
        <sz val="12"/>
        <color rgb="FF000000"/>
        <rFont val="Aptos Narrow"/>
        <scheme val="minor"/>
      </rPr>
      <t xml:space="preserve">same as Penalty + Overdue Interest + Overdue Principal </t>
    </r>
  </si>
  <si>
    <r>
      <rPr>
        <sz val="11"/>
        <color rgb="FF000000"/>
        <rFont val="Aptos Narrow"/>
        <scheme val="minor"/>
      </rPr>
      <t xml:space="preserve">After initiating </t>
    </r>
    <r>
      <rPr>
        <b/>
        <sz val="11"/>
        <color rgb="FF000000"/>
        <rFont val="Aptos Narrow"/>
        <scheme val="minor"/>
      </rPr>
      <t>Repay loan - NEW</t>
    </r>
    <r>
      <rPr>
        <sz val="11"/>
        <color rgb="FF000000"/>
        <rFont val="Aptos Narrow"/>
        <scheme val="minor"/>
      </rPr>
      <t xml:space="preserve"> process check, that process continues on following condiitons: </t>
    </r>
    <r>
      <rPr>
        <b/>
        <sz val="11"/>
        <color rgb="FFC00000"/>
        <rFont val="Aptos Narrow"/>
        <scheme val="minor"/>
      </rPr>
      <t xml:space="preserve"> {{repaymentAmount}} &gt;0</t>
    </r>
    <r>
      <rPr>
        <sz val="11"/>
        <color rgb="FF000000"/>
        <rFont val="Aptos Narrow"/>
        <scheme val="minor"/>
      </rPr>
      <t xml:space="preserve"> and then MUST checn, that continues on following one:</t>
    </r>
    <r>
      <rPr>
        <b/>
        <sz val="11"/>
        <color rgb="FFC00000"/>
        <rFont val="Aptos Narrow"/>
        <scheme val="minor"/>
      </rPr>
      <t xml:space="preserve"> {{isOverdue}} == true </t>
    </r>
    <r>
      <rPr>
        <sz val="11"/>
        <color rgb="FF000000"/>
        <rFont val="Aptos Narrow"/>
        <scheme val="minor"/>
      </rPr>
      <t>&amp;&amp;</t>
    </r>
    <r>
      <rPr>
        <b/>
        <sz val="11"/>
        <color rgb="FFC00000"/>
        <rFont val="Aptos Narrow"/>
        <scheme val="minor"/>
      </rPr>
      <t xml:space="preserve"> {{repaymentAmount}} &lt; {{GetLoanResponseData.Loan.OverdueAmount}} </t>
    </r>
  </si>
  <si>
    <r>
      <rPr>
        <sz val="11"/>
        <color rgb="FF000000"/>
        <rFont val="Aptos Narrow"/>
        <scheme val="minor"/>
      </rPr>
      <t xml:space="preserve">Check, that Repay loan - Mambu v2 process go on following condition: </t>
    </r>
    <r>
      <rPr>
        <b/>
        <sz val="11"/>
        <color rgb="FFC00000"/>
        <rFont val="Aptos Narrow"/>
        <scheme val="minor"/>
      </rPr>
      <t>{{date}} ==</t>
    </r>
  </si>
  <si>
    <r>
      <rPr>
        <b/>
        <sz val="12"/>
        <color rgb="FF000000"/>
        <rFont val="Aptos Narrow"/>
        <scheme val="minor"/>
      </rPr>
      <t xml:space="preserve">Next Step: </t>
    </r>
    <r>
      <rPr>
        <sz val="12"/>
        <color rgb="FF000000"/>
        <rFont val="Aptos Narrow"/>
        <scheme val="minor"/>
      </rPr>
      <t>Log in to Application =&gt; Go to MySpace =&gt; Press Active Loan Card</t>
    </r>
  </si>
  <si>
    <r>
      <rPr>
        <b/>
        <sz val="12"/>
        <color rgb="FF000000"/>
        <rFont val="Aptos Narrow"/>
        <scheme val="minor"/>
      </rPr>
      <t>"Balance":</t>
    </r>
    <r>
      <rPr>
        <sz val="12"/>
        <color rgb="FF000000"/>
        <rFont val="Aptos Narrow"/>
        <scheme val="minor"/>
      </rPr>
      <t xml:space="preserve"> {{Value should be </t>
    </r>
    <r>
      <rPr>
        <b/>
        <sz val="12"/>
        <color rgb="FF000000"/>
        <rFont val="Aptos Narrow"/>
        <scheme val="minor"/>
      </rPr>
      <t>Principal Balance</t>
    </r>
    <r>
      <rPr>
        <sz val="12"/>
        <color rgb="FF000000"/>
        <rFont val="Aptos Narrow"/>
        <scheme val="minor"/>
      </rPr>
      <t xml:space="preserve"> value from </t>
    </r>
    <r>
      <rPr>
        <b/>
        <sz val="12"/>
        <color rgb="FF000000"/>
        <rFont val="Aptos Narrow"/>
        <scheme val="minor"/>
      </rPr>
      <t>Mambu</t>
    </r>
    <r>
      <rPr>
        <sz val="12"/>
        <color rgb="FF000000"/>
        <rFont val="Aptos Narrow"/>
        <scheme val="minor"/>
      </rPr>
      <t xml:space="preserve"> after repayment: </t>
    </r>
    <r>
      <rPr>
        <b/>
        <sz val="12"/>
        <color rgb="FF000000"/>
        <rFont val="Aptos Narrow"/>
        <scheme val="minor"/>
      </rPr>
      <t>refresh Mambu</t>
    </r>
    <r>
      <rPr>
        <sz val="12"/>
        <color rgb="FF000000"/>
        <rFont val="Aptos Narrow"/>
        <scheme val="minor"/>
      </rPr>
      <t>}}</t>
    </r>
  </si>
  <si>
    <r>
      <rPr>
        <b/>
        <sz val="12"/>
        <color rgb="FF000000"/>
        <rFont val="Aptos Narrow"/>
        <scheme val="minor"/>
      </rPr>
      <t xml:space="preserve">    "paidPrincipal": </t>
    </r>
    <r>
      <rPr>
        <sz val="12"/>
        <color rgb="FF000000"/>
        <rFont val="Aptos Narrow"/>
        <scheme val="minor"/>
      </rPr>
      <t>{{For this case 0}}</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</si>
  <si>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t>
    </r>
    <r>
      <rPr>
        <b/>
        <sz val="12"/>
        <color rgb="FFC00000"/>
        <rFont val="Aptos Narrow"/>
        <scheme val="minor"/>
      </rPr>
      <t>Mambu Loan Schedule of Late payment</t>
    </r>
    <r>
      <rPr>
        <sz val="12"/>
        <color rgb="FF000000"/>
        <rFont val="Aptos Narrow"/>
        <scheme val="minor"/>
      </rPr>
      <t xml:space="preserve"> after repayment: refresh Mambu: </t>
    </r>
    <r>
      <rPr>
        <b/>
        <sz val="12"/>
        <color rgb="FFC00000"/>
        <rFont val="Aptos Narrow"/>
        <scheme val="minor"/>
      </rPr>
      <t>For this case 0</t>
    </r>
    <r>
      <rPr>
        <sz val="12"/>
        <color rgb="FF000000"/>
        <rFont val="Aptos Narrow"/>
        <scheme val="minor"/>
      </rPr>
      <t>}}</t>
    </r>
  </si>
  <si>
    <t xml:space="preserve">  "customAmounts": {</t>
  </si>
  <si>
    <r>
      <rPr>
        <b/>
        <sz val="12"/>
        <color rgb="FF000000"/>
        <rFont val="Aptos Narrow"/>
        <scheme val="minor"/>
      </rPr>
      <t>"penalty":</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</si>
  <si>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</si>
  <si>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</si>
  <si>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"fees":</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</si>
  <si>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t xml:space="preserve">Case 4:  Overdue Repayment + Payment Day Amount Case </t>
  </si>
  <si>
    <r>
      <rPr>
        <b/>
        <sz val="16"/>
        <color rgb="FF000000"/>
        <rFont val="Aptos Narrow"/>
        <scheme val="minor"/>
      </rPr>
      <t xml:space="preserve">Case 4: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amount should same as Total Due in Mambu</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</si>
  <si>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t>
    </r>
    <r>
      <rPr>
        <b/>
        <sz val="12"/>
        <color rgb="FF000000"/>
        <rFont val="Aptos Narrow"/>
        <scheme val="minor"/>
      </rPr>
      <t>Total Due from Mambu</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</si>
  <si>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Overdue Interest + Payment Day Interest</t>
    </r>
    <r>
      <rPr>
        <sz val="12"/>
        <color rgb="FF000000"/>
        <rFont val="Aptos Narrow"/>
        <scheme val="minor"/>
      </rPr>
      <t>}}</t>
    </r>
  </si>
  <si>
    <r>
      <rPr>
        <b/>
        <sz val="12"/>
        <color rgb="FF000000"/>
        <rFont val="Aptos Narrow"/>
        <scheme val="minor"/>
      </rPr>
      <t>"PrincipalPaid":</t>
    </r>
    <r>
      <rPr>
        <sz val="12"/>
        <color rgb="FF000000"/>
        <rFont val="Aptos Narrow"/>
        <scheme val="minor"/>
      </rPr>
      <t xml:space="preserve"> {{Value should be Overdue  Principal + Payment Day Principal}}</t>
    </r>
  </si>
  <si>
    <r>
      <rPr>
        <b/>
        <sz val="12"/>
        <color rgb="FF000000"/>
        <rFont val="Aptos Narrow"/>
        <scheme val="minor"/>
      </rPr>
      <t xml:space="preserve">    "paidInterest": </t>
    </r>
    <r>
      <rPr>
        <sz val="12"/>
        <color rgb="FF000000"/>
        <rFont val="Aptos Narrow"/>
        <scheme val="minor"/>
      </rPr>
      <t xml:space="preserve">{{Value should be </t>
    </r>
    <r>
      <rPr>
        <b/>
        <sz val="12"/>
        <color rgb="FF000000"/>
        <rFont val="Aptos Narrow"/>
        <scheme val="minor"/>
      </rPr>
      <t>Interest Due value from Mambu Loan Schedule</t>
    </r>
    <r>
      <rPr>
        <sz val="12"/>
        <color rgb="FF000000"/>
        <rFont val="Aptos Narrow"/>
        <scheme val="minor"/>
      </rPr>
      <t xml:space="preserve"> for </t>
    </r>
    <r>
      <rPr>
        <b/>
        <sz val="12"/>
        <color rgb="FFC00000"/>
        <rFont val="Aptos Narrow"/>
        <scheme val="minor"/>
      </rPr>
      <t>Payment Day</t>
    </r>
    <r>
      <rPr>
        <sz val="12"/>
        <color rgb="FF000000"/>
        <rFont val="Aptos Narrow"/>
        <scheme val="minor"/>
      </rPr>
      <t>}}</t>
    </r>
  </si>
  <si>
    <r>
      <rPr>
        <sz val="12"/>
        <color rgb="FF000000"/>
        <rFont val="Aptos Narrow"/>
        <scheme val="minor"/>
      </rPr>
      <t xml:space="preserve"> </t>
    </r>
    <r>
      <rPr>
        <b/>
        <sz val="12"/>
        <color rgb="FF000000"/>
        <rFont val="Aptos Narrow"/>
        <scheme val="minor"/>
      </rPr>
      <t xml:space="preserve">   "paidPrincipal"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t>
    </r>
    <r>
      <rPr>
        <b/>
        <sz val="12"/>
        <color rgb="FF000000"/>
        <rFont val="Aptos Narrow"/>
        <scheme val="minor"/>
      </rPr>
      <t>value from Mambu Loan Schedule</t>
    </r>
    <r>
      <rPr>
        <sz val="12"/>
        <color rgb="FF000000"/>
        <rFont val="Aptos Narrow"/>
        <scheme val="minor"/>
      </rPr>
      <t xml:space="preserve"> for </t>
    </r>
    <r>
      <rPr>
        <b/>
        <sz val="12"/>
        <color rgb="FFC00000"/>
        <rFont val="Aptos Narrow"/>
        <scheme val="minor"/>
      </rPr>
      <t>Payment Day</t>
    </r>
    <r>
      <rPr>
        <sz val="12"/>
        <color rgb="FF000000"/>
        <rFont val="Aptos Narrow"/>
        <scheme val="minor"/>
      </rPr>
      <t>}}</t>
    </r>
  </si>
  <si>
    <r>
      <rPr>
        <sz val="11"/>
        <color rgb="FF000000"/>
        <rFont val="Aptos Narrow"/>
        <scheme val="minor"/>
      </rPr>
      <t>"</t>
    </r>
    <r>
      <rPr>
        <b/>
        <sz val="11"/>
        <color rgb="FF000000"/>
        <rFont val="Aptos Narrow"/>
        <scheme val="minor"/>
      </rPr>
      <t>amount</t>
    </r>
    <r>
      <rPr>
        <sz val="11"/>
        <color rgb="FF000000"/>
        <rFont val="Aptos Narrow"/>
        <scheme val="minor"/>
      </rPr>
      <t xml:space="preserve">": Amount that was transfered from Settlemet account to Interest Account: </t>
    </r>
    <r>
      <rPr>
        <b/>
        <sz val="11"/>
        <color rgb="FF000000"/>
        <rFont val="Aptos Narrow"/>
        <scheme val="minor"/>
      </rPr>
      <t>Interest Due value from Mambu Loan Schedule for Payment Day</t>
    </r>
  </si>
  <si>
    <r>
      <rPr>
        <sz val="11"/>
        <color rgb="FF000000"/>
        <rFont val="Aptos Narrow"/>
        <scheme val="minor"/>
      </rPr>
      <t>"</t>
    </r>
    <r>
      <rPr>
        <b/>
        <sz val="11"/>
        <color rgb="FF000000"/>
        <rFont val="Aptos Narrow"/>
        <scheme val="minor"/>
      </rPr>
      <t>amount</t>
    </r>
    <r>
      <rPr>
        <sz val="11"/>
        <color rgb="FF000000"/>
        <rFont val="Aptos Narrow"/>
        <scheme val="minor"/>
      </rPr>
      <t xml:space="preserve">": Principal Amount that was transfered from Settlement acc. to Pricnipal Account. </t>
    </r>
    <r>
      <rPr>
        <b/>
        <sz val="11"/>
        <color rgb="FFFF0000"/>
        <rFont val="Aptos Narrow"/>
        <scheme val="minor"/>
      </rPr>
      <t>Principal Due value</t>
    </r>
    <r>
      <rPr>
        <sz val="11"/>
        <color rgb="FF000000"/>
        <rFont val="Aptos Narrow"/>
        <scheme val="minor"/>
      </rPr>
      <t xml:space="preserve"> from Mambu Loan Schedule for Payment Day, because for Payment day</t>
    </r>
  </si>
  <si>
    <r>
      <rPr>
        <b/>
        <sz val="12"/>
        <color rgb="FF000000"/>
        <rFont val="Aptos Narrow"/>
        <scheme val="minor"/>
      </rPr>
      <t xml:space="preserve">"arrearsPosition": </t>
    </r>
    <r>
      <rPr>
        <sz val="12"/>
        <color rgb="FF000000"/>
        <rFont val="Aptos Narrow"/>
        <scheme val="minor"/>
      </rPr>
      <t xml:space="preserve"> </t>
    </r>
    <r>
      <rPr>
        <b/>
        <sz val="12"/>
        <color rgb="FFFF0000"/>
        <rFont val="Aptos Narrow"/>
        <scheme val="minor"/>
      </rPr>
      <t>For this case must be 0</t>
    </r>
  </si>
  <si>
    <r>
      <rPr>
        <b/>
        <sz val="12"/>
        <color rgb="FF000000"/>
        <rFont val="Aptos Narrow"/>
        <scheme val="minor"/>
      </rPr>
      <t>"principalAmount":</t>
    </r>
    <r>
      <rPr>
        <sz val="12"/>
        <color rgb="FF000000"/>
        <rFont val="Aptos Narrow"/>
        <scheme val="minor"/>
      </rPr>
      <t xml:space="preserve"> {{Value should be</t>
    </r>
    <r>
      <rPr>
        <b/>
        <sz val="12"/>
        <color rgb="FF000000"/>
        <rFont val="Aptos Narrow"/>
        <scheme val="minor"/>
      </rPr>
      <t xml:space="preserve"> Principal Due value from Mambu</t>
    </r>
    <r>
      <rPr>
        <sz val="12"/>
        <color rgb="FF000000"/>
        <rFont val="Aptos Narrow"/>
        <scheme val="minor"/>
      </rPr>
      <t xml:space="preserve"> }}</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</si>
  <si>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Interest Due Value from Mambu</t>
    </r>
    <r>
      <rPr>
        <sz val="12"/>
        <color rgb="FF000000"/>
        <rFont val="Aptos Narrow"/>
        <scheme val="minor"/>
      </rPr>
      <t>}}</t>
    </r>
  </si>
  <si>
    <r>
      <rPr>
        <b/>
        <sz val="12"/>
        <color rgb="FF000000"/>
        <rFont val="Aptos Narrow"/>
        <scheme val="minor"/>
      </rPr>
      <t xml:space="preserve">Principal Paid: </t>
    </r>
    <r>
      <rPr>
        <sz val="12"/>
        <color rgb="FF000000"/>
        <rFont val="Aptos Narrow"/>
        <scheme val="minor"/>
      </rPr>
      <t xml:space="preserve">{{Value should be </t>
    </r>
    <r>
      <rPr>
        <b/>
        <sz val="12"/>
        <color rgb="FF000000"/>
        <rFont val="Aptos Narrow"/>
        <scheme val="minor"/>
      </rPr>
      <t>Overdue Principal</t>
    </r>
    <r>
      <rPr>
        <sz val="12"/>
        <color rgb="FF000000"/>
        <rFont val="Aptos Narrow"/>
        <scheme val="minor"/>
      </rPr>
      <t xml:space="preserve"> Due+ Payment Day Principal Due}}</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</si>
  <si>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Due + Payment Dayu Principal Due}}</t>
    </r>
  </si>
  <si>
    <r>
      <rPr>
        <sz val="12"/>
        <color rgb="FF000000"/>
        <rFont val="Aptos Narrow"/>
        <scheme val="minor"/>
      </rPr>
      <t xml:space="preserve">"interestAmount_MoneyObject": {
    "amount": </t>
    </r>
    <r>
      <rPr>
        <b/>
        <sz val="12"/>
        <color rgb="FF000000"/>
        <rFont val="Aptos Narrow"/>
        <scheme val="minor"/>
      </rPr>
      <t xml:space="preserve">{{Paid Amount for Interest (Overdue Interest + Payment Day Interest) * 100}} </t>
    </r>
    <r>
      <rPr>
        <sz val="12"/>
        <color rgb="FF000000"/>
        <rFont val="Aptos Narrow"/>
        <scheme val="minor"/>
      </rPr>
      <t>,
    "currencyCode": "UZS"
  },</t>
    </r>
  </si>
  <si>
    <r>
      <rPr>
        <sz val="12"/>
        <color rgb="FF000000"/>
        <rFont val="Calibri"/>
        <family val="2"/>
      </rPr>
      <t xml:space="preserve">  "principalAmount_MoneyObject": {
    "amount": </t>
    </r>
    <r>
      <rPr>
        <b/>
        <sz val="12"/>
        <color rgb="FF000000"/>
        <rFont val="Calibri"/>
        <family val="2"/>
      </rPr>
      <t>{{Paid Amount for Principal (Overdue Principal + Payment Day Principal) * 100}}</t>
    </r>
    <r>
      <rPr>
        <sz val="12"/>
        <color rgb="FF000000"/>
        <rFont val="Calibri"/>
        <family val="2"/>
      </rPr>
      <t>,
    "currencyCode": "UZS"
  },</t>
    </r>
  </si>
  <si>
    <t>Case 5: Exact Overdue Repayment Case</t>
  </si>
  <si>
    <r>
      <rPr>
        <b/>
        <sz val="16"/>
        <color rgb="FF000000"/>
        <rFont val="Aptos Narrow"/>
        <scheme val="minor"/>
      </rPr>
      <t xml:space="preserve">Case 5: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t>
    </r>
    <r>
      <rPr>
        <b/>
        <sz val="16"/>
        <color rgb="FFC00000"/>
        <rFont val="Aptos Narrow"/>
        <scheme val="minor"/>
      </rPr>
      <t xml:space="preserve">Penalty due in 0.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 xml:space="preserve">amount should same as Penalty + Overdue Interest + Overdue Principal </t>
    </r>
  </si>
  <si>
    <t>Precondition: In Mambu Pay Penalty Due with Custom Repayment in order to have 0 on Penalty Due</t>
  </si>
  <si>
    <r>
      <rPr>
        <b/>
        <sz val="12"/>
        <color rgb="FF000000"/>
        <rFont val="Aptos Narrow"/>
        <scheme val="minor"/>
      </rPr>
      <t>"PenaltyPaid":</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</si>
  <si>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 xml:space="preserve">    "paidPenalty"</t>
    </r>
    <r>
      <rPr>
        <sz val="12"/>
        <color rgb="FF000000"/>
        <rFont val="Aptos Narrow"/>
        <scheme val="minor"/>
      </rPr>
      <t>: {{Value should be</t>
    </r>
    <r>
      <rPr>
        <b/>
        <sz val="12"/>
        <color rgb="FFC00000"/>
        <rFont val="Aptos Narrow"/>
        <scheme val="minor"/>
      </rPr>
      <t xml:space="preserve"> 0 for this case</t>
    </r>
    <r>
      <rPr>
        <sz val="12"/>
        <color rgb="FF000000"/>
        <rFont val="Aptos Narrow"/>
        <scheme val="minor"/>
      </rPr>
      <t>}}</t>
    </r>
  </si>
  <si>
    <r>
      <rPr>
        <b/>
        <sz val="12"/>
        <color rgb="FF000000"/>
        <rFont val="Aptos Narrow"/>
        <scheme val="minor"/>
      </rPr>
      <t>"penaltyAmount":</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</si>
  <si>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"penalty":</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</si>
  <si>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 xml:space="preserve">Penalty Due: </t>
    </r>
    <r>
      <rPr>
        <sz val="12"/>
        <color rgb="FF000000"/>
        <rFont val="Aptos Narrow"/>
        <scheme val="minor"/>
      </rPr>
      <t xml:space="preserve">{{Value should </t>
    </r>
    <r>
      <rPr>
        <b/>
        <sz val="12"/>
        <color rgb="FFC00000"/>
        <rFont val="Aptos Narrow"/>
        <scheme val="minor"/>
      </rPr>
      <t>0 for this case</t>
    </r>
    <r>
      <rPr>
        <sz val="12"/>
        <color rgb="FF000000"/>
        <rFont val="Aptos Narrow"/>
        <scheme val="minor"/>
      </rPr>
      <t>}}</t>
    </r>
  </si>
  <si>
    <r>
      <rPr>
        <b/>
        <sz val="12"/>
        <color rgb="FF000000"/>
        <rFont val="Aptos Narrow"/>
        <scheme val="minor"/>
      </rPr>
      <t xml:space="preserve">Penalty Paid: </t>
    </r>
    <r>
      <rPr>
        <sz val="12"/>
        <color rgb="FF000000"/>
        <rFont val="Aptos Narrow"/>
        <scheme val="minor"/>
      </rPr>
      <t xml:space="preserve">{{Value should be </t>
    </r>
    <r>
      <rPr>
        <b/>
        <sz val="12"/>
        <color rgb="FF000000"/>
        <rFont val="Aptos Narrow"/>
        <scheme val="minor"/>
      </rPr>
      <t>Penalty</t>
    </r>
    <r>
      <rPr>
        <sz val="12"/>
        <color rgb="FF000000"/>
        <rFont val="Aptos Narrow"/>
        <scheme val="minor"/>
      </rPr>
      <t xml:space="preserve"> amount paid with Mambu Repayment}}</t>
    </r>
  </si>
  <si>
    <t>Case 6: Exact Overdue Repayment Case</t>
  </si>
  <si>
    <r>
      <rPr>
        <b/>
        <sz val="16"/>
        <color rgb="FF000000"/>
        <rFont val="Aptos Narrow"/>
        <scheme val="minor"/>
      </rPr>
      <t xml:space="preserve">Case 6: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t>
    </r>
    <r>
      <rPr>
        <b/>
        <sz val="16"/>
        <color rgb="FFC00000"/>
        <rFont val="Aptos Narrow"/>
        <scheme val="minor"/>
      </rPr>
      <t xml:space="preserve">Penalty due and Overdue Interest Due in 0.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 xml:space="preserve">amount should same as Overdue Principal </t>
    </r>
  </si>
  <si>
    <t>Precondition: In Mambu Pay Penalty Due with Custom Repayment in order to have 0 on Penalty Due &amp; Pay Overdue Interest Due with Custom Repayment in order to have 0 on Overdue Interest Due</t>
  </si>
  <si>
    <r>
      <rPr>
        <b/>
        <sz val="12"/>
        <color rgb="FF000000"/>
        <rFont val="Aptos Narrow"/>
        <scheme val="minor"/>
      </rPr>
      <t>"InterestPaid":</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</si>
  <si>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 xml:space="preserve">    "paidOverDueInterest":</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</si>
  <si>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 xml:space="preserve">    "paidPrincipal":</t>
    </r>
    <r>
      <rPr>
        <sz val="12"/>
        <color rgb="FF000000"/>
        <rFont val="Aptos Narrow"/>
        <scheme val="minor"/>
      </rPr>
      <t xml:space="preserve"> {{For this case 0}}</t>
    </r>
  </si>
  <si>
    <r>
      <rPr>
        <b/>
        <sz val="12"/>
        <color rgb="FF000000"/>
        <rFont val="Aptos Narrow"/>
        <scheme val="minor"/>
      </rPr>
      <t>"interestAmount":</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</si>
  <si>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"interest":</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</si>
  <si>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Repay Formula}}</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</si>
  <si>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 Due</t>
    </r>
    <r>
      <rPr>
        <sz val="12"/>
        <color rgb="FF000000"/>
        <rFont val="Aptos Narrow"/>
        <scheme val="minor"/>
      </rPr>
      <t xml:space="preserve"> amount paid with Mambu Repayment}}</t>
    </r>
  </si>
  <si>
    <t>Case 4: Exact Overdue Repayment Case</t>
  </si>
  <si>
    <r>
      <rPr>
        <b/>
        <sz val="16"/>
        <color rgb="FF000000"/>
        <rFont val="Aptos Narrow"/>
        <scheme val="minor"/>
      </rPr>
      <t xml:space="preserve">Case 4: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Overdue Interest is 0. 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 xml:space="preserve">amount should same as Penalty + Overdue Interest + Overdue Principal </t>
    </r>
  </si>
  <si>
    <t>Precondition: In Mambu Pay Overdue Interest Due with Custom Repayment in order to have 0 on Overdue Interest Due</t>
  </si>
  <si>
    <r>
      <rPr>
        <b/>
        <sz val="12"/>
        <color rgb="FF000000"/>
        <rFont val="Aptos Narrow"/>
        <scheme val="minor"/>
      </rPr>
      <t>"interestAmount":</t>
    </r>
    <r>
      <rPr>
        <sz val="12"/>
        <color rgb="FF000000"/>
        <rFont val="Aptos Narrow"/>
        <scheme val="minor"/>
      </rPr>
      <t xml:space="preserve"> {{Value should be</t>
    </r>
    <r>
      <rPr>
        <b/>
        <sz val="12"/>
        <color rgb="FFC00000"/>
        <rFont val="Aptos Narrow"/>
        <scheme val="minor"/>
      </rPr>
      <t xml:space="preserve"> 0 for this case</t>
    </r>
    <r>
      <rPr>
        <sz val="12"/>
        <color rgb="FF000000"/>
        <rFont val="Aptos Narrow"/>
        <scheme val="minor"/>
      </rPr>
      <t>}}</t>
    </r>
  </si>
  <si>
    <t>Case 8:  Overdue Repayment with Fixed Fee</t>
  </si>
  <si>
    <r>
      <rPr>
        <b/>
        <sz val="16"/>
        <color rgb="FF000000"/>
        <rFont val="Aptos Narrow"/>
        <scheme val="minor"/>
      </rPr>
      <t xml:space="preserve">Case 8: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amount should same as Total Due in Mambu - 49 999.99 UZS</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</si>
  <si>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t>
    </r>
    <r>
      <rPr>
        <b/>
        <sz val="12"/>
        <color rgb="FF000000"/>
        <rFont val="Aptos Narrow"/>
        <scheme val="minor"/>
      </rPr>
      <t>Total Due from Mambu - 49 999.99 UZS</t>
    </r>
  </si>
  <si>
    <r>
      <rPr>
        <b/>
        <sz val="14"/>
        <color rgb="FF000000"/>
        <rFont val="Calibri"/>
        <family val="2"/>
      </rPr>
      <t xml:space="preserve">Next Step: </t>
    </r>
    <r>
      <rPr>
        <sz val="14"/>
        <color rgb="FF000000"/>
        <rFont val="Calibri"/>
        <family val="2"/>
      </rPr>
      <t>Press Close button on Repayment Success Page: process continues on Overdue Loan Manage Page</t>
    </r>
  </si>
  <si>
    <r>
      <rPr>
        <b/>
        <sz val="12"/>
        <color rgb="FF000000"/>
        <rFont val="Aptos Narrow"/>
        <scheme val="minor"/>
      </rPr>
      <t>"PrincipalPaid":</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 </t>
    </r>
    <r>
      <rPr>
        <b/>
        <sz val="12"/>
        <color rgb="FF000000"/>
        <rFont val="Aptos Narrow"/>
        <scheme val="minor"/>
      </rPr>
      <t>Payment Day</t>
    </r>
    <r>
      <rPr>
        <sz val="12"/>
        <color rgb="FF000000"/>
        <rFont val="Aptos Narrow"/>
        <scheme val="minor"/>
      </rPr>
      <t xml:space="preserve"> Principal}}</t>
    </r>
  </si>
  <si>
    <r>
      <rPr>
        <b/>
        <sz val="12"/>
        <color rgb="FF000000"/>
        <rFont val="Aptos Narrow"/>
        <scheme val="minor"/>
      </rPr>
      <t>"FeesPaid":</t>
    </r>
    <r>
      <rPr>
        <sz val="12"/>
        <color rgb="FF000000"/>
        <rFont val="Aptos Narrow"/>
        <scheme val="minor"/>
      </rPr>
      <t xml:space="preserve"> {{Value should be </t>
    </r>
    <r>
      <rPr>
        <b/>
        <sz val="12"/>
        <color rgb="FFC00000"/>
        <rFont val="Aptos Narrow"/>
        <scheme val="minor"/>
      </rPr>
      <t>0.01 for this case</t>
    </r>
    <r>
      <rPr>
        <sz val="12"/>
        <color rgb="FF000000"/>
        <rFont val="Aptos Narrow"/>
        <scheme val="minor"/>
      </rPr>
      <t>}}</t>
    </r>
  </si>
  <si>
    <r>
      <rPr>
        <b/>
        <sz val="12"/>
        <color rgb="FF000000"/>
        <rFont val="Aptos Narrow"/>
        <scheme val="minor"/>
      </rPr>
      <t xml:space="preserve">    "paidFees": </t>
    </r>
    <r>
      <rPr>
        <sz val="12"/>
        <color rgb="FF000000"/>
        <rFont val="Aptos Narrow"/>
        <scheme val="minor"/>
      </rPr>
      <t xml:space="preserve">{{For this case </t>
    </r>
    <r>
      <rPr>
        <b/>
        <sz val="12"/>
        <color rgb="FFC00000"/>
        <rFont val="Aptos Narrow"/>
        <scheme val="minor"/>
      </rPr>
      <t>0.01 UZS</t>
    </r>
    <r>
      <rPr>
        <sz val="12"/>
        <color rgb="FF000000"/>
        <rFont val="Aptos Narrow"/>
        <scheme val="minor"/>
      </rPr>
      <t>}}</t>
    </r>
  </si>
  <si>
    <r>
      <rPr>
        <sz val="11"/>
        <color rgb="FF000000"/>
        <rFont val="Aptos Narrow"/>
        <scheme val="minor"/>
      </rPr>
      <t>"</t>
    </r>
    <r>
      <rPr>
        <b/>
        <sz val="11"/>
        <color rgb="FF000000"/>
        <rFont val="Aptos Narrow"/>
        <scheme val="minor"/>
      </rPr>
      <t>amount</t>
    </r>
    <r>
      <rPr>
        <sz val="11"/>
        <color rgb="FF000000"/>
        <rFont val="Aptos Narrow"/>
        <scheme val="minor"/>
      </rPr>
      <t xml:space="preserve">": {{Amount for </t>
    </r>
    <r>
      <rPr>
        <b/>
        <sz val="11"/>
        <color rgb="FF000000"/>
        <rFont val="Aptos Narrow"/>
        <scheme val="minor"/>
      </rPr>
      <t>Fee, for this case 0.01 UZS</t>
    </r>
    <r>
      <rPr>
        <sz val="11"/>
        <color rgb="FF000000"/>
        <rFont val="Aptos Narrow"/>
        <scheme val="minor"/>
      </rPr>
      <t>}}</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</si>
  <si>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Mambu after repayment: refresh Mambu, for this case </t>
    </r>
    <r>
      <rPr>
        <b/>
        <sz val="12"/>
        <color rgb="FF000000"/>
        <rFont val="Aptos Narrow"/>
        <scheme val="minor"/>
      </rPr>
      <t>-49999.99</t>
    </r>
    <r>
      <rPr>
        <sz val="12"/>
        <color rgb="FF000000"/>
        <rFont val="Aptos Narrow"/>
        <scheme val="minor"/>
      </rPr>
      <t xml:space="preserve"> UZS}}</t>
    </r>
  </si>
  <si>
    <r>
      <rPr>
        <b/>
        <sz val="12"/>
        <color rgb="FF000000"/>
        <rFont val="Aptos Narrow"/>
        <scheme val="minor"/>
      </rPr>
      <t xml:space="preserve">"feesAmount": </t>
    </r>
    <r>
      <rPr>
        <b/>
        <sz val="12"/>
        <color rgb="FFC00000"/>
        <rFont val="Aptos Narrow"/>
        <scheme val="minor"/>
      </rPr>
      <t>For this case must be 0.01</t>
    </r>
  </si>
  <si>
    <r>
      <rPr>
        <b/>
        <sz val="12"/>
        <color rgb="FF000000"/>
        <rFont val="Aptos Narrow"/>
        <scheme val="minor"/>
      </rPr>
      <t>"penaltyAmount":</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</si>
  <si>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Interest Due</t>
    </r>
    <r>
      <rPr>
        <sz val="12"/>
        <color rgb="FF000000"/>
        <rFont val="Aptos Narrow"/>
        <scheme val="minor"/>
      </rPr>
      <t xml:space="preserve"> Value from </t>
    </r>
    <r>
      <rPr>
        <b/>
        <sz val="12"/>
        <color rgb="FF000000"/>
        <rFont val="Aptos Narrow"/>
        <scheme val="minor"/>
      </rPr>
      <t>Mambu</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</si>
  <si>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value from </t>
    </r>
    <r>
      <rPr>
        <b/>
        <sz val="12"/>
        <color rgb="FF000000"/>
        <rFont val="Aptos Narrow"/>
        <scheme val="minor"/>
      </rPr>
      <t>Mambu</t>
    </r>
    <r>
      <rPr>
        <sz val="12"/>
        <color rgb="FF000000"/>
        <rFont val="Aptos Narrow"/>
        <scheme val="minor"/>
      </rPr>
      <t>}}</t>
    </r>
  </si>
  <si>
    <r>
      <rPr>
        <b/>
        <sz val="12"/>
        <color rgb="FF000000"/>
        <rFont val="Aptos Narrow"/>
        <scheme val="minor"/>
      </rPr>
      <t>"fees":</t>
    </r>
    <r>
      <rPr>
        <sz val="12"/>
        <color rgb="FF000000"/>
        <rFont val="Aptos Narrow"/>
        <scheme val="minor"/>
      </rPr>
      <t xml:space="preserve"> {{Value should be </t>
    </r>
    <r>
      <rPr>
        <b/>
        <sz val="12"/>
        <color rgb="FFC00000"/>
        <rFont val="Aptos Narrow"/>
        <scheme val="minor"/>
      </rPr>
      <t>0.01 for this case</t>
    </r>
    <r>
      <rPr>
        <sz val="12"/>
        <color rgb="FF000000"/>
        <rFont val="Aptos Narrow"/>
        <scheme val="minor"/>
      </rPr>
      <t>}}</t>
    </r>
  </si>
  <si>
    <r>
      <rPr>
        <b/>
        <sz val="12"/>
        <color rgb="FF000000"/>
        <rFont val="Aptos Narrow"/>
        <scheme val="minor"/>
      </rPr>
      <t xml:space="preserve">Total Due: </t>
    </r>
    <r>
      <rPr>
        <sz val="12"/>
        <color rgb="FF000000"/>
        <rFont val="Aptos Narrow"/>
        <scheme val="minor"/>
      </rPr>
      <t xml:space="preserve">{{Value should </t>
    </r>
    <r>
      <rPr>
        <b/>
        <sz val="12"/>
        <color rgb="FF000000"/>
        <rFont val="Aptos Narrow"/>
        <scheme val="minor"/>
      </rPr>
      <t>Total Due</t>
    </r>
    <r>
      <rPr>
        <sz val="12"/>
        <color rgb="FF000000"/>
        <rFont val="Aptos Narrow"/>
        <scheme val="minor"/>
      </rPr>
      <t xml:space="preserve"> value after repayment: </t>
    </r>
    <r>
      <rPr>
        <b/>
        <sz val="12"/>
        <color rgb="FFC00000"/>
        <rFont val="Aptos Narrow"/>
        <scheme val="minor"/>
      </rPr>
      <t xml:space="preserve">Total Due Before Rapayment - Repaid Amount, for this case </t>
    </r>
    <r>
      <rPr>
        <b/>
        <sz val="12"/>
        <color rgb="FF000000"/>
        <rFont val="Aptos Narrow"/>
        <scheme val="minor"/>
      </rPr>
      <t>49999.99 UZS</t>
    </r>
    <r>
      <rPr>
        <sz val="12"/>
        <color rgb="FF000000"/>
        <rFont val="Aptos Narrow"/>
        <scheme val="minor"/>
      </rPr>
      <t>}}</t>
    </r>
  </si>
  <si>
    <r>
      <rPr>
        <b/>
        <sz val="12"/>
        <color rgb="FF000000"/>
        <rFont val="Aptos Narrow"/>
        <scheme val="minor"/>
      </rPr>
      <t xml:space="preserve">Principal Due: </t>
    </r>
    <r>
      <rPr>
        <sz val="12"/>
        <color rgb="FF000000"/>
        <rFont val="Aptos Narrow"/>
        <scheme val="minor"/>
      </rPr>
      <t xml:space="preserve">{{Value should </t>
    </r>
    <r>
      <rPr>
        <b/>
        <sz val="12"/>
        <color rgb="FF000000"/>
        <rFont val="Aptos Narrow"/>
        <scheme val="minor"/>
      </rPr>
      <t>Principal Due</t>
    </r>
    <r>
      <rPr>
        <sz val="12"/>
        <color rgb="FF000000"/>
        <rFont val="Aptos Narrow"/>
        <scheme val="minor"/>
      </rPr>
      <t xml:space="preserve"> value after repayment: </t>
    </r>
    <r>
      <rPr>
        <b/>
        <sz val="12"/>
        <color rgb="FFC00000"/>
        <rFont val="Aptos Narrow"/>
        <scheme val="minor"/>
      </rPr>
      <t>Principal Due</t>
    </r>
    <r>
      <rPr>
        <sz val="12"/>
        <color rgb="FFC00000"/>
        <rFont val="Aptos Narrow"/>
        <scheme val="minor"/>
      </rPr>
      <t xml:space="preserve"> </t>
    </r>
    <r>
      <rPr>
        <b/>
        <sz val="12"/>
        <color rgb="FFC00000"/>
        <rFont val="Aptos Narrow"/>
        <scheme val="minor"/>
      </rPr>
      <t>Before Rapeyment</t>
    </r>
    <r>
      <rPr>
        <sz val="12"/>
        <color rgb="FFC00000"/>
        <rFont val="Aptos Narrow"/>
        <scheme val="minor"/>
      </rPr>
      <t xml:space="preserve"> - </t>
    </r>
    <r>
      <rPr>
        <b/>
        <sz val="12"/>
        <color rgb="FFC00000"/>
        <rFont val="Aptos Narrow"/>
        <scheme val="minor"/>
      </rPr>
      <t xml:space="preserve">Paid Principal, </t>
    </r>
    <r>
      <rPr>
        <b/>
        <sz val="12"/>
        <color rgb="FF000000"/>
        <rFont val="Aptos Narrow"/>
        <scheme val="minor"/>
      </rPr>
      <t>for this case 0</t>
    </r>
    <r>
      <rPr>
        <sz val="12"/>
        <color rgb="FF000000"/>
        <rFont val="Aptos Narrow"/>
        <scheme val="minor"/>
      </rPr>
      <t>}}</t>
    </r>
  </si>
  <si>
    <r>
      <rPr>
        <b/>
        <sz val="12"/>
        <color rgb="FF000000"/>
        <rFont val="Aptos Narrow"/>
        <scheme val="minor"/>
      </rPr>
      <t xml:space="preserve">Interest Due: </t>
    </r>
    <r>
      <rPr>
        <sz val="12"/>
        <color rgb="FF000000"/>
        <rFont val="Aptos Narrow"/>
        <scheme val="minor"/>
      </rPr>
      <t xml:space="preserve">{{Value should </t>
    </r>
    <r>
      <rPr>
        <b/>
        <sz val="12"/>
        <color rgb="FF000000"/>
        <rFont val="Aptos Narrow"/>
        <scheme val="minor"/>
      </rPr>
      <t>Interest Due</t>
    </r>
    <r>
      <rPr>
        <sz val="12"/>
        <color rgb="FF000000"/>
        <rFont val="Aptos Narrow"/>
        <scheme val="minor"/>
      </rPr>
      <t xml:space="preserve"> value after repayment: </t>
    </r>
    <r>
      <rPr>
        <b/>
        <sz val="12"/>
        <color rgb="FFC00000"/>
        <rFont val="Aptos Narrow"/>
        <scheme val="minor"/>
      </rPr>
      <t xml:space="preserve">Interest Due Before Rapeyment - Paid Interest, </t>
    </r>
    <r>
      <rPr>
        <b/>
        <sz val="12"/>
        <color rgb="FF000000"/>
        <rFont val="Aptos Narrow"/>
        <scheme val="minor"/>
      </rPr>
      <t>for this case 0</t>
    </r>
    <r>
      <rPr>
        <sz val="12"/>
        <color rgb="FF000000"/>
        <rFont val="Aptos Narrow"/>
        <scheme val="minor"/>
      </rPr>
      <t>}}</t>
    </r>
  </si>
  <si>
    <r>
      <rPr>
        <b/>
        <sz val="12"/>
        <color rgb="FF000000"/>
        <rFont val="Aptos Narrow"/>
        <scheme val="minor"/>
      </rPr>
      <t xml:space="preserve">Penalty Due: </t>
    </r>
    <r>
      <rPr>
        <sz val="12"/>
        <color rgb="FF000000"/>
        <rFont val="Aptos Narrow"/>
        <scheme val="minor"/>
      </rPr>
      <t xml:space="preserve">{{Value should </t>
    </r>
    <r>
      <rPr>
        <b/>
        <sz val="12"/>
        <color rgb="FF000000"/>
        <rFont val="Aptos Narrow"/>
        <scheme val="minor"/>
      </rPr>
      <t>Penalty Due</t>
    </r>
    <r>
      <rPr>
        <sz val="12"/>
        <color rgb="FF000000"/>
        <rFont val="Aptos Narrow"/>
        <scheme val="minor"/>
      </rPr>
      <t xml:space="preserve"> value after repayment calculated with </t>
    </r>
    <r>
      <rPr>
        <b/>
        <sz val="12"/>
        <color rgb="FF000000"/>
        <rFont val="Aptos Narrow"/>
        <scheme val="minor"/>
      </rPr>
      <t>Repay Formula,</t>
    </r>
    <r>
      <rPr>
        <b/>
        <sz val="12"/>
        <color rgb="FFC00000"/>
        <rFont val="Aptos Narrow"/>
        <scheme val="minor"/>
      </rPr>
      <t xml:space="preserve"> for this case 0</t>
    </r>
    <r>
      <rPr>
        <sz val="12"/>
        <color rgb="FF000000"/>
        <rFont val="Aptos Narrow"/>
        <scheme val="minor"/>
      </rPr>
      <t>}}</t>
    </r>
  </si>
  <si>
    <r>
      <rPr>
        <b/>
        <sz val="12"/>
        <color rgb="FF000000"/>
        <rFont val="Aptos Narrow"/>
        <scheme val="minor"/>
      </rPr>
      <t xml:space="preserve">Fees Paid: </t>
    </r>
    <r>
      <rPr>
        <sz val="12"/>
        <color rgb="FF000000"/>
        <rFont val="Aptos Narrow"/>
        <scheme val="minor"/>
      </rPr>
      <t xml:space="preserve">{{Value should be </t>
    </r>
    <r>
      <rPr>
        <b/>
        <sz val="12"/>
        <color rgb="FFC00000"/>
        <rFont val="Aptos Narrow"/>
        <scheme val="minor"/>
      </rPr>
      <t>0.01 UZS for this case</t>
    </r>
    <r>
      <rPr>
        <sz val="12"/>
        <color rgb="FF000000"/>
        <rFont val="Aptos Narrow"/>
        <scheme val="minor"/>
      </rPr>
      <t>}}</t>
    </r>
  </si>
  <si>
    <r>
      <rPr>
        <b/>
        <sz val="11"/>
        <color rgb="FF000000"/>
        <rFont val="Calibri"/>
        <family val="2"/>
      </rPr>
      <t>Value for Fees Amount:</t>
    </r>
    <r>
      <rPr>
        <sz val="11"/>
        <color rgb="FF000000"/>
        <rFont val="Calibri"/>
        <family val="2"/>
      </rPr>
      <t xml:space="preserve">  should be </t>
    </r>
    <r>
      <rPr>
        <b/>
        <sz val="11"/>
        <color rgb="FF000000"/>
        <rFont val="Calibri"/>
        <family val="2"/>
      </rPr>
      <t>Fees Paid</t>
    </r>
    <r>
      <rPr>
        <sz val="11"/>
        <color rgb="FF000000"/>
        <rFont val="Calibri"/>
        <family val="2"/>
      </rPr>
      <t xml:space="preserve"> value from Mambu, </t>
    </r>
    <r>
      <rPr>
        <b/>
        <sz val="11"/>
        <color rgb="FF000000"/>
        <rFont val="Calibri"/>
        <family val="2"/>
      </rPr>
      <t>for this case 0.01 UZS</t>
    </r>
  </si>
  <si>
    <t>"feesAmount": "0.01 UZS"</t>
  </si>
  <si>
    <t xml:space="preserve">  "feesAmount_MoneyObject": {
    "amount": "0.01",
    "currencyCode": "UZS"
  },</t>
  </si>
  <si>
    <t>Case 9:  Overdue Repayment, when Fix Penalty is applied</t>
  </si>
  <si>
    <r>
      <rPr>
        <b/>
        <sz val="16"/>
        <color rgb="FF000000"/>
        <rFont val="Aptos Narrow"/>
        <scheme val="minor"/>
      </rPr>
      <t xml:space="preserve">Case 9: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amount should same as Penalty + Overdue Interest + Overdue Principal</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</si>
  <si>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amount should same as Penalty + Overdue Interest + Overdue Principal</t>
    </r>
  </si>
  <si>
    <r>
      <rPr>
        <b/>
        <sz val="12"/>
        <color rgb="FF000000"/>
        <rFont val="Aptos Narrow"/>
        <scheme val="minor"/>
      </rPr>
      <t>"PenaltyPaid":</t>
    </r>
    <r>
      <rPr>
        <sz val="12"/>
        <color rgb="FF000000"/>
        <rFont val="Aptos Narrow"/>
        <scheme val="minor"/>
      </rPr>
      <t xml:space="preserve"> {{Value should be Penalty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</si>
  <si>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 xml:space="preserve">Overdue Interest </t>
    </r>
    <r>
      <rPr>
        <sz val="12"/>
        <color rgb="FF000000"/>
        <rFont val="Aptos Narrow"/>
        <scheme val="minor"/>
      </rPr>
      <t xml:space="preserve">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</si>
  <si>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"PrincipalPaid":</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t>
    </r>
    <r>
      <rPr>
        <b/>
        <sz val="12"/>
        <color rgb="FF000000"/>
        <rFont val="Aptos Narrow"/>
        <scheme val="minor"/>
      </rPr>
      <t>with Repay Formula</t>
    </r>
    <r>
      <rPr>
        <sz val="12"/>
        <color rgb="FF000000"/>
        <rFont val="Aptos Narrow"/>
        <scheme val="minor"/>
      </rPr>
      <t>}}</t>
    </r>
  </si>
  <si>
    <r>
      <rPr>
        <b/>
        <sz val="12"/>
        <color rgb="FF000000"/>
        <rFont val="Aptos Narrow"/>
        <scheme val="minor"/>
      </rPr>
      <t>"FeesPaid":</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</si>
  <si>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 xml:space="preserve">    "paidFees": </t>
    </r>
    <r>
      <rPr>
        <sz val="12"/>
        <color rgb="FF000000"/>
        <rFont val="Aptos Narrow"/>
        <scheme val="minor"/>
      </rPr>
      <t xml:space="preserve">{{For this case </t>
    </r>
    <r>
      <rPr>
        <b/>
        <sz val="12"/>
        <color rgb="FFC00000"/>
        <rFont val="Aptos Narrow"/>
        <scheme val="minor"/>
      </rPr>
      <t>0 UZS</t>
    </r>
    <r>
      <rPr>
        <sz val="12"/>
        <color rgb="FF000000"/>
        <rFont val="Aptos Narrow"/>
        <scheme val="minor"/>
      </rPr>
      <t>}}</t>
    </r>
  </si>
  <si>
    <r>
      <rPr>
        <b/>
        <sz val="12"/>
        <color rgb="FF000000"/>
        <rFont val="Aptos Narrow"/>
        <scheme val="minor"/>
      </rPr>
      <t xml:space="preserve">    "paidInterest": </t>
    </r>
    <r>
      <rPr>
        <sz val="12"/>
        <color rgb="FF000000"/>
        <rFont val="Aptos Narrow"/>
        <scheme val="minor"/>
      </rPr>
      <t>{{Value should be 0 for this case}}</t>
    </r>
  </si>
  <si>
    <r>
      <rPr>
        <b/>
        <sz val="12"/>
        <color rgb="FF000000"/>
        <rFont val="Aptos Narrow"/>
        <scheme val="minor"/>
      </rPr>
      <t xml:space="preserve">    "paidOverDueInterest":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</si>
  <si>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    "paidOverDuePrincipal"</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</si>
  <si>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b/>
        <sz val="12"/>
        <color rgb="FF000000"/>
        <rFont val="Aptos Narrow"/>
        <scheme val="minor"/>
      </rPr>
      <t xml:space="preserve">    "paidPenalty"</t>
    </r>
    <r>
      <rPr>
        <sz val="12"/>
        <color rgb="FF000000"/>
        <rFont val="Aptos Narrow"/>
        <scheme val="minor"/>
      </rPr>
      <t xml:space="preserve">: {{Value should be </t>
    </r>
    <r>
      <rPr>
        <b/>
        <sz val="12"/>
        <color rgb="FF000000"/>
        <rFont val="Aptos Narrow"/>
        <scheme val="minor"/>
      </rPr>
      <t>Penalty</t>
    </r>
    <r>
      <rPr>
        <sz val="12"/>
        <color rgb="FF000000"/>
        <rFont val="Aptos Narrow"/>
        <scheme val="minor"/>
      </rPr>
      <t xml:space="preserve"> amount calculated with </t>
    </r>
    <r>
      <rPr>
        <b/>
        <sz val="12"/>
        <color rgb="FF000000"/>
        <rFont val="Aptos Narrow"/>
        <scheme val="minor"/>
      </rPr>
      <t>Repay Formula</t>
    </r>
    <r>
      <rPr>
        <sz val="12"/>
        <color rgb="FF000000"/>
        <rFont val="Aptos Narrow"/>
        <scheme val="minor"/>
      </rPr>
      <t>}}</t>
    </r>
  </si>
  <si>
    <r>
      <rPr>
        <sz val="12"/>
        <color rgb="FF000000"/>
        <rFont val="Aptos Narrow"/>
        <scheme val="minor"/>
      </rPr>
      <t xml:space="preserve"> </t>
    </r>
    <r>
      <rPr>
        <b/>
        <sz val="12"/>
        <color rgb="FF000000"/>
        <rFont val="Aptos Narrow"/>
        <scheme val="minor"/>
      </rPr>
      <t xml:space="preserve">   "paidPrincipal"</t>
    </r>
    <r>
      <rPr>
        <sz val="12"/>
        <color rgb="FF000000"/>
        <rFont val="Aptos Narrow"/>
        <scheme val="minor"/>
      </rPr>
      <t>: {{Value should be 0 for this case}}</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</si>
  <si>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Mambu after repayment: refresh Mambu, for this case </t>
    </r>
    <r>
      <rPr>
        <b/>
        <sz val="12"/>
        <color rgb="FFC00000"/>
        <rFont val="Aptos Narrow"/>
        <scheme val="minor"/>
      </rPr>
      <t>Tota Due before repayment - Penalty - Overdue Interets - Overdue Principal - Payment day interets - Payment Day Principal</t>
    </r>
    <r>
      <rPr>
        <sz val="12"/>
        <color rgb="FF000000"/>
        <rFont val="Aptos Narrow"/>
        <scheme val="minor"/>
      </rPr>
      <t>}}</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</si>
  <si>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Interest Due</t>
    </r>
    <r>
      <rPr>
        <sz val="12"/>
        <color rgb="FF000000"/>
        <rFont val="Aptos Narrow"/>
        <scheme val="minor"/>
      </rPr>
      <t xml:space="preserve"> Value from </t>
    </r>
    <r>
      <rPr>
        <b/>
        <sz val="12"/>
        <color rgb="FF000000"/>
        <rFont val="Aptos Narrow"/>
        <scheme val="minor"/>
      </rPr>
      <t>Mambu schedule for Late Payment</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</si>
  <si>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value from </t>
    </r>
    <r>
      <rPr>
        <b/>
        <sz val="12"/>
        <color rgb="FF000000"/>
        <rFont val="Aptos Narrow"/>
        <scheme val="minor"/>
      </rPr>
      <t>Mambu schedule for Late Payment</t>
    </r>
    <r>
      <rPr>
        <sz val="12"/>
        <color rgb="FF000000"/>
        <rFont val="Aptos Narrow"/>
        <scheme val="minor"/>
      </rPr>
      <t>}}</t>
    </r>
  </si>
  <si>
    <r>
      <rPr>
        <b/>
        <sz val="12"/>
        <color rgb="FF000000"/>
        <rFont val="Aptos Narrow"/>
        <scheme val="minor"/>
      </rPr>
      <t xml:space="preserve">Principal Paid: </t>
    </r>
    <r>
      <rPr>
        <sz val="12"/>
        <color rgb="FF000000"/>
        <rFont val="Aptos Narrow"/>
        <scheme val="minor"/>
      </rPr>
      <t xml:space="preserve">{{Value should be </t>
    </r>
    <r>
      <rPr>
        <b/>
        <sz val="12"/>
        <color rgb="FF000000"/>
        <rFont val="Aptos Narrow"/>
        <scheme val="minor"/>
      </rPr>
      <t>Overdue Principal</t>
    </r>
    <r>
      <rPr>
        <sz val="12"/>
        <color rgb="FF000000"/>
        <rFont val="Aptos Narrow"/>
        <scheme val="minor"/>
      </rPr>
      <t xml:space="preserve"> Due}}</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</si>
  <si>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Due }}</t>
    </r>
  </si>
  <si>
    <r>
      <rPr>
        <b/>
        <sz val="12"/>
        <color rgb="FF000000"/>
        <rFont val="Aptos Narrow"/>
        <scheme val="minor"/>
      </rPr>
      <t xml:space="preserve">Fees Paid: </t>
    </r>
    <r>
      <rPr>
        <sz val="12"/>
        <color rgb="FF000000"/>
        <rFont val="Aptos Narrow"/>
        <scheme val="minor"/>
      </rPr>
      <t xml:space="preserve">{{Value should be </t>
    </r>
    <r>
      <rPr>
        <b/>
        <sz val="12"/>
        <color rgb="FFC00000"/>
        <rFont val="Aptos Narrow"/>
        <scheme val="minor"/>
      </rPr>
      <t>0 UZS for this case</t>
    </r>
    <r>
      <rPr>
        <sz val="12"/>
        <color rgb="FF000000"/>
        <rFont val="Aptos Narrow"/>
        <scheme val="minor"/>
      </rPr>
      <t>}}</t>
    </r>
  </si>
  <si>
    <r>
      <rPr>
        <sz val="12"/>
        <color rgb="FF000000"/>
        <rFont val="Aptos Narrow"/>
        <scheme val="minor"/>
      </rPr>
      <t xml:space="preserve">"interestAmount_MoneyObject": {
    "amount": </t>
    </r>
    <r>
      <rPr>
        <b/>
        <sz val="12"/>
        <color rgb="FF000000"/>
        <rFont val="Aptos Narrow"/>
        <scheme val="minor"/>
      </rPr>
      <t xml:space="preserve">{{Paid Amount for Interest (Overdue Interest ) * 100}} </t>
    </r>
    <r>
      <rPr>
        <sz val="12"/>
        <color rgb="FF000000"/>
        <rFont val="Aptos Narrow"/>
        <scheme val="minor"/>
      </rPr>
      <t>,
    "currencyCode": "UZS"
  },</t>
    </r>
  </si>
  <si>
    <r>
      <rPr>
        <sz val="12"/>
        <color rgb="FF000000"/>
        <rFont val="Calibri"/>
        <family val="2"/>
      </rPr>
      <t xml:space="preserve">  "principalAmount_MoneyObject": {
    "amount": </t>
    </r>
    <r>
      <rPr>
        <b/>
        <sz val="12"/>
        <color rgb="FF000000"/>
        <rFont val="Calibri"/>
        <family val="2"/>
      </rPr>
      <t>{{Paid Amount for Principal (Overdue Principal) * 100}}</t>
    </r>
    <r>
      <rPr>
        <sz val="12"/>
        <color rgb="FF000000"/>
        <rFont val="Calibri"/>
        <family val="2"/>
      </rPr>
      <t>,
    "currencyCode": "UZS"
  },</t>
    </r>
  </si>
  <si>
    <t>Case 10:  Overdue Repayment with Fixed Fee - Paying Overdue Amount + 0.01 UZS</t>
  </si>
  <si>
    <r>
      <rPr>
        <b/>
        <sz val="16"/>
        <color rgb="FF000000"/>
        <rFont val="Aptos Narrow"/>
        <scheme val="minor"/>
      </rPr>
      <t xml:space="preserve">Case 10: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</si>
  <si>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t>
    </r>
    <r>
      <rPr>
        <b/>
        <sz val="12"/>
        <color rgb="FF000000"/>
        <rFont val="Aptos Narrow"/>
        <scheme val="minor"/>
      </rPr>
      <t>Penalty + Overdue Interest + Overdue Principal + 0.01 UZS</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</si>
  <si>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Overdue Interest + 0.01 UZS</t>
    </r>
    <r>
      <rPr>
        <sz val="12"/>
        <color rgb="FF000000"/>
        <rFont val="Aptos Narrow"/>
        <scheme val="minor"/>
      </rPr>
      <t>}}</t>
    </r>
  </si>
  <si>
    <r>
      <rPr>
        <b/>
        <sz val="12"/>
        <color rgb="FF000000"/>
        <rFont val="Aptos Narrow"/>
        <scheme val="minor"/>
      </rPr>
      <t>"PrincipalPaid":</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t>
    </r>
  </si>
  <si>
    <r>
      <rPr>
        <b/>
        <sz val="12"/>
        <color rgb="FF000000"/>
        <rFont val="Aptos Narrow"/>
        <scheme val="minor"/>
      </rPr>
      <t xml:space="preserve">    "paidInterest": </t>
    </r>
    <r>
      <rPr>
        <sz val="12"/>
        <color rgb="FF000000"/>
        <rFont val="Aptos Narrow"/>
        <scheme val="minor"/>
      </rPr>
      <t>{{Value should be 0.01 UZS}}</t>
    </r>
  </si>
  <si>
    <r>
      <rPr>
        <b/>
        <sz val="12"/>
        <color rgb="FF000000"/>
        <rFont val="Aptos Narrow"/>
        <scheme val="minor"/>
      </rPr>
      <t xml:space="preserve">"arrearsPosition": </t>
    </r>
    <r>
      <rPr>
        <sz val="12"/>
        <color rgb="FF000000"/>
        <rFont val="Aptos Narrow"/>
        <scheme val="minor"/>
      </rPr>
      <t xml:space="preserve"> {{Value should be  for this case -</t>
    </r>
    <r>
      <rPr>
        <b/>
        <sz val="12"/>
        <color rgb="FF000000"/>
        <rFont val="Aptos Narrow"/>
        <scheme val="minor"/>
      </rPr>
      <t>50 000</t>
    </r>
    <r>
      <rPr>
        <sz val="12"/>
        <color rgb="FF000000"/>
        <rFont val="Aptos Narrow"/>
        <scheme val="minor"/>
      </rPr>
      <t xml:space="preserve"> UZS}}</t>
    </r>
  </si>
  <si>
    <r>
      <rPr>
        <b/>
        <sz val="12"/>
        <color rgb="FF000000"/>
        <rFont val="Aptos Narrow"/>
        <scheme val="minor"/>
      </rPr>
      <t>"principalAmount":</t>
    </r>
    <r>
      <rPr>
        <sz val="12"/>
        <color rgb="FF000000"/>
        <rFont val="Aptos Narrow"/>
        <scheme val="minor"/>
      </rPr>
      <t xml:space="preserve"> {{Value should be</t>
    </r>
    <r>
      <rPr>
        <b/>
        <sz val="12"/>
        <color rgb="FF000000"/>
        <rFont val="Aptos Narrow"/>
        <scheme val="minor"/>
      </rPr>
      <t xml:space="preserve"> Principal Due value from Mambu schedule for Late Payment</t>
    </r>
    <r>
      <rPr>
        <sz val="12"/>
        <color rgb="FF000000"/>
        <rFont val="Aptos Narrow"/>
        <scheme val="minor"/>
      </rPr>
      <t xml:space="preserve"> }}</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</si>
  <si>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 xml:space="preserve">Interest Due Value from Mambu schedule for Late Payment + </t>
    </r>
    <r>
      <rPr>
        <b/>
        <sz val="12"/>
        <color rgb="FFC00000"/>
        <rFont val="Aptos Narrow"/>
        <scheme val="minor"/>
      </rPr>
      <t>0.01 UZS</t>
    </r>
    <r>
      <rPr>
        <sz val="12"/>
        <color rgb="FF000000"/>
        <rFont val="Aptos Narrow"/>
        <scheme val="minor"/>
      </rPr>
      <t>}}</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</si>
  <si>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Interest Due</t>
    </r>
    <r>
      <rPr>
        <sz val="12"/>
        <color rgb="FF000000"/>
        <rFont val="Aptos Narrow"/>
        <scheme val="minor"/>
      </rPr>
      <t xml:space="preserve"> Value from Mambu schedule for Late Payment +</t>
    </r>
    <r>
      <rPr>
        <b/>
        <sz val="12"/>
        <color rgb="FFC00000"/>
        <rFont val="Aptos Narrow"/>
        <scheme val="minor"/>
      </rPr>
      <t xml:space="preserve"> 0.01 UZS</t>
    </r>
    <r>
      <rPr>
        <sz val="12"/>
        <color rgb="FF000000"/>
        <rFont val="Aptos Narrow"/>
        <scheme val="minor"/>
      </rPr>
      <t>}}</t>
    </r>
  </si>
  <si>
    <r>
      <rPr>
        <b/>
        <sz val="12"/>
        <color rgb="FF000000"/>
        <rFont val="Aptos Narrow"/>
        <scheme val="minor"/>
      </rPr>
      <t>"Interest amount":</t>
    </r>
    <r>
      <rPr>
        <sz val="12"/>
        <color rgb="FF000000"/>
        <rFont val="Aptos Narrow"/>
        <scheme val="minor"/>
      </rPr>
      <t xml:space="preserve"> {{Value should be </t>
    </r>
    <r>
      <rPr>
        <b/>
        <sz val="12"/>
        <color rgb="FF000000"/>
        <rFont val="Aptos Narrow"/>
        <scheme val="minor"/>
      </rPr>
      <t xml:space="preserve">Overdue Interest </t>
    </r>
    <r>
      <rPr>
        <sz val="12"/>
        <color rgb="FF000000"/>
        <rFont val="Aptos Narrow"/>
        <scheme val="minor"/>
      </rPr>
      <t xml:space="preserve">amount calculated with Repay Formula  + </t>
    </r>
    <r>
      <rPr>
        <b/>
        <sz val="12"/>
        <color rgb="FFC00000"/>
        <rFont val="Aptos Narrow"/>
        <scheme val="minor"/>
      </rPr>
      <t>0.01 UZS</t>
    </r>
    <r>
      <rPr>
        <sz val="12"/>
        <color rgb="FF000000"/>
        <rFont val="Aptos Narrow"/>
        <scheme val="minor"/>
      </rPr>
      <t>}}</t>
    </r>
  </si>
  <si>
    <t>Case 11:  Overdue Repayment with Fixed Fee - Paying Overdue Amount + Payment Day Interest + 0.01 UZS</t>
  </si>
  <si>
    <r>
      <rPr>
        <b/>
        <sz val="16"/>
        <color rgb="FF000000"/>
        <rFont val="Aptos Narrow"/>
        <scheme val="minor"/>
      </rPr>
      <t xml:space="preserve">Case 11: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</si>
  <si>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t>
    </r>
    <r>
      <rPr>
        <b/>
        <sz val="12"/>
        <color rgb="FF000000"/>
        <rFont val="Aptos Narrow"/>
        <scheme val="minor"/>
      </rPr>
      <t>Penalty + Overdue Interest + Overdue Principal + Payment Day Interest + 0.01 UZS</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</si>
  <si>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Overdue Interest + Payment Day Interest = Interest Due</t>
    </r>
    <r>
      <rPr>
        <sz val="12"/>
        <color rgb="FF000000"/>
        <rFont val="Aptos Narrow"/>
        <scheme val="minor"/>
      </rPr>
      <t>}}</t>
    </r>
  </si>
  <si>
    <r>
      <rPr>
        <b/>
        <sz val="12"/>
        <color rgb="FF000000"/>
        <rFont val="Aptos Narrow"/>
        <scheme val="minor"/>
      </rPr>
      <t>"PrincipalPaid":</t>
    </r>
    <r>
      <rPr>
        <sz val="12"/>
        <color rgb="FF000000"/>
        <rFont val="Aptos Narrow"/>
        <scheme val="minor"/>
      </rPr>
      <t xml:space="preserve"> {{Value should be </t>
    </r>
    <r>
      <rPr>
        <b/>
        <sz val="12"/>
        <color rgb="FF000000"/>
        <rFont val="Aptos Narrow"/>
        <scheme val="minor"/>
      </rPr>
      <t>Overdue  Principal + 0.01 UZS</t>
    </r>
    <r>
      <rPr>
        <sz val="12"/>
        <color rgb="FF000000"/>
        <rFont val="Aptos Narrow"/>
        <scheme val="minor"/>
      </rPr>
      <t>}}</t>
    </r>
  </si>
  <si>
    <r>
      <rPr>
        <b/>
        <sz val="12"/>
        <color rgb="FF000000"/>
        <rFont val="Aptos Narrow"/>
        <scheme val="minor"/>
      </rPr>
      <t xml:space="preserve">    "paidInterest": </t>
    </r>
    <r>
      <rPr>
        <sz val="12"/>
        <color rgb="FF000000"/>
        <rFont val="Aptos Narrow"/>
        <scheme val="minor"/>
      </rPr>
      <t xml:space="preserve">{{Value should be </t>
    </r>
    <r>
      <rPr>
        <b/>
        <sz val="12"/>
        <color rgb="FF000000"/>
        <rFont val="Aptos Narrow"/>
        <scheme val="minor"/>
      </rPr>
      <t xml:space="preserve">Payment Day Interest: </t>
    </r>
    <r>
      <rPr>
        <sz val="12"/>
        <color rgb="FF000000"/>
        <rFont val="Aptos Narrow"/>
        <scheme val="minor"/>
      </rPr>
      <t>Interest due value from</t>
    </r>
    <r>
      <rPr>
        <b/>
        <sz val="12"/>
        <color rgb="FF000000"/>
        <rFont val="Aptos Narrow"/>
        <scheme val="minor"/>
      </rPr>
      <t xml:space="preserve"> Mambu Loan schedule for Paymenrt Day</t>
    </r>
    <r>
      <rPr>
        <sz val="12"/>
        <color rgb="FF000000"/>
        <rFont val="Aptos Narrow"/>
        <scheme val="minor"/>
      </rPr>
      <t>}}</t>
    </r>
  </si>
  <si>
    <r>
      <rPr>
        <sz val="12"/>
        <color rgb="FF000000"/>
        <rFont val="Aptos Narrow"/>
        <scheme val="minor"/>
      </rPr>
      <t xml:space="preserve"> </t>
    </r>
    <r>
      <rPr>
        <b/>
        <sz val="12"/>
        <color rgb="FF000000"/>
        <rFont val="Aptos Narrow"/>
        <scheme val="minor"/>
      </rPr>
      <t xml:space="preserve">   "paidPrincipal"</t>
    </r>
    <r>
      <rPr>
        <sz val="12"/>
        <color rgb="FF000000"/>
        <rFont val="Aptos Narrow"/>
        <scheme val="minor"/>
      </rPr>
      <t xml:space="preserve">: {{Value should be </t>
    </r>
    <r>
      <rPr>
        <b/>
        <sz val="12"/>
        <color rgb="FF000000"/>
        <rFont val="Aptos Narrow"/>
        <scheme val="minor"/>
      </rPr>
      <t>0.01 UZS</t>
    </r>
    <r>
      <rPr>
        <sz val="12"/>
        <color rgb="FF000000"/>
        <rFont val="Aptos Narrow"/>
        <scheme val="minor"/>
      </rPr>
      <t xml:space="preserve"> for this case}}</t>
    </r>
  </si>
  <si>
    <r>
      <rPr>
        <sz val="11"/>
        <color rgb="FF000000"/>
        <rFont val="Aptos Narrow"/>
        <scheme val="minor"/>
      </rPr>
      <t>"</t>
    </r>
    <r>
      <rPr>
        <b/>
        <sz val="11"/>
        <color rgb="FF000000"/>
        <rFont val="Aptos Narrow"/>
        <scheme val="minor"/>
      </rPr>
      <t>amount</t>
    </r>
    <r>
      <rPr>
        <sz val="11"/>
        <color rgb="FF000000"/>
        <rFont val="Aptos Narrow"/>
        <scheme val="minor"/>
      </rPr>
      <t xml:space="preserve">": Amount that was transfered from Settlemet account to Interest Account: </t>
    </r>
    <r>
      <rPr>
        <b/>
        <sz val="11"/>
        <color rgb="FF000000"/>
        <rFont val="Aptos Narrow"/>
        <scheme val="minor"/>
      </rPr>
      <t>for this case Interest Due value from Loan Schedule for Payment Day</t>
    </r>
  </si>
  <si>
    <r>
      <rPr>
        <sz val="11"/>
        <color rgb="FF000000"/>
        <rFont val="Aptos Narrow"/>
        <scheme val="minor"/>
      </rPr>
      <t>"</t>
    </r>
    <r>
      <rPr>
        <b/>
        <sz val="11"/>
        <color rgb="FF000000"/>
        <rFont val="Aptos Narrow"/>
        <scheme val="minor"/>
      </rPr>
      <t>amount</t>
    </r>
    <r>
      <rPr>
        <sz val="11"/>
        <color rgb="FF000000"/>
        <rFont val="Aptos Narrow"/>
        <scheme val="minor"/>
      </rPr>
      <t xml:space="preserve">": Principal Amount that was transfered from Settlement acc. to For this case </t>
    </r>
    <r>
      <rPr>
        <b/>
        <sz val="11"/>
        <color rgb="FF000000"/>
        <rFont val="Aptos Narrow"/>
        <scheme val="minor"/>
      </rPr>
      <t>0.01 UZS</t>
    </r>
  </si>
  <si>
    <r>
      <rPr>
        <b/>
        <sz val="12"/>
        <color rgb="FF000000"/>
        <rFont val="Aptos Narrow"/>
        <scheme val="minor"/>
      </rPr>
      <t>"interestAmount":</t>
    </r>
    <r>
      <rPr>
        <sz val="12"/>
        <color rgb="FF000000"/>
        <rFont val="Aptos Narrow"/>
        <scheme val="minor"/>
      </rPr>
      <t xml:space="preserve"> {{Value should be </t>
    </r>
    <r>
      <rPr>
        <b/>
        <sz val="12"/>
        <color rgb="FF000000"/>
        <rFont val="Aptos Narrow"/>
        <scheme val="minor"/>
      </rPr>
      <t>Interest Due Value from Mambu schedule for Late Payment + Interest Due Value from Mambu schedule for Payment Day</t>
    </r>
    <r>
      <rPr>
        <sz val="12"/>
        <color rgb="FF000000"/>
        <rFont val="Aptos Narrow"/>
        <scheme val="minor"/>
      </rPr>
      <t>}}</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</si>
  <si>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Interest Due</t>
    </r>
    <r>
      <rPr>
        <sz val="12"/>
        <color rgb="FF000000"/>
        <rFont val="Aptos Narrow"/>
        <scheme val="minor"/>
      </rPr>
      <t xml:space="preserve"> Value from Mambu schedule for Late Payment +</t>
    </r>
    <r>
      <rPr>
        <b/>
        <sz val="12"/>
        <color rgb="FFC00000"/>
        <rFont val="Aptos Narrow"/>
        <scheme val="minor"/>
      </rPr>
      <t xml:space="preserve"> </t>
    </r>
    <r>
      <rPr>
        <b/>
        <sz val="12"/>
        <color rgb="FF000000"/>
        <rFont val="Aptos Narrow"/>
        <scheme val="minor"/>
      </rPr>
      <t>Interest Due Value from Mambu schedule for Payment Day</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</si>
  <si>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value from </t>
    </r>
    <r>
      <rPr>
        <b/>
        <sz val="12"/>
        <color rgb="FF000000"/>
        <rFont val="Aptos Narrow"/>
        <scheme val="minor"/>
      </rPr>
      <t>Mambu schedule for Late Payment + 0.01 UZS</t>
    </r>
    <r>
      <rPr>
        <sz val="12"/>
        <color rgb="FF000000"/>
        <rFont val="Aptos Narrow"/>
        <scheme val="minor"/>
      </rPr>
      <t>}}</t>
    </r>
  </si>
  <si>
    <r>
      <rPr>
        <b/>
        <sz val="12"/>
        <color rgb="FF000000"/>
        <rFont val="Aptos Narrow"/>
        <scheme val="minor"/>
      </rPr>
      <t xml:space="preserve">Principal Paid: </t>
    </r>
    <r>
      <rPr>
        <sz val="12"/>
        <color rgb="FF000000"/>
        <rFont val="Aptos Narrow"/>
        <scheme val="minor"/>
      </rPr>
      <t xml:space="preserve">{{Value should be </t>
    </r>
    <r>
      <rPr>
        <b/>
        <sz val="12"/>
        <color rgb="FF000000"/>
        <rFont val="Aptos Narrow"/>
        <scheme val="minor"/>
      </rPr>
      <t>Overdue Principal</t>
    </r>
    <r>
      <rPr>
        <sz val="12"/>
        <color rgb="FF000000"/>
        <rFont val="Aptos Narrow"/>
        <scheme val="minor"/>
      </rPr>
      <t xml:space="preserve"> Due+ 0.01 UZS}}</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</si>
  <si>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Due + </t>
    </r>
    <r>
      <rPr>
        <b/>
        <sz val="12"/>
        <color rgb="FF000000"/>
        <rFont val="Aptos Narrow"/>
        <scheme val="minor"/>
      </rPr>
      <t>Payment Day Principal Due</t>
    </r>
    <r>
      <rPr>
        <sz val="12"/>
        <color rgb="FF000000"/>
        <rFont val="Aptos Narrow"/>
        <scheme val="minor"/>
      </rPr>
      <t>}}</t>
    </r>
  </si>
  <si>
    <r>
      <rPr>
        <b/>
        <sz val="12"/>
        <color rgb="FF000000"/>
        <rFont val="Aptos Narrow"/>
        <scheme val="minor"/>
      </rPr>
      <t>"Interest amount":</t>
    </r>
    <r>
      <rPr>
        <sz val="12"/>
        <color rgb="FF000000"/>
        <rFont val="Aptos Narrow"/>
        <scheme val="minor"/>
      </rPr>
      <t xml:space="preserve"> {{Value should be </t>
    </r>
    <r>
      <rPr>
        <b/>
        <sz val="12"/>
        <color rgb="FF000000"/>
        <rFont val="Aptos Narrow"/>
        <scheme val="minor"/>
      </rPr>
      <t xml:space="preserve">Overdue Interest </t>
    </r>
    <r>
      <rPr>
        <sz val="12"/>
        <color rgb="FF000000"/>
        <rFont val="Aptos Narrow"/>
        <scheme val="minor"/>
      </rPr>
      <t>amount calculated with Repay Formula  + Payment Day Interest Due}}</t>
    </r>
  </si>
  <si>
    <r>
      <rPr>
        <b/>
        <sz val="11"/>
        <color rgb="FF000000"/>
        <rFont val="Calibri"/>
        <family val="2"/>
      </rPr>
      <t xml:space="preserve">"Principal Amount":  </t>
    </r>
    <r>
      <rPr>
        <sz val="11"/>
        <color rgb="FF000000"/>
        <rFont val="Calibri"/>
        <family val="2"/>
      </rPr>
      <t xml:space="preserve">{{Value should be </t>
    </r>
    <r>
      <rPr>
        <b/>
        <sz val="11"/>
        <color rgb="FF000000"/>
        <rFont val="Calibri"/>
        <family val="2"/>
      </rPr>
      <t>Overdue</t>
    </r>
    <r>
      <rPr>
        <sz val="11"/>
        <color rgb="FF000000"/>
        <rFont val="Calibri"/>
        <family val="2"/>
      </rPr>
      <t xml:space="preserve"> </t>
    </r>
    <r>
      <rPr>
        <b/>
        <sz val="11"/>
        <color rgb="FF000000"/>
        <rFont val="Calibri"/>
        <family val="2"/>
      </rPr>
      <t>Principal</t>
    </r>
    <r>
      <rPr>
        <sz val="11"/>
        <color rgb="FF000000"/>
        <rFont val="Calibri"/>
        <family val="2"/>
      </rPr>
      <t xml:space="preserve"> amount calculated with Repay Formula + 0.01 UZS}}</t>
    </r>
  </si>
  <si>
    <r>
      <rPr>
        <sz val="12"/>
        <color rgb="FF000000"/>
        <rFont val="Calibri"/>
        <family val="2"/>
      </rPr>
      <t xml:space="preserve">  "principalAmount_MoneyObject": {
    "amount": </t>
    </r>
    <r>
      <rPr>
        <b/>
        <sz val="12"/>
        <color rgb="FF000000"/>
        <rFont val="Calibri"/>
        <family val="2"/>
      </rPr>
      <t>{{Paid Amount for Principal (Overdue Principal + 0.01 UZS) * 100}}</t>
    </r>
    <r>
      <rPr>
        <sz val="12"/>
        <color rgb="FF000000"/>
        <rFont val="Calibri"/>
        <family val="2"/>
      </rPr>
      <t>,
    "currencyCode": "UZS"
  },</t>
    </r>
  </si>
  <si>
    <r>
      <rPr>
        <b/>
        <sz val="18"/>
        <color rgb="FF000000"/>
        <rFont val="Calibri"/>
        <family val="2"/>
      </rPr>
      <t xml:space="preserve">Case 12:  Overdue Repayment with Fixed Fee - Paying Total Due + 0.01 UZS - </t>
    </r>
    <r>
      <rPr>
        <b/>
        <sz val="24"/>
        <color rgb="FFC00000"/>
        <rFont val="Calibri"/>
        <family val="2"/>
      </rPr>
      <t>Without fixed Fee</t>
    </r>
  </si>
  <si>
    <r>
      <rPr>
        <b/>
        <sz val="16"/>
        <color rgb="FF000000"/>
        <rFont val="Aptos Narrow"/>
        <scheme val="minor"/>
      </rPr>
      <t xml:space="preserve">Case 12: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t>
    </r>
    <r>
      <rPr>
        <b/>
        <sz val="18"/>
        <color rgb="FFC00000"/>
        <rFont val="Aptos Narrow"/>
        <scheme val="minor"/>
      </rPr>
      <t>NOT</t>
    </r>
    <r>
      <rPr>
        <b/>
        <sz val="16"/>
        <color rgb="FFC00000"/>
        <rFont val="Aptos Narrow"/>
        <scheme val="minor"/>
      </rPr>
      <t xml:space="preserve"> Fixed Fee,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t>
    </r>
  </si>
  <si>
    <r>
      <rPr>
        <b/>
        <sz val="12"/>
        <color rgb="FF000000"/>
        <rFont val="Aptos Narrow"/>
        <scheme val="minor"/>
      </rPr>
      <t>Steps To Reproduce the Precondition:</t>
    </r>
    <r>
      <rPr>
        <sz val="12"/>
        <color rgb="FF000000"/>
        <rFont val="Aptos Narrow"/>
        <scheme val="minor"/>
      </rPr>
      <t xml:space="preserve"> Go to MySpace =&gt; Press Overdue Loan Card =&gt; On Loan Manage Page press ,,Other" button =&gt; On Additional Operations window choose "Loan repayment" =&gt;  Pay </t>
    </r>
    <r>
      <rPr>
        <b/>
        <sz val="12"/>
        <color rgb="FF000000"/>
        <rFont val="Aptos Narrow"/>
        <scheme val="minor"/>
      </rPr>
      <t>Total Due + 0.01 UZS</t>
    </r>
  </si>
  <si>
    <r>
      <rPr>
        <b/>
        <sz val="12"/>
        <color rgb="FF000000"/>
        <rFont val="Aptos Narrow"/>
        <scheme val="minor"/>
      </rPr>
      <t>"PrincipalPaid":</t>
    </r>
    <r>
      <rPr>
        <sz val="12"/>
        <color rgb="FF000000"/>
        <rFont val="Aptos Narrow"/>
        <scheme val="minor"/>
      </rPr>
      <t xml:space="preserve"> {{Value should be Overdue  Principal + Payment Day Principal + 0.01 UZS}}</t>
    </r>
  </si>
  <si>
    <r>
      <rPr>
        <sz val="12"/>
        <color rgb="FF000000"/>
        <rFont val="Aptos Narrow"/>
        <scheme val="minor"/>
      </rPr>
      <t xml:space="preserve"> </t>
    </r>
    <r>
      <rPr>
        <b/>
        <sz val="12"/>
        <color rgb="FF000000"/>
        <rFont val="Aptos Narrow"/>
        <scheme val="minor"/>
      </rPr>
      <t xml:space="preserve">   "paidPrincipal"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t>
    </r>
    <r>
      <rPr>
        <b/>
        <sz val="12"/>
        <color rgb="FF000000"/>
        <rFont val="Aptos Narrow"/>
        <scheme val="minor"/>
      </rPr>
      <t>value from Mambu Loan Schedule</t>
    </r>
    <r>
      <rPr>
        <sz val="12"/>
        <color rgb="FF000000"/>
        <rFont val="Aptos Narrow"/>
        <scheme val="minor"/>
      </rPr>
      <t xml:space="preserve"> for </t>
    </r>
    <r>
      <rPr>
        <b/>
        <sz val="12"/>
        <color rgb="FFC00000"/>
        <rFont val="Aptos Narrow"/>
        <scheme val="minor"/>
      </rPr>
      <t>Payment Day + 0.01 UZS</t>
    </r>
    <r>
      <rPr>
        <sz val="12"/>
        <color rgb="FF000000"/>
        <rFont val="Aptos Narrow"/>
        <scheme val="minor"/>
      </rPr>
      <t>}}</t>
    </r>
  </si>
  <si>
    <r>
      <rPr>
        <sz val="11"/>
        <color rgb="FF000000"/>
        <rFont val="Aptos Narrow"/>
        <scheme val="minor"/>
      </rPr>
      <t>"</t>
    </r>
    <r>
      <rPr>
        <b/>
        <sz val="11"/>
        <color rgb="FF000000"/>
        <rFont val="Aptos Narrow"/>
        <scheme val="minor"/>
      </rPr>
      <t>amount</t>
    </r>
    <r>
      <rPr>
        <sz val="11"/>
        <color rgb="FF000000"/>
        <rFont val="Aptos Narrow"/>
        <scheme val="minor"/>
      </rPr>
      <t xml:space="preserve">": Principal Amount that was transfered from Settlement acc. to Pricnipal Account. </t>
    </r>
    <r>
      <rPr>
        <b/>
        <sz val="11"/>
        <color rgb="FFFF0000"/>
        <rFont val="Aptos Narrow"/>
        <scheme val="minor"/>
      </rPr>
      <t>Principal Due value</t>
    </r>
    <r>
      <rPr>
        <sz val="11"/>
        <color rgb="FF000000"/>
        <rFont val="Aptos Narrow"/>
        <scheme val="minor"/>
      </rPr>
      <t xml:space="preserve"> from Mambu Loan Schedule for Payment Day, because for Payment day + </t>
    </r>
    <r>
      <rPr>
        <b/>
        <sz val="11"/>
        <color rgb="FF000000"/>
        <rFont val="Aptos Narrow"/>
        <scheme val="minor"/>
      </rPr>
      <t>0.01 UZS</t>
    </r>
  </si>
  <si>
    <r>
      <rPr>
        <b/>
        <sz val="12"/>
        <color rgb="FF000000"/>
        <rFont val="Aptos Narrow"/>
        <scheme val="minor"/>
      </rPr>
      <t>"principalAmount":</t>
    </r>
    <r>
      <rPr>
        <sz val="12"/>
        <color rgb="FF000000"/>
        <rFont val="Aptos Narrow"/>
        <scheme val="minor"/>
      </rPr>
      <t xml:space="preserve"> {{Value should be</t>
    </r>
    <r>
      <rPr>
        <b/>
        <sz val="12"/>
        <color rgb="FF000000"/>
        <rFont val="Aptos Narrow"/>
        <scheme val="minor"/>
      </rPr>
      <t xml:space="preserve"> Principal Due value from Mambu</t>
    </r>
    <r>
      <rPr>
        <sz val="12"/>
        <color rgb="FF000000"/>
        <rFont val="Aptos Narrow"/>
        <scheme val="minor"/>
      </rPr>
      <t xml:space="preserve"> + 0.01 UZS}}</t>
    </r>
  </si>
  <si>
    <r>
      <rPr>
        <b/>
        <sz val="12"/>
        <color rgb="FF000000"/>
        <rFont val="Aptos Narrow"/>
        <scheme val="minor"/>
      </rPr>
      <t>"Interest amount":</t>
    </r>
    <r>
      <rPr>
        <sz val="12"/>
        <color rgb="FF000000"/>
        <rFont val="Aptos Narrow"/>
        <scheme val="minor"/>
      </rPr>
      <t xml:space="preserve"> {{Value should be </t>
    </r>
    <r>
      <rPr>
        <b/>
        <sz val="12"/>
        <color rgb="FF000000"/>
        <rFont val="Aptos Narrow"/>
        <scheme val="minor"/>
      </rPr>
      <t>Overdue Interest</t>
    </r>
    <r>
      <rPr>
        <sz val="12"/>
        <color rgb="FF000000"/>
        <rFont val="Aptos Narrow"/>
        <scheme val="minor"/>
      </rPr>
      <t xml:space="preserve"> amount calculated with Repay Formula + </t>
    </r>
    <r>
      <rPr>
        <b/>
        <sz val="12"/>
        <color rgb="FF000000"/>
        <rFont val="Aptos Narrow"/>
        <scheme val="minor"/>
      </rPr>
      <t>Payment Day Interest</t>
    </r>
    <r>
      <rPr>
        <sz val="12"/>
        <color rgb="FF000000"/>
        <rFont val="Aptos Narrow"/>
        <scheme val="minor"/>
      </rPr>
      <t>}}</t>
    </r>
  </si>
  <si>
    <r>
      <rPr>
        <b/>
        <sz val="11"/>
        <color rgb="FF000000"/>
        <rFont val="Calibri"/>
        <family val="2"/>
      </rPr>
      <t xml:space="preserve">"Principal Amount":  </t>
    </r>
    <r>
      <rPr>
        <sz val="11"/>
        <color rgb="FF000000"/>
        <rFont val="Calibri"/>
        <family val="2"/>
      </rPr>
      <t xml:space="preserve">{{Value should be </t>
    </r>
    <r>
      <rPr>
        <b/>
        <sz val="11"/>
        <color rgb="FF000000"/>
        <rFont val="Calibri"/>
        <family val="2"/>
      </rPr>
      <t>Overdue</t>
    </r>
    <r>
      <rPr>
        <sz val="11"/>
        <color rgb="FF000000"/>
        <rFont val="Calibri"/>
        <family val="2"/>
      </rPr>
      <t xml:space="preserve"> </t>
    </r>
    <r>
      <rPr>
        <b/>
        <sz val="11"/>
        <color rgb="FF000000"/>
        <rFont val="Calibri"/>
        <family val="2"/>
      </rPr>
      <t>Principal</t>
    </r>
    <r>
      <rPr>
        <sz val="11"/>
        <color rgb="FF000000"/>
        <rFont val="Calibri"/>
        <family val="2"/>
      </rPr>
      <t xml:space="preserve"> amount calculated with Repay Formula + Payment Day Principal + 0.01 UZS}}</t>
    </r>
  </si>
  <si>
    <r>
      <rPr>
        <sz val="12"/>
        <color rgb="FF000000"/>
        <rFont val="Aptos Narrow"/>
        <scheme val="minor"/>
      </rPr>
      <t xml:space="preserve">"interestAmount_MoneyObject": {
    "amount": </t>
    </r>
    <r>
      <rPr>
        <b/>
        <sz val="12"/>
        <color rgb="FF000000"/>
        <rFont val="Aptos Narrow"/>
        <scheme val="minor"/>
      </rPr>
      <t xml:space="preserve">{{Paid Amount for Interest (Overdue Interest + Payment Day Interest)}} </t>
    </r>
    <r>
      <rPr>
        <sz val="12"/>
        <color rgb="FF000000"/>
        <rFont val="Aptos Narrow"/>
        <scheme val="minor"/>
      </rPr>
      <t>,
    "currencyCode": "UZS"
  },</t>
    </r>
  </si>
  <si>
    <r>
      <rPr>
        <sz val="12"/>
        <color rgb="FF000000"/>
        <rFont val="Calibri"/>
        <family val="2"/>
      </rPr>
      <t xml:space="preserve">  "principalAmount_MoneyObject": {
    "amount": </t>
    </r>
    <r>
      <rPr>
        <b/>
        <sz val="12"/>
        <color rgb="FF000000"/>
        <rFont val="Calibri"/>
        <family val="2"/>
      </rPr>
      <t>{{Paid Amount for Principal (Overdue Principal + Payment Day Principal + 0.01 UZS)}</t>
    </r>
    <r>
      <rPr>
        <sz val="12"/>
        <color rgb="FF000000"/>
        <rFont val="Calibri"/>
        <family val="2"/>
      </rPr>
      <t>,
    "currencyCode": "UZS"
  },</t>
    </r>
  </si>
  <si>
    <r>
      <rPr>
        <b/>
        <sz val="16"/>
        <color rgb="FF000000"/>
        <rFont val="Aptos Narrow"/>
        <scheme val="minor"/>
      </rPr>
      <t xml:space="preserve">Case 13: Customer has 2 Months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t>
    </r>
    <r>
      <rPr>
        <b/>
        <sz val="16"/>
        <color rgb="FF000000"/>
        <rFont val="Aptos Narrow"/>
        <scheme val="minor"/>
      </rPr>
      <t xml:space="preserve"> from Loan Repayment field: </t>
    </r>
    <r>
      <rPr>
        <b/>
        <sz val="16"/>
        <color rgb="FFC00000"/>
        <rFont val="Aptos Narrow"/>
        <scheme val="minor"/>
      </rPr>
      <t>amount should be less then Penalty + Overdue Interest + Overdue Principal</t>
    </r>
  </si>
  <si>
    <t>Collection - Internal Process: https://devzoid.spacebank.ge/process/20267/diagram</t>
  </si>
  <si>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Overdue amount (</t>
    </r>
    <r>
      <rPr>
        <b/>
        <sz val="16"/>
        <color rgb="FFC00000"/>
        <rFont val="Aptos Narrow"/>
        <scheme val="minor"/>
      </rPr>
      <t>Total due in mambu</t>
    </r>
    <r>
      <rPr>
        <b/>
        <sz val="16"/>
        <color rgb="FF000000"/>
        <rFont val="Aptos Narrow"/>
        <scheme val="minor"/>
      </rPr>
      <t>)</t>
    </r>
  </si>
  <si>
    <r>
      <rPr>
        <b/>
        <sz val="12"/>
        <color rgb="FF000000"/>
        <rFont val="Aptos Narrow"/>
        <scheme val="minor"/>
      </rPr>
      <t>Precondition</t>
    </r>
    <r>
      <rPr>
        <sz val="12"/>
        <color rgb="FF000000"/>
        <rFont val="Aptos Narrow"/>
        <scheme val="minor"/>
      </rPr>
      <t>: You must have 0 balance on Current account and Cards must not be Active in order to avoid collect process</t>
    </r>
  </si>
  <si>
    <r>
      <rPr>
        <b/>
        <sz val="12"/>
        <color rgb="FF000000"/>
        <rFont val="Aptos Narrow"/>
        <scheme val="minor"/>
      </rPr>
      <t>Steps To Reproduce the Precondition:</t>
    </r>
    <r>
      <rPr>
        <sz val="12"/>
        <color rgb="FF000000"/>
        <rFont val="Aptos Narrow"/>
        <scheme val="minor"/>
      </rPr>
      <t xml:space="preserve"> Go to Collection Process =&gt; Press + New Task =&gt; Fill in </t>
    </r>
    <r>
      <rPr>
        <b/>
        <sz val="12"/>
        <color rgb="FF000000"/>
        <rFont val="Aptos Narrow"/>
        <scheme val="minor"/>
      </rPr>
      <t xml:space="preserve">countryCode </t>
    </r>
    <r>
      <rPr>
        <b/>
        <sz val="12"/>
        <color rgb="FFC00000"/>
        <rFont val="Aptos Narrow"/>
        <scheme val="minor"/>
      </rPr>
      <t>UZ</t>
    </r>
    <r>
      <rPr>
        <sz val="12"/>
        <color rgb="FF000000"/>
        <rFont val="Aptos Narrow"/>
        <scheme val="minor"/>
      </rPr>
      <t xml:space="preserve"> =&gt; Fill in </t>
    </r>
    <r>
      <rPr>
        <b/>
        <sz val="12"/>
        <color rgb="FF000000"/>
        <rFont val="Aptos Narrow"/>
        <scheme val="minor"/>
      </rPr>
      <t xml:space="preserve">language </t>
    </r>
    <r>
      <rPr>
        <b/>
        <sz val="12"/>
        <color rgb="FFC00000"/>
        <rFont val="Aptos Narrow"/>
        <scheme val="minor"/>
      </rPr>
      <t>en-US</t>
    </r>
    <r>
      <rPr>
        <sz val="12"/>
        <color rgb="FF000000"/>
        <rFont val="Aptos Narrow"/>
        <scheme val="minor"/>
      </rPr>
      <t xml:space="preserve"> =&gt; Fill in </t>
    </r>
    <r>
      <rPr>
        <b/>
        <sz val="12"/>
        <color rgb="FF000000"/>
        <rFont val="Aptos Narrow"/>
        <scheme val="minor"/>
      </rPr>
      <t xml:space="preserve">loanId </t>
    </r>
    <r>
      <rPr>
        <sz val="12"/>
        <color rgb="FF000000"/>
        <rFont val="Aptos Narrow"/>
        <scheme val="minor"/>
      </rPr>
      <t>and send Request</t>
    </r>
  </si>
  <si>
    <r>
      <rPr>
        <sz val="11"/>
        <color rgb="FF000000"/>
        <rFont val="Aptos Narrow"/>
        <scheme val="minor"/>
      </rPr>
      <t xml:space="preserve">After initiating </t>
    </r>
    <r>
      <rPr>
        <b/>
        <sz val="11"/>
        <color rgb="FF000000"/>
        <rFont val="Aptos Narrow"/>
        <scheme val="minor"/>
      </rPr>
      <t>Collection - Internal</t>
    </r>
    <r>
      <rPr>
        <sz val="11"/>
        <color rgb="FF000000"/>
        <rFont val="Aptos Narrow"/>
        <scheme val="minor"/>
      </rPr>
      <t xml:space="preserve"> process check, that process continues on following condiitons: </t>
    </r>
    <r>
      <rPr>
        <b/>
        <sz val="11"/>
        <color rgb="FFC00000"/>
        <rFont val="Aptos Narrow"/>
        <scheme val="minor"/>
      </rPr>
      <t xml:space="preserve"> {{GetLoanResponseData.Loan.OverdueAmount}} &gt; 0</t>
    </r>
    <r>
      <rPr>
        <sz val="11"/>
        <color rgb="FF000000"/>
        <rFont val="Aptos Narrow"/>
        <scheme val="minor"/>
      </rPr>
      <t xml:space="preserve"> &amp;&amp;</t>
    </r>
    <r>
      <rPr>
        <sz val="11"/>
        <color rgb="FFC00000"/>
        <rFont val="Aptos Narrow"/>
        <scheme val="minor"/>
      </rPr>
      <t xml:space="preserve"> </t>
    </r>
    <r>
      <rPr>
        <b/>
        <sz val="11"/>
        <color rgb="FFC00000"/>
        <rFont val="Aptos Narrow"/>
        <scheme val="minor"/>
      </rPr>
      <t>$.math({{repaymentAmount}}*100) &lt; {{GetLoanResponseData.Loan.OverdueAmount}}</t>
    </r>
  </si>
  <si>
    <t>24850(RUS)</t>
  </si>
  <si>
    <t>Zurab Anchabadze</t>
  </si>
  <si>
    <r>
      <rPr>
        <sz val="11"/>
        <color rgb="FF000000"/>
        <rFont val="Aptos Narrow"/>
        <scheme val="minor"/>
      </rPr>
      <t xml:space="preserve">Check, that after </t>
    </r>
    <r>
      <rPr>
        <b/>
        <sz val="11"/>
        <color rgb="FF000000"/>
        <rFont val="Aptos Narrow"/>
        <scheme val="minor"/>
      </rPr>
      <t>Collection - Internal</t>
    </r>
    <r>
      <rPr>
        <sz val="11"/>
        <color rgb="FF000000"/>
        <rFont val="Aptos Narrow"/>
        <scheme val="minor"/>
      </rPr>
      <t xml:space="preserve"> process continues on following condition: </t>
    </r>
    <r>
      <rPr>
        <b/>
        <sz val="11"/>
        <color rgb="FFC00000"/>
        <rFont val="Aptos Narrow"/>
        <scheme val="minor"/>
      </rPr>
      <t xml:space="preserve">{{GetLoanResponseData.Loan.OverdueAmount}} &gt; 0 </t>
    </r>
    <r>
      <rPr>
        <sz val="11"/>
        <color rgb="FF000000"/>
        <rFont val="Aptos Narrow"/>
        <scheme val="minor"/>
      </rPr>
      <t>&amp;&amp;</t>
    </r>
    <r>
      <rPr>
        <b/>
        <sz val="11"/>
        <color rgb="FFC00000"/>
        <rFont val="Aptos Narrow"/>
        <scheme val="minor"/>
      </rPr>
      <t xml:space="preserve"> $.math({{repaymentAmount}}*100) &lt; {{GetLoanResponseData.Loan.OverdueAmount}}</t>
    </r>
    <r>
      <rPr>
        <sz val="11"/>
        <color rgb="FF000000"/>
        <rFont val="Aptos Narrow"/>
        <scheme val="minor"/>
      </rPr>
      <t xml:space="preserve"> then following process is called: </t>
    </r>
    <r>
      <rPr>
        <b/>
        <sz val="11"/>
        <color rgb="FF000000"/>
        <rFont val="Aptos Narrow"/>
        <scheme val="minor"/>
      </rPr>
      <t>Repay loan - Mambu v2</t>
    </r>
  </si>
  <si>
    <r>
      <rPr>
        <sz val="12"/>
        <color rgb="FF000000"/>
        <rFont val="Aptos Narrow"/>
        <scheme val="minor"/>
      </rPr>
      <t xml:space="preserve">Check, that </t>
    </r>
    <r>
      <rPr>
        <b/>
        <sz val="12"/>
        <color rgb="FF000000"/>
        <rFont val="Aptos Narrow"/>
        <scheme val="minor"/>
      </rPr>
      <t>Collection - Internal</t>
    </r>
    <r>
      <rPr>
        <sz val="12"/>
        <color rgb="FF000000"/>
        <rFont val="Aptos Narrow"/>
        <scheme val="minor"/>
      </rPr>
      <t xml:space="preserve"> process goes in </t>
    </r>
    <r>
      <rPr>
        <b/>
        <sz val="12"/>
        <color rgb="FF000000"/>
        <rFont val="Aptos Narrow"/>
        <scheme val="minor"/>
      </rPr>
      <t>Success</t>
    </r>
    <r>
      <rPr>
        <sz val="12"/>
        <color rgb="FF000000"/>
        <rFont val="Aptos Narrow"/>
        <scheme val="minor"/>
      </rPr>
      <t xml:space="preserve"> and </t>
    </r>
    <r>
      <rPr>
        <b/>
        <sz val="12"/>
        <color rgb="FF000000"/>
        <rFont val="Aptos Narrow"/>
        <scheme val="minor"/>
      </rPr>
      <t>Save the LOG</t>
    </r>
  </si>
  <si>
    <t>Collection - Internal Success LOG checks:</t>
  </si>
  <si>
    <r>
      <rPr>
        <b/>
        <sz val="12"/>
        <color rgb="FF000000"/>
        <rFont val="Aptos Narrow"/>
        <scheme val="minor"/>
      </rPr>
      <t xml:space="preserve">"actionAmount": </t>
    </r>
    <r>
      <rPr>
        <sz val="12"/>
        <color rgb="FF000000"/>
        <rFont val="Aptos Narrow"/>
        <scheme val="minor"/>
      </rPr>
      <t>{{Amount, which you paid in the following format .00}}</t>
    </r>
  </si>
  <si>
    <r>
      <rPr>
        <b/>
        <sz val="12"/>
        <color rgb="FF000000"/>
        <rFont val="Aptos Narrow"/>
        <scheme val="minor"/>
      </rPr>
      <t>"balance":</t>
    </r>
    <r>
      <rPr>
        <sz val="12"/>
        <color rgb="FF000000"/>
        <rFont val="Aptos Narrow"/>
        <scheme val="minor"/>
      </rPr>
      <t xml:space="preserve"> {{Balance on Settlement Account}}</t>
    </r>
  </si>
  <si>
    <r>
      <rPr>
        <b/>
        <sz val="12"/>
        <color rgb="FF000000"/>
        <rFont val="Aptos Narrow"/>
        <scheme val="minor"/>
      </rPr>
      <t>"clientMambuCorrelationKey":</t>
    </r>
    <r>
      <rPr>
        <sz val="12"/>
        <color rgb="FF000000"/>
        <rFont val="Aptos Narrow"/>
        <scheme val="minor"/>
      </rPr>
      <t xml:space="preserve"> {{Customer's MambuCorrelationKey}}</t>
    </r>
  </si>
  <si>
    <t>"customAmounts": {</t>
  </si>
  <si>
    <r>
      <rPr>
        <b/>
        <sz val="12"/>
        <color rgb="FF000000"/>
        <rFont val="Aptos Narrow"/>
        <scheme val="minor"/>
      </rPr>
      <t xml:space="preserve">        "penalty": </t>
    </r>
    <r>
      <rPr>
        <sz val="12"/>
        <color rgb="FF000000"/>
        <rFont val="Aptos Narrow"/>
        <scheme val="minor"/>
      </rPr>
      <t xml:space="preserve"> {{Value should be Penalty amount calculated with Repay Formula}}</t>
    </r>
  </si>
  <si>
    <r>
      <rPr>
        <b/>
        <sz val="12"/>
        <color rgb="FF000000"/>
        <rFont val="Aptos Narrow"/>
        <scheme val="minor"/>
      </rPr>
      <t xml:space="preserve">        "interest": </t>
    </r>
    <r>
      <rPr>
        <sz val="12"/>
        <color rgb="FF000000"/>
        <rFont val="Aptos Narrow"/>
        <scheme val="minor"/>
      </rPr>
      <t>{{Value should be Overdue Interest amount calculated with Repay Formula}}</t>
    </r>
  </si>
  <si>
    <r>
      <rPr>
        <b/>
        <sz val="12"/>
        <color rgb="FF000000"/>
        <rFont val="Aptos Narrow"/>
        <scheme val="minor"/>
      </rPr>
      <t xml:space="preserve">        "principal": </t>
    </r>
    <r>
      <rPr>
        <sz val="12"/>
        <color rgb="FF000000"/>
        <rFont val="Aptos Narrow"/>
        <scheme val="minor"/>
      </rPr>
      <t>{{Value should be Overdue Principal amount calculated with Repay Formula}}</t>
    </r>
  </si>
  <si>
    <r>
      <rPr>
        <b/>
        <sz val="12"/>
        <color rgb="FF000000"/>
        <rFont val="Aptos Narrow"/>
        <scheme val="minor"/>
      </rPr>
      <t>"dueAmount"</t>
    </r>
    <r>
      <rPr>
        <sz val="12"/>
        <color rgb="FF000000"/>
        <rFont val="Aptos Narrow"/>
        <scheme val="minor"/>
      </rPr>
      <t>: {{</t>
    </r>
    <r>
      <rPr>
        <b/>
        <sz val="12"/>
        <color rgb="FF000000"/>
        <rFont val="Aptos Narrow"/>
        <scheme val="minor"/>
      </rPr>
      <t>Total Due</t>
    </r>
    <r>
      <rPr>
        <sz val="12"/>
        <color rgb="FF000000"/>
        <rFont val="Aptos Narrow"/>
        <scheme val="minor"/>
      </rPr>
      <t xml:space="preserve"> balance before Repayment in Mambu}}</t>
    </r>
  </si>
  <si>
    <t>"notificationType": "PartialCollection"</t>
  </si>
  <si>
    <r>
      <rPr>
        <b/>
        <sz val="12"/>
        <color rgb="FF000000"/>
        <rFont val="Aptos Narrow"/>
        <scheme val="minor"/>
      </rPr>
      <t xml:space="preserve">    "overdueInterest"</t>
    </r>
    <r>
      <rPr>
        <sz val="12"/>
        <color rgb="FF000000"/>
        <rFont val="Aptos Narrow"/>
        <scheme val="minor"/>
      </rPr>
      <t>: {{Interest Due value from Mambu before Repayment}}</t>
    </r>
  </si>
  <si>
    <r>
      <rPr>
        <b/>
        <sz val="12"/>
        <color rgb="FF000000"/>
        <rFont val="Aptos Narrow"/>
        <scheme val="minor"/>
      </rPr>
      <t xml:space="preserve">    "overduePrincipal": </t>
    </r>
    <r>
      <rPr>
        <sz val="12"/>
        <color rgb="FF000000"/>
        <rFont val="Aptos Narrow"/>
        <scheme val="minor"/>
      </rPr>
      <t>{{Principal Due value from Mambu before Repayment}}</t>
    </r>
  </si>
  <si>
    <r>
      <rPr>
        <sz val="12"/>
        <color rgb="FF000000"/>
        <rFont val="Aptos Narrow"/>
        <scheme val="minor"/>
      </rPr>
      <t xml:space="preserve">    "</t>
    </r>
    <r>
      <rPr>
        <b/>
        <sz val="12"/>
        <color rgb="FF000000"/>
        <rFont val="Aptos Narrow"/>
        <scheme val="minor"/>
      </rPr>
      <t>paidPrincipal</t>
    </r>
    <r>
      <rPr>
        <sz val="12"/>
        <color rgb="FF000000"/>
        <rFont val="Aptos Narrow"/>
        <scheme val="minor"/>
      </rPr>
      <t>": {{For this case 0}}</t>
    </r>
  </si>
  <si>
    <r>
      <rPr>
        <b/>
        <sz val="12"/>
        <color rgb="FF000000"/>
        <rFont val="Aptos Narrow"/>
        <scheme val="minor"/>
      </rPr>
      <t xml:space="preserve">    "repaymentAmount"</t>
    </r>
    <r>
      <rPr>
        <sz val="12"/>
        <color rgb="FF000000"/>
        <rFont val="Aptos Narrow"/>
        <scheme val="minor"/>
      </rPr>
      <t>: {{Requested Amount, which was collected to repay loan}}</t>
    </r>
  </si>
  <si>
    <t>"responseData": {</t>
  </si>
  <si>
    <r>
      <rPr>
        <b/>
        <sz val="12"/>
        <color rgb="FF000000"/>
        <rFont val="Aptos Narrow"/>
        <scheme val="minor"/>
      </rPr>
      <t>"DueAmount"</t>
    </r>
    <r>
      <rPr>
        <sz val="12"/>
        <color rgb="FF000000"/>
        <rFont val="Aptos Narrow"/>
        <scheme val="minor"/>
      </rPr>
      <t>: {{</t>
    </r>
    <r>
      <rPr>
        <b/>
        <sz val="12"/>
        <color rgb="FF000000"/>
        <rFont val="Aptos Narrow"/>
        <scheme val="minor"/>
      </rPr>
      <t>Total Due</t>
    </r>
    <r>
      <rPr>
        <sz val="12"/>
        <color rgb="FF000000"/>
        <rFont val="Aptos Narrow"/>
        <scheme val="minor"/>
      </rPr>
      <t xml:space="preserve"> balance before Repayment in Mambu}}</t>
    </r>
  </si>
  <si>
    <r>
      <rPr>
        <sz val="12"/>
        <color rgb="FF000000"/>
        <rFont val="Aptos Narrow"/>
        <scheme val="minor"/>
      </rPr>
      <t xml:space="preserve">      </t>
    </r>
    <r>
      <rPr>
        <b/>
        <sz val="12"/>
        <color rgb="FF000000"/>
        <rFont val="Aptos Narrow"/>
        <scheme val="minor"/>
      </rPr>
      <t xml:space="preserve">  "PaidAmount":  </t>
    </r>
    <r>
      <rPr>
        <sz val="12"/>
        <color rgb="FF000000"/>
        <rFont val="Aptos Narrow"/>
        <scheme val="minor"/>
      </rPr>
      <t>{{Requested Amount, which was collected to repay loan}}</t>
    </r>
  </si>
  <si>
    <r>
      <rPr>
        <b/>
        <sz val="12"/>
        <color rgb="FF000000"/>
        <rFont val="Aptos Narrow"/>
        <scheme val="minor"/>
      </rPr>
      <t xml:space="preserve">        "CollectedAmount": 0</t>
    </r>
    <r>
      <rPr>
        <sz val="12"/>
        <color rgb="FF000000"/>
        <rFont val="Aptos Narrow"/>
        <scheme val="minor"/>
      </rPr>
      <t xml:space="preserve"> (Because we ignore collect process and transfer repayment amount on Settlement)</t>
    </r>
  </si>
  <si>
    <t>Transaction 1:</t>
  </si>
  <si>
    <r>
      <rPr>
        <b/>
        <sz val="12"/>
        <color rgb="FF000000"/>
        <rFont val="Aptos Narrow"/>
        <scheme val="minor"/>
      </rPr>
      <t xml:space="preserve">"amount": </t>
    </r>
    <r>
      <rPr>
        <sz val="12"/>
        <color rgb="FF000000"/>
        <rFont val="Aptos Narrow"/>
        <scheme val="minor"/>
      </rPr>
      <t xml:space="preserve"> {{Requested Amount, which collection paid}}</t>
    </r>
  </si>
  <si>
    <r>
      <rPr>
        <b/>
        <sz val="12"/>
        <color rgb="FF000000"/>
        <rFont val="Aptos Narrow"/>
        <scheme val="minor"/>
      </rPr>
      <t xml:space="preserve">Next Step: </t>
    </r>
    <r>
      <rPr>
        <sz val="12"/>
        <color rgb="FF000000"/>
        <rFont val="Aptos Narrow"/>
        <scheme val="minor"/>
      </rPr>
      <t>Log in to Application =&gt; Go to MySpace, where is Overdue Loan =&gt; Press Overdue Loan Card</t>
    </r>
  </si>
  <si>
    <r>
      <rPr>
        <sz val="12"/>
        <color rgb="FF000000"/>
        <rFont val="Aptos Narrow"/>
        <scheme val="minor"/>
      </rPr>
      <t xml:space="preserve">"penaltyAmount_MoneyObject": {
    "amount": </t>
    </r>
    <r>
      <rPr>
        <b/>
        <sz val="12"/>
        <color rgb="FF000000"/>
        <rFont val="Aptos Narrow"/>
        <scheme val="minor"/>
      </rPr>
      <t xml:space="preserve">{{Paid Amount for Penalty }} ,
</t>
    </r>
    <r>
      <rPr>
        <sz val="12"/>
        <color rgb="FF000000"/>
        <rFont val="Aptos Narrow"/>
        <scheme val="minor"/>
      </rPr>
      <t xml:space="preserve">    "currencyCode": "UZS"
  },</t>
    </r>
  </si>
  <si>
    <r>
      <rPr>
        <sz val="12"/>
        <color rgb="FF000000"/>
        <rFont val="Calibri"/>
        <family val="2"/>
      </rPr>
      <t xml:space="preserve">  "principalAmount_MoneyObject": {
    "amount": </t>
    </r>
    <r>
      <rPr>
        <b/>
        <sz val="12"/>
        <color rgb="FF000000"/>
        <rFont val="Calibri"/>
        <family val="2"/>
      </rPr>
      <t>{{Paid Amount for Principal }}</t>
    </r>
    <r>
      <rPr>
        <sz val="12"/>
        <color rgb="FF000000"/>
        <rFont val="Calibri"/>
        <family val="2"/>
      </rPr>
      <t>,
    "currencyCode": "UZS"
  },</t>
    </r>
  </si>
  <si>
    <r>
      <rPr>
        <b/>
        <sz val="16"/>
        <color rgb="FF000000"/>
        <rFont val="Aptos Narrow"/>
        <scheme val="minor"/>
      </rPr>
      <t xml:space="preserve">Case 2: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Overdue amount (</t>
    </r>
    <r>
      <rPr>
        <b/>
        <sz val="16"/>
        <color rgb="FFC00000"/>
        <rFont val="Aptos Narrow"/>
        <scheme val="minor"/>
      </rPr>
      <t>Total due in mambu</t>
    </r>
    <r>
      <rPr>
        <b/>
        <sz val="16"/>
        <color rgb="FF000000"/>
        <rFont val="Aptos Narrow"/>
        <scheme val="minor"/>
      </rPr>
      <t>) fot this case Specific Amount 0.01 UZS</t>
    </r>
  </si>
  <si>
    <t>Step: Transper 0,01 UZS to Settlemet account</t>
  </si>
  <si>
    <r>
      <rPr>
        <b/>
        <sz val="16"/>
        <color rgb="FF000000"/>
        <rFont val="Aptos Narrow"/>
        <scheme val="minor"/>
      </rPr>
      <t xml:space="preserve">Case 3: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Overdue amount (</t>
    </r>
    <r>
      <rPr>
        <b/>
        <sz val="16"/>
        <color rgb="FFC00000"/>
        <rFont val="Aptos Narrow"/>
        <scheme val="minor"/>
      </rPr>
      <t>Total due in mambu</t>
    </r>
    <r>
      <rPr>
        <b/>
        <sz val="16"/>
        <color rgb="FF000000"/>
        <rFont val="Aptos Narrow"/>
        <scheme val="minor"/>
      </rPr>
      <t>) with 0.01 UZS. ) (For example, if your Overdue amount is 100, pay 100 UZS - 0.01 UZS = 99.99 UZS)</t>
    </r>
  </si>
  <si>
    <t>Precondition: transfer Total Due - 0.01 UZS amount to settlement account</t>
  </si>
  <si>
    <r>
      <rPr>
        <b/>
        <sz val="16"/>
        <color rgb="FF000000"/>
        <rFont val="Aptos Narrow"/>
        <scheme val="minor"/>
      </rPr>
      <t xml:space="preserve">Case 4: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Customer has FIXED Penalty accrued. </t>
    </r>
    <r>
      <rPr>
        <b/>
        <sz val="16"/>
        <color rgb="FF000000"/>
        <rFont val="Aptos Narrow"/>
        <scheme val="minor"/>
      </rPr>
      <t xml:space="preserve">Customer pays </t>
    </r>
    <r>
      <rPr>
        <b/>
        <sz val="16"/>
        <color rgb="FFC00000"/>
        <rFont val="Aptos Narrow"/>
        <scheme val="minor"/>
      </rPr>
      <t>Part of Overdue Loan</t>
    </r>
    <r>
      <rPr>
        <b/>
        <sz val="16"/>
        <color rgb="FF000000"/>
        <rFont val="Aptos Narrow"/>
        <scheme val="minor"/>
      </rPr>
      <t>: amount should be less with 50 000.01 UZS then Overdue amount (</t>
    </r>
    <r>
      <rPr>
        <b/>
        <sz val="16"/>
        <color rgb="FFC00000"/>
        <rFont val="Aptos Narrow"/>
        <scheme val="minor"/>
      </rPr>
      <t>Total due in mambu</t>
    </r>
    <r>
      <rPr>
        <b/>
        <sz val="16"/>
        <color rgb="FF000000"/>
        <rFont val="Aptos Narrow"/>
        <scheme val="minor"/>
      </rPr>
      <t>) (For example, if your Overdue amount is 100 000, pay 100 000 UZS - 50 000.01 UZS = 49 999.99 UZS)</t>
    </r>
  </si>
  <si>
    <t>Precondition: transfer Total Due - 50 000.01 UZS amount to settlement account</t>
  </si>
  <si>
    <r>
      <rPr>
        <b/>
        <sz val="16"/>
        <color rgb="FF000000"/>
        <rFont val="Aptos Narrow"/>
        <scheme val="minor"/>
      </rPr>
      <t xml:space="preserve">Case 5: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t>
    </r>
    <r>
      <rPr>
        <b/>
        <sz val="16"/>
        <color rgb="FF000000"/>
        <rFont val="Aptos Narrow"/>
        <scheme val="minor"/>
      </rPr>
      <t>Important Condition:</t>
    </r>
    <r>
      <rPr>
        <b/>
        <sz val="16"/>
        <color rgb="FFC00000"/>
        <rFont val="Aptos Narrow"/>
        <scheme val="minor"/>
      </rPr>
      <t xml:space="preserve"> Customer has FIXED Penalty accrued. </t>
    </r>
    <r>
      <rPr>
        <b/>
        <sz val="16"/>
        <color rgb="FF000000"/>
        <rFont val="Aptos Narrow"/>
        <scheme val="minor"/>
      </rPr>
      <t xml:space="preserve">Customer pays </t>
    </r>
    <r>
      <rPr>
        <b/>
        <sz val="16"/>
        <color rgb="FFC00000"/>
        <rFont val="Aptos Narrow"/>
        <scheme val="minor"/>
      </rPr>
      <t>Part of Overdue Loan</t>
    </r>
    <r>
      <rPr>
        <b/>
        <sz val="16"/>
        <color rgb="FF000000"/>
        <rFont val="Aptos Narrow"/>
        <scheme val="minor"/>
      </rPr>
      <t>: amount should be less with 0.01 UZS then Total Due amount (</t>
    </r>
    <r>
      <rPr>
        <b/>
        <sz val="16"/>
        <color rgb="FFC00000"/>
        <rFont val="Aptos Narrow"/>
        <scheme val="minor"/>
      </rPr>
      <t>Total due in mambu</t>
    </r>
    <r>
      <rPr>
        <b/>
        <sz val="16"/>
        <color rgb="FF000000"/>
        <rFont val="Aptos Narrow"/>
        <scheme val="minor"/>
      </rPr>
      <t>) (For example, if your Overdue amount is 100, pay 100 UZS - 0.01 UZS = 99.99 UZS)</t>
    </r>
  </si>
  <si>
    <r>
      <rPr>
        <b/>
        <sz val="12"/>
        <color rgb="FF000000"/>
        <rFont val="Aptos Narrow"/>
        <scheme val="minor"/>
      </rPr>
      <t>"FeesPaid":</t>
    </r>
    <r>
      <rPr>
        <sz val="12"/>
        <color rgb="FF000000"/>
        <rFont val="Aptos Narrow"/>
        <scheme val="minor"/>
      </rPr>
      <t xml:space="preserve"> {{Value should be </t>
    </r>
    <r>
      <rPr>
        <b/>
        <sz val="12"/>
        <color rgb="FF000000"/>
        <rFont val="Aptos Narrow"/>
        <scheme val="minor"/>
      </rPr>
      <t>49 999.99</t>
    </r>
    <r>
      <rPr>
        <sz val="12"/>
        <color rgb="FF000000"/>
        <rFont val="Aptos Narrow"/>
        <scheme val="minor"/>
      </rPr>
      <t xml:space="preserve"> for this case}}</t>
    </r>
  </si>
  <si>
    <r>
      <rPr>
        <b/>
        <sz val="16"/>
        <color rgb="FF000000"/>
        <rFont val="Aptos Narrow"/>
        <scheme val="minor"/>
      </rPr>
      <t xml:space="preserve">Case 6: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Without </t>
    </r>
    <r>
      <rPr>
        <b/>
        <sz val="16"/>
        <color rgb="FF000000"/>
        <rFont val="Aptos Narrow"/>
        <scheme val="minor"/>
      </rPr>
      <t>FIXED Penalty accrued.</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FULL Overdue Loan</t>
    </r>
    <r>
      <rPr>
        <b/>
        <sz val="16"/>
        <color rgb="FF000000"/>
        <rFont val="Aptos Narrow"/>
        <scheme val="minor"/>
      </rPr>
      <t>: amount should be same as Total Due amount (</t>
    </r>
    <r>
      <rPr>
        <b/>
        <sz val="16"/>
        <color rgb="FFC00000"/>
        <rFont val="Aptos Narrow"/>
        <scheme val="minor"/>
      </rPr>
      <t>Total due in mambu</t>
    </r>
    <r>
      <rPr>
        <b/>
        <sz val="16"/>
        <color rgb="FF000000"/>
        <rFont val="Aptos Narrow"/>
        <scheme val="minor"/>
      </rPr>
      <t>)</t>
    </r>
  </si>
  <si>
    <r>
      <rPr>
        <b/>
        <sz val="12"/>
        <color rgb="FF262626"/>
        <rFont val="Aptos Narrow"/>
        <scheme val="minor"/>
      </rPr>
      <t>Precondition:</t>
    </r>
    <r>
      <rPr>
        <b/>
        <sz val="12"/>
        <color rgb="FFC00000"/>
        <rFont val="Aptos Narrow"/>
        <scheme val="minor"/>
      </rPr>
      <t xml:space="preserve"> </t>
    </r>
    <r>
      <rPr>
        <b/>
        <sz val="12"/>
        <color rgb="FF262626"/>
        <rFont val="Aptos Narrow"/>
        <scheme val="minor"/>
      </rPr>
      <t>You can have any balance on cards or account,</t>
    </r>
    <r>
      <rPr>
        <b/>
        <sz val="12"/>
        <color rgb="FFC00000"/>
        <rFont val="Aptos Narrow"/>
        <scheme val="minor"/>
      </rPr>
      <t xml:space="preserve"> because collection will collect MAX Total due, which you want to pay</t>
    </r>
  </si>
  <si>
    <r>
      <rPr>
        <sz val="11"/>
        <color rgb="FF000000"/>
        <rFont val="Aptos Narrow"/>
        <scheme val="minor"/>
      </rPr>
      <t xml:space="preserve">After initiating </t>
    </r>
    <r>
      <rPr>
        <b/>
        <sz val="11"/>
        <color rgb="FF000000"/>
        <rFont val="Aptos Narrow"/>
        <scheme val="minor"/>
      </rPr>
      <t>Collection - Internal</t>
    </r>
    <r>
      <rPr>
        <sz val="11"/>
        <color rgb="FF000000"/>
        <rFont val="Aptos Narrow"/>
        <scheme val="minor"/>
      </rPr>
      <t xml:space="preserve"> process check, that process  </t>
    </r>
    <r>
      <rPr>
        <b/>
        <sz val="12"/>
        <color rgb="FFC00000"/>
        <rFont val="Aptos Narrow"/>
        <scheme val="minor"/>
      </rPr>
      <t>MUST NOT</t>
    </r>
    <r>
      <rPr>
        <sz val="11"/>
        <color rgb="FF000000"/>
        <rFont val="Aptos Narrow"/>
        <scheme val="minor"/>
      </rPr>
      <t xml:space="preserve"> continue on following condiitons: </t>
    </r>
    <r>
      <rPr>
        <b/>
        <sz val="11"/>
        <color rgb="FFC00000"/>
        <rFont val="Aptos Narrow"/>
        <scheme val="minor"/>
      </rPr>
      <t xml:space="preserve"> {{GetLoanResponseData.Loan.OverdueAmount}} &gt; 0</t>
    </r>
    <r>
      <rPr>
        <sz val="11"/>
        <color rgb="FF000000"/>
        <rFont val="Aptos Narrow"/>
        <scheme val="minor"/>
      </rPr>
      <t xml:space="preserve"> &amp;&amp;</t>
    </r>
    <r>
      <rPr>
        <sz val="11"/>
        <color rgb="FFC00000"/>
        <rFont val="Aptos Narrow"/>
        <scheme val="minor"/>
      </rPr>
      <t xml:space="preserve"> </t>
    </r>
    <r>
      <rPr>
        <b/>
        <sz val="11"/>
        <color rgb="FFC00000"/>
        <rFont val="Aptos Narrow"/>
        <scheme val="minor"/>
      </rPr>
      <t>$.math({{repaymentAmount}}*100) &lt; {{GetLoanResponseData.Loan.OverdueAmount}}</t>
    </r>
  </si>
  <si>
    <r>
      <rPr>
        <sz val="11"/>
        <color rgb="FF000000"/>
        <rFont val="Aptos Narrow"/>
        <scheme val="minor"/>
      </rPr>
      <t xml:space="preserve">Check, that after </t>
    </r>
    <r>
      <rPr>
        <b/>
        <sz val="11"/>
        <color rgb="FF000000"/>
        <rFont val="Aptos Narrow"/>
        <scheme val="minor"/>
      </rPr>
      <t>Collection - Internal</t>
    </r>
    <r>
      <rPr>
        <sz val="11"/>
        <color rgb="FF000000"/>
        <rFont val="Aptos Narrow"/>
        <scheme val="minor"/>
      </rPr>
      <t xml:space="preserve"> process continues straight and </t>
    </r>
    <r>
      <rPr>
        <b/>
        <sz val="11"/>
        <color rgb="FFC00000"/>
        <rFont val="Aptos Narrow"/>
        <scheme val="minor"/>
      </rPr>
      <t>DOES NOT</t>
    </r>
    <r>
      <rPr>
        <sz val="11"/>
        <color rgb="FF000000"/>
        <rFont val="Aptos Narrow"/>
        <scheme val="minor"/>
      </rPr>
      <t xml:space="preserve"> </t>
    </r>
    <r>
      <rPr>
        <b/>
        <sz val="11"/>
        <color rgb="FF000000"/>
        <rFont val="Aptos Narrow"/>
        <scheme val="minor"/>
      </rPr>
      <t>go on following condition</t>
    </r>
    <r>
      <rPr>
        <sz val="11"/>
        <color rgb="FF000000"/>
        <rFont val="Aptos Narrow"/>
        <scheme val="minor"/>
      </rPr>
      <t xml:space="preserve">: </t>
    </r>
    <r>
      <rPr>
        <b/>
        <sz val="11"/>
        <color rgb="FFC00000"/>
        <rFont val="Aptos Narrow"/>
        <scheme val="minor"/>
      </rPr>
      <t xml:space="preserve">{{GetLoanResponseData.Loan.OverdueAmount}} &gt; 0 </t>
    </r>
    <r>
      <rPr>
        <sz val="11"/>
        <color rgb="FF000000"/>
        <rFont val="Aptos Narrow"/>
        <scheme val="minor"/>
      </rPr>
      <t>&amp;&amp;</t>
    </r>
    <r>
      <rPr>
        <b/>
        <sz val="11"/>
        <color rgb="FFC00000"/>
        <rFont val="Aptos Narrow"/>
        <scheme val="minor"/>
      </rPr>
      <t xml:space="preserve"> $.math({{repaymentAmount}}*100) &lt; {{GetLoanResponseData.Loan.OverdueAmount}}</t>
    </r>
    <r>
      <rPr>
        <sz val="11"/>
        <color rgb="FF000000"/>
        <rFont val="Aptos Narrow"/>
        <scheme val="minor"/>
      </rPr>
      <t xml:space="preserve"> then following process is called: </t>
    </r>
    <r>
      <rPr>
        <b/>
        <sz val="11"/>
        <color rgb="FF000000"/>
        <rFont val="Aptos Narrow"/>
        <scheme val="minor"/>
      </rPr>
      <t>Repay loan - Mambu v2</t>
    </r>
  </si>
  <si>
    <r>
      <rPr>
        <sz val="11"/>
        <color rgb="FF000000"/>
        <rFont val="Aptos Narrow"/>
        <scheme val="minor"/>
      </rPr>
      <t xml:space="preserve">Check, that Repay loan - Mambu v2 process </t>
    </r>
    <r>
      <rPr>
        <b/>
        <sz val="11"/>
        <color rgb="FFC00000"/>
        <rFont val="Aptos Narrow"/>
        <scheme val="minor"/>
      </rPr>
      <t xml:space="preserve">DOES NOT </t>
    </r>
    <r>
      <rPr>
        <sz val="11"/>
        <color rgb="FF000000"/>
        <rFont val="Aptos Narrow"/>
        <scheme val="minor"/>
      </rPr>
      <t xml:space="preserve">go on following condition: </t>
    </r>
    <r>
      <rPr>
        <b/>
        <sz val="11"/>
        <color rgb="FFC00000"/>
        <rFont val="Aptos Narrow"/>
        <scheme val="minor"/>
      </rPr>
      <t>{{date}} ==</t>
    </r>
  </si>
  <si>
    <r>
      <rPr>
        <sz val="12"/>
        <color rgb="FF000000"/>
        <rFont val="Aptos Narrow"/>
        <scheme val="minor"/>
      </rPr>
      <t>Check, that "</t>
    </r>
    <r>
      <rPr>
        <b/>
        <sz val="12"/>
        <color rgb="FF000000"/>
        <rFont val="Aptos Narrow"/>
        <scheme val="minor"/>
      </rPr>
      <t>customAmounts</t>
    </r>
    <r>
      <rPr>
        <sz val="12"/>
        <color rgb="FF000000"/>
        <rFont val="Aptos Narrow"/>
        <scheme val="minor"/>
      </rPr>
      <t>" for this case won't be. available in the LOG</t>
    </r>
  </si>
  <si>
    <t xml:space="preserve"> "notificationType": "Collection"</t>
  </si>
  <si>
    <r>
      <rPr>
        <sz val="12"/>
        <color rgb="FF000000"/>
        <rFont val="Aptos Narrow"/>
        <scheme val="minor"/>
      </rPr>
      <t xml:space="preserve">      </t>
    </r>
    <r>
      <rPr>
        <b/>
        <sz val="12"/>
        <color rgb="FF000000"/>
        <rFont val="Aptos Narrow"/>
        <scheme val="minor"/>
      </rPr>
      <t xml:space="preserve">  "PaidAmount":  </t>
    </r>
    <r>
      <rPr>
        <sz val="12"/>
        <color rgb="FF000000"/>
        <rFont val="Aptos Narrow"/>
        <scheme val="minor"/>
      </rPr>
      <t xml:space="preserve">{{Requested Amount, which was collected to repay loan, for this case </t>
    </r>
    <r>
      <rPr>
        <b/>
        <sz val="12"/>
        <color rgb="FF000000"/>
        <rFont val="Aptos Narrow"/>
        <scheme val="minor"/>
      </rPr>
      <t>Total Due</t>
    </r>
    <r>
      <rPr>
        <sz val="12"/>
        <color rgb="FF000000"/>
        <rFont val="Aptos Narrow"/>
        <scheme val="minor"/>
      </rPr>
      <t xml:space="preserve"> from Mambu, because we paid full overdue}}</t>
    </r>
  </si>
  <si>
    <r>
      <rPr>
        <b/>
        <sz val="12"/>
        <color rgb="FF000000"/>
        <rFont val="Aptos Narrow"/>
        <scheme val="minor"/>
      </rPr>
      <t xml:space="preserve">        "CollectedAmount":</t>
    </r>
    <r>
      <rPr>
        <sz val="12"/>
        <color rgb="FF000000"/>
        <rFont val="Aptos Narrow"/>
        <scheme val="minor"/>
      </rPr>
      <t xml:space="preserve"> (Because we collected money for this case for this case value should be </t>
    </r>
    <r>
      <rPr>
        <b/>
        <sz val="12"/>
        <color rgb="FFC00000"/>
        <rFont val="Aptos Narrow"/>
        <scheme val="minor"/>
      </rPr>
      <t>Total Due</t>
    </r>
    <r>
      <rPr>
        <sz val="12"/>
        <color rgb="FF000000"/>
        <rFont val="Aptos Narrow"/>
        <scheme val="minor"/>
      </rPr>
      <t xml:space="preserve"> value from </t>
    </r>
    <r>
      <rPr>
        <b/>
        <sz val="12"/>
        <color rgb="FF000000"/>
        <rFont val="Aptos Narrow"/>
        <scheme val="minor"/>
      </rPr>
      <t>Mambu</t>
    </r>
    <r>
      <rPr>
        <sz val="12"/>
        <color rgb="FF000000"/>
        <rFont val="Aptos Narrow"/>
        <scheme val="minor"/>
      </rPr>
      <t>)</t>
    </r>
  </si>
  <si>
    <r>
      <rPr>
        <b/>
        <sz val="12"/>
        <color rgb="FF000000"/>
        <rFont val="Aptos Narrow"/>
        <scheme val="minor"/>
      </rPr>
      <t xml:space="preserve">"arrearsPosition": </t>
    </r>
    <r>
      <rPr>
        <sz val="12"/>
        <color rgb="FF000000"/>
        <rFont val="Aptos Narrow"/>
        <scheme val="minor"/>
      </rPr>
      <t xml:space="preserve"> {{Value should be 0 for this case, because we paid the Overdue fully}}</t>
    </r>
  </si>
  <si>
    <r>
      <rPr>
        <b/>
        <sz val="12"/>
        <color rgb="FF000000"/>
        <rFont val="Aptos Narrow"/>
        <scheme val="minor"/>
      </rPr>
      <t xml:space="preserve">Next Step: </t>
    </r>
    <r>
      <rPr>
        <sz val="12"/>
        <color rgb="FF000000"/>
        <rFont val="Aptos Narrow"/>
        <scheme val="minor"/>
      </rPr>
      <t>Log in to Application =&gt; Go to MySpace, where is Already Active Loan =&gt; Press Active Loan Card</t>
    </r>
  </si>
  <si>
    <t>SMS Notifications Check:</t>
  </si>
  <si>
    <t>select * from Notifications 
where PhoneNumber = N'952411111' 
order by [TimeStamp] desc</t>
  </si>
  <si>
    <t>გასარკვევია</t>
  </si>
  <si>
    <r>
      <rPr>
        <b/>
        <sz val="16"/>
        <color rgb="FF000000"/>
        <rFont val="Aptos Narrow"/>
        <scheme val="minor"/>
      </rPr>
      <t xml:space="preserve">Case 7 :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 xml:space="preserve">Payment Day. Note: </t>
    </r>
    <r>
      <rPr>
        <b/>
        <sz val="16"/>
        <color rgb="FF000000"/>
        <rFont val="Aptos Narrow"/>
        <scheme val="minor"/>
      </rPr>
      <t>FIXED Penalty</t>
    </r>
    <r>
      <rPr>
        <b/>
        <sz val="16"/>
        <color rgb="FFC00000"/>
        <rFont val="Aptos Narrow"/>
        <scheme val="minor"/>
      </rPr>
      <t xml:space="preserve"> MUST BE accrued</t>
    </r>
    <r>
      <rPr>
        <b/>
        <sz val="16"/>
        <color rgb="FF000000"/>
        <rFont val="Aptos Narrow"/>
        <scheme val="minor"/>
      </rPr>
      <t>.</t>
    </r>
    <r>
      <rPr>
        <b/>
        <sz val="16"/>
        <color rgb="FFC00000"/>
        <rFont val="Aptos Narrow"/>
        <scheme val="minor"/>
      </rPr>
      <t xml:space="preserve"> </t>
    </r>
    <r>
      <rPr>
        <b/>
        <sz val="16"/>
        <color rgb="FF000000"/>
        <rFont val="Aptos Narrow"/>
        <scheme val="minor"/>
      </rPr>
      <t xml:space="preserve">Customer pays </t>
    </r>
    <r>
      <rPr>
        <b/>
        <sz val="16"/>
        <color rgb="FFC00000"/>
        <rFont val="Aptos Narrow"/>
        <scheme val="minor"/>
      </rPr>
      <t>FULL Overdue Loan</t>
    </r>
    <r>
      <rPr>
        <b/>
        <sz val="16"/>
        <color rgb="FF000000"/>
        <rFont val="Aptos Narrow"/>
        <scheme val="minor"/>
      </rPr>
      <t>: amount should be same as Total Due amount (</t>
    </r>
    <r>
      <rPr>
        <b/>
        <sz val="16"/>
        <color rgb="FFC00000"/>
        <rFont val="Aptos Narrow"/>
        <scheme val="minor"/>
      </rPr>
      <t>Total due in mambu</t>
    </r>
    <r>
      <rPr>
        <b/>
        <sz val="16"/>
        <color rgb="FF000000"/>
        <rFont val="Aptos Narrow"/>
        <scheme val="minor"/>
      </rPr>
      <t>)</t>
    </r>
  </si>
  <si>
    <r>
      <rPr>
        <b/>
        <sz val="12"/>
        <color rgb="FF000000"/>
        <rFont val="Aptos Narrow"/>
        <scheme val="minor"/>
      </rPr>
      <t>"FeesPaid":</t>
    </r>
    <r>
      <rPr>
        <sz val="12"/>
        <color rgb="FF000000"/>
        <rFont val="Aptos Narrow"/>
        <scheme val="minor"/>
      </rPr>
      <t xml:space="preserve"> {{Value should be </t>
    </r>
    <r>
      <rPr>
        <b/>
        <sz val="12"/>
        <color rgb="FF000000"/>
        <rFont val="Aptos Narrow"/>
        <scheme val="minor"/>
      </rPr>
      <t>50 000</t>
    </r>
    <r>
      <rPr>
        <sz val="12"/>
        <color rgb="FF000000"/>
        <rFont val="Aptos Narrow"/>
        <scheme val="minor"/>
      </rPr>
      <t xml:space="preserve"> for this case}}</t>
    </r>
  </si>
  <si>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t>
    </r>
    <r>
      <rPr>
        <b/>
        <sz val="16"/>
        <color rgb="FFC00000"/>
        <rFont val="Aptos Narrow"/>
        <scheme val="minor"/>
      </rPr>
      <t>Penalty Balance is 0.</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Overdue amount (</t>
    </r>
    <r>
      <rPr>
        <b/>
        <sz val="16"/>
        <color rgb="FFC00000"/>
        <rFont val="Aptos Narrow"/>
        <scheme val="minor"/>
      </rPr>
      <t>Total due in mambu</t>
    </r>
    <r>
      <rPr>
        <b/>
        <sz val="16"/>
        <color rgb="FF000000"/>
        <rFont val="Aptos Narrow"/>
        <scheme val="minor"/>
      </rPr>
      <t>)</t>
    </r>
  </si>
  <si>
    <r>
      <rPr>
        <b/>
        <sz val="12"/>
        <color rgb="FF000000"/>
        <rFont val="Aptos Narrow"/>
        <scheme val="minor"/>
      </rPr>
      <t xml:space="preserve">        "penalty": </t>
    </r>
    <r>
      <rPr>
        <sz val="12"/>
        <color rgb="FF000000"/>
        <rFont val="Aptos Narrow"/>
        <scheme val="minor"/>
      </rPr>
      <t xml:space="preserve"> {{Value should be Penalty amount calculated with Repay Formula, </t>
    </r>
    <r>
      <rPr>
        <b/>
        <sz val="12"/>
        <color rgb="FF000000"/>
        <rFont val="Aptos Narrow"/>
        <scheme val="minor"/>
      </rPr>
      <t>for this case 0</t>
    </r>
    <r>
      <rPr>
        <sz val="12"/>
        <color rgb="FF000000"/>
        <rFont val="Aptos Narrow"/>
        <scheme val="minor"/>
      </rPr>
      <t>}}</t>
    </r>
  </si>
  <si>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t>
    </r>
    <r>
      <rPr>
        <b/>
        <sz val="16"/>
        <color rgb="FFC00000"/>
        <rFont val="Aptos Narrow"/>
        <scheme val="minor"/>
      </rPr>
      <t>Penalty Balance is 0 and Interest Due Balance is 0.</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Overdue amount (</t>
    </r>
    <r>
      <rPr>
        <b/>
        <sz val="16"/>
        <color rgb="FFC00000"/>
        <rFont val="Aptos Narrow"/>
        <scheme val="minor"/>
      </rPr>
      <t>Total due in mambu</t>
    </r>
    <r>
      <rPr>
        <b/>
        <sz val="16"/>
        <color rgb="FF000000"/>
        <rFont val="Aptos Narrow"/>
        <scheme val="minor"/>
      </rPr>
      <t>)</t>
    </r>
  </si>
  <si>
    <r>
      <rPr>
        <b/>
        <sz val="14"/>
        <color rgb="FF000000"/>
        <rFont val="Aptos Narrow"/>
        <scheme val="minor"/>
      </rPr>
      <t>Precondition</t>
    </r>
    <r>
      <rPr>
        <sz val="14"/>
        <color rgb="FF000000"/>
        <rFont val="Aptos Narrow"/>
        <scheme val="minor"/>
      </rPr>
      <t xml:space="preserve">: You must have </t>
    </r>
    <r>
      <rPr>
        <b/>
        <sz val="14"/>
        <color rgb="FFC00000"/>
        <rFont val="Aptos Narrow"/>
        <scheme val="minor"/>
      </rPr>
      <t>0 balance Penalty Due and 0 Balance on Interest Due</t>
    </r>
    <r>
      <rPr>
        <sz val="14"/>
        <color rgb="FF000000"/>
        <rFont val="Aptos Narrow"/>
        <scheme val="minor"/>
      </rPr>
      <t xml:space="preserve"> (Pay it with </t>
    </r>
    <r>
      <rPr>
        <b/>
        <sz val="14"/>
        <color rgb="FF000000"/>
        <rFont val="Aptos Narrow"/>
        <scheme val="minor"/>
      </rPr>
      <t>Custom Repayment in Mambu</t>
    </r>
    <r>
      <rPr>
        <sz val="14"/>
        <color rgb="FF000000"/>
        <rFont val="Aptos Narrow"/>
        <scheme val="minor"/>
      </rPr>
      <t xml:space="preserve">) and </t>
    </r>
    <r>
      <rPr>
        <b/>
        <sz val="14"/>
        <color rgb="FF000000"/>
        <rFont val="Aptos Narrow"/>
        <scheme val="minor"/>
      </rPr>
      <t>only after this correct Balances in iABS</t>
    </r>
  </si>
  <si>
    <r>
      <rPr>
        <b/>
        <sz val="12"/>
        <color rgb="FF000000"/>
        <rFont val="Aptos Narrow"/>
        <scheme val="minor"/>
      </rPr>
      <t xml:space="preserve">        "interest": </t>
    </r>
    <r>
      <rPr>
        <sz val="12"/>
        <color rgb="FF000000"/>
        <rFont val="Aptos Narrow"/>
        <scheme val="minor"/>
      </rPr>
      <t xml:space="preserve">{{Value should be Overdue Interest amount calculated with Repay Formula, </t>
    </r>
    <r>
      <rPr>
        <b/>
        <sz val="12"/>
        <color rgb="FF000000"/>
        <rFont val="Aptos Narrow"/>
        <scheme val="minor"/>
      </rPr>
      <t>for this case 0}</t>
    </r>
    <r>
      <rPr>
        <sz val="12"/>
        <color rgb="FF000000"/>
        <rFont val="Aptos Narrow"/>
        <scheme val="minor"/>
      </rPr>
      <t>}</t>
    </r>
  </si>
  <si>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not </t>
    </r>
    <r>
      <rPr>
        <b/>
        <sz val="16"/>
        <color rgb="FFC00000"/>
        <rFont val="Aptos Narrow"/>
        <scheme val="minor"/>
      </rPr>
      <t>Payment Day</t>
    </r>
    <r>
      <rPr>
        <b/>
        <sz val="16"/>
        <color rgb="FF000000"/>
        <rFont val="Aptos Narrow"/>
        <scheme val="minor"/>
      </rPr>
      <t xml:space="preserve">. </t>
    </r>
    <r>
      <rPr>
        <b/>
        <sz val="16"/>
        <color rgb="FFC00000"/>
        <rFont val="Aptos Narrow"/>
        <scheme val="minor"/>
      </rPr>
      <t>Interest Due Balance is 0.</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Overdue amount (</t>
    </r>
    <r>
      <rPr>
        <b/>
        <sz val="16"/>
        <color rgb="FFC00000"/>
        <rFont val="Aptos Narrow"/>
        <scheme val="minor"/>
      </rPr>
      <t>Total due in mambu</t>
    </r>
    <r>
      <rPr>
        <b/>
        <sz val="16"/>
        <color rgb="FF000000"/>
        <rFont val="Aptos Narrow"/>
        <scheme val="minor"/>
      </rPr>
      <t>)</t>
    </r>
  </si>
  <si>
    <r>
      <rPr>
        <b/>
        <sz val="14"/>
        <color rgb="FF000000"/>
        <rFont val="Aptos Narrow"/>
        <scheme val="minor"/>
      </rPr>
      <t>Precondition</t>
    </r>
    <r>
      <rPr>
        <sz val="14"/>
        <color rgb="FF000000"/>
        <rFont val="Aptos Narrow"/>
        <scheme val="minor"/>
      </rPr>
      <t xml:space="preserve">: You must have </t>
    </r>
    <r>
      <rPr>
        <b/>
        <sz val="14"/>
        <color rgb="FFC00000"/>
        <rFont val="Aptos Narrow"/>
        <scheme val="minor"/>
      </rPr>
      <t>0 Balance on Interest Due</t>
    </r>
    <r>
      <rPr>
        <sz val="14"/>
        <color rgb="FF000000"/>
        <rFont val="Aptos Narrow"/>
        <scheme val="minor"/>
      </rPr>
      <t xml:space="preserve"> (Pay it with </t>
    </r>
    <r>
      <rPr>
        <b/>
        <sz val="14"/>
        <color rgb="FF000000"/>
        <rFont val="Aptos Narrow"/>
        <scheme val="minor"/>
      </rPr>
      <t>Custom Repayment in Mambu</t>
    </r>
    <r>
      <rPr>
        <sz val="14"/>
        <color rgb="FF000000"/>
        <rFont val="Aptos Narrow"/>
        <scheme val="minor"/>
      </rPr>
      <t xml:space="preserve">) and </t>
    </r>
    <r>
      <rPr>
        <b/>
        <sz val="14"/>
        <color rgb="FF000000"/>
        <rFont val="Aptos Narrow"/>
        <scheme val="minor"/>
      </rPr>
      <t>only after this correct Balances in iABS</t>
    </r>
  </si>
  <si>
    <t xml:space="preserve">        "penalty":  {{Value should be Penalty amount calculated with Repay Formula}}</t>
  </si>
  <si>
    <r>
      <rPr>
        <b/>
        <sz val="16"/>
        <color rgb="FF000000"/>
        <rFont val="Aptos Narrow"/>
        <scheme val="minor"/>
      </rPr>
      <t xml:space="preserve">Case 1: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Penalty + Overdue Interest + Overdue Principal</t>
    </r>
  </si>
  <si>
    <r>
      <rPr>
        <b/>
        <sz val="12"/>
        <color rgb="FF000000"/>
        <rFont val="Aptos Narrow"/>
        <scheme val="minor"/>
      </rPr>
      <t xml:space="preserve">Principal Balance: </t>
    </r>
    <r>
      <rPr>
        <sz val="12"/>
        <color rgb="FF000000"/>
        <rFont val="Aptos Narrow"/>
        <scheme val="minor"/>
      </rPr>
      <t xml:space="preserve">{{Value should </t>
    </r>
    <r>
      <rPr>
        <b/>
        <sz val="12"/>
        <color rgb="FF000000"/>
        <rFont val="Aptos Narrow"/>
        <scheme val="minor"/>
      </rPr>
      <t>Principal Balance</t>
    </r>
    <r>
      <rPr>
        <sz val="12"/>
        <color rgb="FF000000"/>
        <rFont val="Aptos Narrow"/>
        <scheme val="minor"/>
      </rPr>
      <t xml:space="preserve"> value after repayment: </t>
    </r>
    <r>
      <rPr>
        <b/>
        <sz val="12"/>
        <color rgb="FFC00000"/>
        <rFont val="Aptos Narrow"/>
        <scheme val="minor"/>
      </rPr>
      <t>Principal Balance Before Repayment - Paid Principal</t>
    </r>
    <r>
      <rPr>
        <sz val="12"/>
        <color rgb="FF000000"/>
        <rFont val="Aptos Narrow"/>
        <scheme val="minor"/>
      </rPr>
      <t>}}</t>
    </r>
  </si>
  <si>
    <r>
      <rPr>
        <b/>
        <sz val="12"/>
        <color rgb="FF000000"/>
        <rFont val="Aptos Narrow"/>
        <scheme val="minor"/>
      </rPr>
      <t xml:space="preserve">Interest Due: </t>
    </r>
    <r>
      <rPr>
        <sz val="12"/>
        <color rgb="FF000000"/>
        <rFont val="Aptos Narrow"/>
        <scheme val="minor"/>
      </rPr>
      <t xml:space="preserve">{{Value should </t>
    </r>
    <r>
      <rPr>
        <b/>
        <sz val="12"/>
        <color rgb="FF000000"/>
        <rFont val="Aptos Narrow"/>
        <scheme val="minor"/>
      </rPr>
      <t>Interest Due</t>
    </r>
    <r>
      <rPr>
        <sz val="12"/>
        <color rgb="FF000000"/>
        <rFont val="Aptos Narrow"/>
        <scheme val="minor"/>
      </rPr>
      <t xml:space="preserve"> value after repayment: </t>
    </r>
    <r>
      <rPr>
        <b/>
        <sz val="12"/>
        <color rgb="FFC00000"/>
        <rFont val="Aptos Narrow"/>
        <scheme val="minor"/>
      </rPr>
      <t>Interest Due Before Repayment - Paid Interest</t>
    </r>
    <r>
      <rPr>
        <sz val="12"/>
        <color rgb="FF000000"/>
        <rFont val="Aptos Narrow"/>
        <scheme val="minor"/>
      </rPr>
      <t>}}</t>
    </r>
  </si>
  <si>
    <r>
      <rPr>
        <b/>
        <sz val="16"/>
        <color rgb="FF000000"/>
        <rFont val="Aptos Narrow"/>
        <scheme val="minor"/>
      </rPr>
      <t xml:space="preserve">Case 2: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Penalty + Overdue Interest + Overdue Principal - 0.01 UZS</t>
    </r>
  </si>
  <si>
    <r>
      <rPr>
        <b/>
        <sz val="16"/>
        <color rgb="FF000000"/>
        <rFont val="Aptos Narrow"/>
        <scheme val="minor"/>
      </rPr>
      <t xml:space="preserve">Case 3: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 xml:space="preserve"> Overdue Loan with Collection</t>
    </r>
    <r>
      <rPr>
        <b/>
        <sz val="16"/>
        <color rgb="FF000000"/>
        <rFont val="Aptos Narrow"/>
        <scheme val="minor"/>
      </rPr>
      <t>: amount should same as Penalty + Overdue Interest + Overdue Principal</t>
    </r>
  </si>
  <si>
    <r>
      <rPr>
        <sz val="11"/>
        <color rgb="FF000000"/>
        <rFont val="Aptos Narrow"/>
        <scheme val="minor"/>
      </rPr>
      <t xml:space="preserve">Check, that after </t>
    </r>
    <r>
      <rPr>
        <b/>
        <sz val="11"/>
        <color rgb="FF000000"/>
        <rFont val="Aptos Narrow"/>
        <scheme val="minor"/>
      </rPr>
      <t>Collection - Internal</t>
    </r>
    <r>
      <rPr>
        <sz val="11"/>
        <color rgb="FF000000"/>
        <rFont val="Aptos Narrow"/>
        <scheme val="minor"/>
      </rPr>
      <t xml:space="preserve"> process continues straight and </t>
    </r>
    <r>
      <rPr>
        <b/>
        <sz val="11"/>
        <color rgb="FF000000"/>
        <rFont val="Aptos Narrow"/>
        <scheme val="minor"/>
      </rPr>
      <t>goes on following condition</t>
    </r>
    <r>
      <rPr>
        <sz val="11"/>
        <color rgb="FF000000"/>
        <rFont val="Aptos Narrow"/>
        <scheme val="minor"/>
      </rPr>
      <t xml:space="preserve">: </t>
    </r>
    <r>
      <rPr>
        <b/>
        <sz val="11"/>
        <color rgb="FFC00000"/>
        <rFont val="Aptos Narrow"/>
        <scheme val="minor"/>
      </rPr>
      <t xml:space="preserve">{{GetLoanResponseData.Loan.OverdueAmount}} &gt; 0 </t>
    </r>
    <r>
      <rPr>
        <sz val="11"/>
        <color rgb="FF000000"/>
        <rFont val="Aptos Narrow"/>
        <scheme val="minor"/>
      </rPr>
      <t>&amp;&amp;</t>
    </r>
    <r>
      <rPr>
        <b/>
        <sz val="11"/>
        <color rgb="FFC00000"/>
        <rFont val="Aptos Narrow"/>
        <scheme val="minor"/>
      </rPr>
      <t xml:space="preserve"> $.math({{repaymentAmount}}*100) &lt; {{GetLoanResponseData.Loan.OverdueAmount}}</t>
    </r>
    <r>
      <rPr>
        <sz val="11"/>
        <color rgb="FF000000"/>
        <rFont val="Aptos Narrow"/>
        <scheme val="minor"/>
      </rPr>
      <t xml:space="preserve"> then following process is called: </t>
    </r>
    <r>
      <rPr>
        <b/>
        <sz val="11"/>
        <color rgb="FF000000"/>
        <rFont val="Aptos Narrow"/>
        <scheme val="minor"/>
      </rPr>
      <t>Repay loan - Mambu v2</t>
    </r>
  </si>
  <si>
    <r>
      <rPr>
        <sz val="11"/>
        <color rgb="FF000000"/>
        <rFont val="Aptos Narrow"/>
        <scheme val="minor"/>
      </rPr>
      <t>Check, that Repay loan - Mambu v2 process</t>
    </r>
    <r>
      <rPr>
        <b/>
        <sz val="11"/>
        <color rgb="FFC00000"/>
        <rFont val="Aptos Narrow"/>
        <scheme val="minor"/>
      </rPr>
      <t xml:space="preserve"> </t>
    </r>
    <r>
      <rPr>
        <sz val="11"/>
        <color rgb="FF000000"/>
        <rFont val="Aptos Narrow"/>
        <scheme val="minor"/>
      </rPr>
      <t xml:space="preserve">goes on following condition: </t>
    </r>
    <r>
      <rPr>
        <b/>
        <sz val="11"/>
        <color rgb="FFC00000"/>
        <rFont val="Aptos Narrow"/>
        <scheme val="minor"/>
      </rPr>
      <t>{{date}} ==</t>
    </r>
  </si>
  <si>
    <t xml:space="preserve"> "notificationType": "PartialCollection"</t>
  </si>
  <si>
    <r>
      <rPr>
        <b/>
        <sz val="12"/>
        <color rgb="FF000000"/>
        <rFont val="Aptos Narrow"/>
        <scheme val="minor"/>
      </rPr>
      <t xml:space="preserve">"arrearsPosition": </t>
    </r>
    <r>
      <rPr>
        <sz val="12"/>
        <color rgb="FF000000"/>
        <rFont val="Aptos Narrow"/>
        <scheme val="minor"/>
      </rPr>
      <t xml:space="preserve"> </t>
    </r>
    <r>
      <rPr>
        <b/>
        <sz val="12"/>
        <color rgb="FFC00000"/>
        <rFont val="Aptos Narrow"/>
        <scheme val="minor"/>
      </rPr>
      <t>For this case must be 0</t>
    </r>
  </si>
  <si>
    <r>
      <rPr>
        <b/>
        <sz val="12"/>
        <color rgb="FF000000"/>
        <rFont val="Aptos Narrow"/>
        <scheme val="minor"/>
      </rPr>
      <t xml:space="preserve">Total Due: </t>
    </r>
    <r>
      <rPr>
        <sz val="12"/>
        <color rgb="FF000000"/>
        <rFont val="Aptos Narrow"/>
        <scheme val="minor"/>
      </rPr>
      <t xml:space="preserve">{{Value should </t>
    </r>
    <r>
      <rPr>
        <b/>
        <sz val="12"/>
        <color rgb="FF000000"/>
        <rFont val="Aptos Narrow"/>
        <scheme val="minor"/>
      </rPr>
      <t>Total Due</t>
    </r>
    <r>
      <rPr>
        <sz val="12"/>
        <color rgb="FF000000"/>
        <rFont val="Aptos Narrow"/>
        <scheme val="minor"/>
      </rPr>
      <t xml:space="preserve"> value after repayment: </t>
    </r>
    <r>
      <rPr>
        <b/>
        <sz val="12"/>
        <color rgb="FFC00000"/>
        <rFont val="Aptos Narrow"/>
        <scheme val="minor"/>
      </rPr>
      <t>Total Due Before Repayment - Repaid Amount</t>
    </r>
    <r>
      <rPr>
        <sz val="12"/>
        <color rgb="FF000000"/>
        <rFont val="Aptos Narrow"/>
        <scheme val="minor"/>
      </rPr>
      <t>}}</t>
    </r>
  </si>
  <si>
    <r>
      <rPr>
        <b/>
        <sz val="12"/>
        <color rgb="FF000000"/>
        <rFont val="Aptos Narrow"/>
        <scheme val="minor"/>
      </rPr>
      <t xml:space="preserve">Principal Due: </t>
    </r>
    <r>
      <rPr>
        <sz val="12"/>
        <color rgb="FF000000"/>
        <rFont val="Aptos Narrow"/>
        <scheme val="minor"/>
      </rPr>
      <t xml:space="preserve">{{Value should </t>
    </r>
    <r>
      <rPr>
        <b/>
        <sz val="12"/>
        <color rgb="FF000000"/>
        <rFont val="Aptos Narrow"/>
        <scheme val="minor"/>
      </rPr>
      <t>Principal Due</t>
    </r>
    <r>
      <rPr>
        <sz val="12"/>
        <color rgb="FF000000"/>
        <rFont val="Aptos Narrow"/>
        <scheme val="minor"/>
      </rPr>
      <t xml:space="preserve"> value after repayment: </t>
    </r>
    <r>
      <rPr>
        <b/>
        <sz val="12"/>
        <color rgb="FFC00000"/>
        <rFont val="Aptos Narrow"/>
        <scheme val="minor"/>
      </rPr>
      <t>Principal Due</t>
    </r>
    <r>
      <rPr>
        <sz val="12"/>
        <color rgb="FFC00000"/>
        <rFont val="Aptos Narrow"/>
        <scheme val="minor"/>
      </rPr>
      <t xml:space="preserve"> </t>
    </r>
    <r>
      <rPr>
        <b/>
        <sz val="12"/>
        <color rgb="FFC00000"/>
        <rFont val="Aptos Narrow"/>
        <scheme val="minor"/>
      </rPr>
      <t>Before Repayment</t>
    </r>
    <r>
      <rPr>
        <sz val="12"/>
        <color rgb="FFC00000"/>
        <rFont val="Aptos Narrow"/>
        <scheme val="minor"/>
      </rPr>
      <t xml:space="preserve"> - </t>
    </r>
    <r>
      <rPr>
        <b/>
        <sz val="12"/>
        <color rgb="FFC00000"/>
        <rFont val="Aptos Narrow"/>
        <scheme val="minor"/>
      </rPr>
      <t>Paid Principal</t>
    </r>
    <r>
      <rPr>
        <sz val="12"/>
        <color rgb="FF000000"/>
        <rFont val="Aptos Narrow"/>
        <scheme val="minor"/>
      </rPr>
      <t>}}</t>
    </r>
  </si>
  <si>
    <r>
      <rPr>
        <b/>
        <sz val="16"/>
        <color rgb="FF000000"/>
        <rFont val="Aptos Narrow"/>
        <scheme val="minor"/>
      </rPr>
      <t xml:space="preserve">Case 4: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 xml:space="preserve"> Overdue Loan with Collection</t>
    </r>
    <r>
      <rPr>
        <b/>
        <sz val="16"/>
        <color rgb="FF000000"/>
        <rFont val="Aptos Narrow"/>
        <scheme val="minor"/>
      </rPr>
      <t>: amount should same as Total Due from Mambu</t>
    </r>
  </si>
  <si>
    <t>Precondition: You can have amount on Cards to check collect process, too</t>
  </si>
  <si>
    <t xml:space="preserve">        "CollectedAmount": {{Value should be Total Due value from Mambu}} </t>
  </si>
  <si>
    <r>
      <rPr>
        <b/>
        <sz val="16"/>
        <color rgb="FF000000"/>
        <rFont val="Aptos Narrow"/>
        <scheme val="minor"/>
      </rPr>
      <t xml:space="preserve">Case 5: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t>
    </r>
    <r>
      <rPr>
        <b/>
        <sz val="16"/>
        <color rgb="FFC00000"/>
        <rFont val="Aptos Narrow"/>
        <scheme val="minor"/>
      </rPr>
      <t>Penalty Value is 0</t>
    </r>
    <r>
      <rPr>
        <b/>
        <sz val="16"/>
        <color rgb="FF000000"/>
        <rFont val="Aptos Narrow"/>
        <scheme val="minor"/>
      </rPr>
      <t xml:space="preserve">  Customer pays </t>
    </r>
    <r>
      <rPr>
        <b/>
        <sz val="16"/>
        <color rgb="FFC00000"/>
        <rFont val="Aptos Narrow"/>
        <scheme val="minor"/>
      </rPr>
      <t xml:space="preserve"> Overdue Loan with Collection</t>
    </r>
    <r>
      <rPr>
        <b/>
        <sz val="16"/>
        <color rgb="FF000000"/>
        <rFont val="Aptos Narrow"/>
        <scheme val="minor"/>
      </rPr>
      <t>: amount should same as Overdue Interest + Overdue Principal</t>
    </r>
  </si>
  <si>
    <r>
      <rPr>
        <b/>
        <sz val="12"/>
        <color rgb="FF000000"/>
        <rFont val="Aptos Narrow"/>
        <scheme val="minor"/>
      </rPr>
      <t>"PenaltyPaid":</t>
    </r>
    <r>
      <rPr>
        <sz val="12"/>
        <color rgb="FF000000"/>
        <rFont val="Aptos Narrow"/>
        <scheme val="minor"/>
      </rPr>
      <t xml:space="preserve"> {{Value should be 0 for this case}}</t>
    </r>
  </si>
  <si>
    <r>
      <rPr>
        <b/>
        <sz val="12"/>
        <color rgb="FF000000"/>
        <rFont val="Aptos Narrow"/>
        <scheme val="minor"/>
      </rPr>
      <t xml:space="preserve">        "penalty": </t>
    </r>
    <r>
      <rPr>
        <sz val="12"/>
        <color rgb="FF000000"/>
        <rFont val="Aptos Narrow"/>
        <scheme val="minor"/>
      </rPr>
      <t xml:space="preserve"> {{Value should be</t>
    </r>
    <r>
      <rPr>
        <b/>
        <sz val="12"/>
        <color rgb="FFC00000"/>
        <rFont val="Aptos Narrow"/>
        <scheme val="minor"/>
      </rPr>
      <t xml:space="preserve"> 0 for this case</t>
    </r>
    <r>
      <rPr>
        <sz val="12"/>
        <color rgb="FF000000"/>
        <rFont val="Aptos Narrow"/>
        <scheme val="minor"/>
      </rPr>
      <t>}}</t>
    </r>
  </si>
  <si>
    <r>
      <rPr>
        <b/>
        <sz val="12"/>
        <color rgb="FF000000"/>
        <rFont val="Aptos Narrow"/>
        <scheme val="minor"/>
      </rPr>
      <t xml:space="preserve">    "paidPenalty"</t>
    </r>
    <r>
      <rPr>
        <sz val="12"/>
        <color rgb="FF000000"/>
        <rFont val="Aptos Narrow"/>
        <scheme val="minor"/>
      </rPr>
      <t xml:space="preserve">: {{Value should be </t>
    </r>
    <r>
      <rPr>
        <b/>
        <sz val="12"/>
        <color rgb="FFC00000"/>
        <rFont val="Aptos Narrow"/>
        <scheme val="minor"/>
      </rPr>
      <t>0 for this case</t>
    </r>
    <r>
      <rPr>
        <sz val="12"/>
        <color rgb="FF000000"/>
        <rFont val="Aptos Narrow"/>
        <scheme val="minor"/>
      </rPr>
      <t>}}</t>
    </r>
  </si>
  <si>
    <r>
      <rPr>
        <b/>
        <sz val="12"/>
        <color rgb="FF000000"/>
        <rFont val="Aptos Narrow"/>
        <scheme val="minor"/>
      </rPr>
      <t>"penaltyAmount":</t>
    </r>
    <r>
      <rPr>
        <sz val="12"/>
        <color rgb="FF000000"/>
        <rFont val="Aptos Narrow"/>
        <scheme val="minor"/>
      </rPr>
      <t xml:space="preserve"> {{Value should be 0 for this case}}</t>
    </r>
  </si>
  <si>
    <r>
      <rPr>
        <b/>
        <sz val="12"/>
        <color rgb="FF000000"/>
        <rFont val="Aptos Narrow"/>
        <scheme val="minor"/>
      </rPr>
      <t xml:space="preserve">Penalty Due: </t>
    </r>
    <r>
      <rPr>
        <sz val="12"/>
        <color rgb="FF000000"/>
        <rFont val="Aptos Narrow"/>
        <scheme val="minor"/>
      </rPr>
      <t>{{Value should</t>
    </r>
    <r>
      <rPr>
        <b/>
        <sz val="12"/>
        <color rgb="FFC00000"/>
        <rFont val="Aptos Narrow"/>
        <scheme val="minor"/>
      </rPr>
      <t xml:space="preserve"> 0 for this case</t>
    </r>
    <r>
      <rPr>
        <sz val="12"/>
        <color rgb="FF000000"/>
        <rFont val="Aptos Narrow"/>
        <scheme val="minor"/>
      </rPr>
      <t>}}</t>
    </r>
  </si>
  <si>
    <r>
      <rPr>
        <b/>
        <sz val="16"/>
        <color rgb="FF000000"/>
        <rFont val="Aptos Narrow"/>
        <scheme val="minor"/>
      </rPr>
      <t xml:space="preserve">Case 6: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t>
    </r>
    <r>
      <rPr>
        <b/>
        <sz val="16"/>
        <color rgb="FFC00000"/>
        <rFont val="Aptos Narrow"/>
        <scheme val="minor"/>
      </rPr>
      <t>Penalty Value is 0 and Overdue Interest Due is 0</t>
    </r>
    <r>
      <rPr>
        <b/>
        <sz val="16"/>
        <color rgb="FF000000"/>
        <rFont val="Aptos Narrow"/>
        <scheme val="minor"/>
      </rPr>
      <t xml:space="preserve">  Customer pays </t>
    </r>
    <r>
      <rPr>
        <b/>
        <sz val="16"/>
        <color rgb="FFC00000"/>
        <rFont val="Aptos Narrow"/>
        <scheme val="minor"/>
      </rPr>
      <t xml:space="preserve"> Overdue Loan with Collection</t>
    </r>
    <r>
      <rPr>
        <b/>
        <sz val="16"/>
        <color rgb="FF000000"/>
        <rFont val="Aptos Narrow"/>
        <scheme val="minor"/>
      </rPr>
      <t>: amount should same as Overdue Principal</t>
    </r>
  </si>
  <si>
    <r>
      <rPr>
        <b/>
        <sz val="12"/>
        <color rgb="FF000000"/>
        <rFont val="Aptos Narrow"/>
        <scheme val="minor"/>
      </rPr>
      <t>"PenaltyPaid":</t>
    </r>
    <r>
      <rPr>
        <sz val="12"/>
        <color rgb="FF000000"/>
        <rFont val="Aptos Narrow"/>
        <scheme val="minor"/>
      </rPr>
      <t xml:space="preserve"> {{Value should be</t>
    </r>
    <r>
      <rPr>
        <b/>
        <sz val="12"/>
        <color rgb="FF000000"/>
        <rFont val="Aptos Narrow"/>
        <scheme val="minor"/>
      </rPr>
      <t xml:space="preserve"> 0 for this case</t>
    </r>
    <r>
      <rPr>
        <sz val="12"/>
        <color rgb="FF000000"/>
        <rFont val="Aptos Narrow"/>
        <scheme val="minor"/>
      </rPr>
      <t>}}</t>
    </r>
  </si>
  <si>
    <r>
      <rPr>
        <b/>
        <sz val="12"/>
        <color rgb="FF000000"/>
        <rFont val="Aptos Narrow"/>
        <scheme val="minor"/>
      </rPr>
      <t>"InterestPaid":</t>
    </r>
    <r>
      <rPr>
        <sz val="12"/>
        <color rgb="FF000000"/>
        <rFont val="Aptos Narrow"/>
        <scheme val="minor"/>
      </rPr>
      <t xml:space="preserve"> {{Value should be </t>
    </r>
    <r>
      <rPr>
        <b/>
        <sz val="12"/>
        <color rgb="FF000000"/>
        <rFont val="Aptos Narrow"/>
        <scheme val="minor"/>
      </rPr>
      <t>0 for this case</t>
    </r>
    <r>
      <rPr>
        <sz val="12"/>
        <color rgb="FF000000"/>
        <rFont val="Aptos Narrow"/>
        <scheme val="minor"/>
      </rPr>
      <t>}}</t>
    </r>
  </si>
  <si>
    <r>
      <rPr>
        <b/>
        <sz val="12"/>
        <color rgb="FF000000"/>
        <rFont val="Aptos Narrow"/>
        <scheme val="minor"/>
      </rPr>
      <t xml:space="preserve">        "interest": </t>
    </r>
    <r>
      <rPr>
        <sz val="12"/>
        <color rgb="FF000000"/>
        <rFont val="Aptos Narrow"/>
        <scheme val="minor"/>
      </rPr>
      <t>{{Value should be</t>
    </r>
    <r>
      <rPr>
        <b/>
        <sz val="12"/>
        <color rgb="FFC00000"/>
        <rFont val="Aptos Narrow"/>
        <scheme val="minor"/>
      </rPr>
      <t xml:space="preserve"> 0 for this case</t>
    </r>
    <r>
      <rPr>
        <sz val="12"/>
        <color rgb="FF000000"/>
        <rFont val="Aptos Narrow"/>
        <scheme val="minor"/>
      </rPr>
      <t>}}</t>
    </r>
  </si>
  <si>
    <r>
      <rPr>
        <b/>
        <sz val="12"/>
        <color rgb="FF000000"/>
        <rFont val="Aptos Narrow"/>
        <scheme val="minor"/>
      </rPr>
      <t xml:space="preserve">Interest Due:  </t>
    </r>
    <r>
      <rPr>
        <b/>
        <sz val="12"/>
        <color rgb="FFFF0000"/>
        <rFont val="Aptos Narrow"/>
        <scheme val="minor"/>
      </rPr>
      <t>{{Value should 0 for this case}}</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</si>
  <si>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paid with Mambu Repayment}}</t>
    </r>
  </si>
  <si>
    <t xml:space="preserve">Case 8:  Overdue Repayment + Payment Day Amount Case </t>
  </si>
  <si>
    <r>
      <rPr>
        <b/>
        <sz val="16"/>
        <color rgb="FF000000"/>
        <rFont val="Aptos Narrow"/>
        <scheme val="minor"/>
      </rPr>
      <t xml:space="preserve">Case 8: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amount should same as Total Due in Mambu - 49 999.99 UZS ( On Settelement transfer this amount)</t>
    </r>
  </si>
  <si>
    <r>
      <rPr>
        <b/>
        <sz val="12"/>
        <color rgb="FF000000"/>
        <rFont val="Aptos Narrow"/>
        <scheme val="minor"/>
      </rPr>
      <t xml:space="preserve">    "overdueInterest"</t>
    </r>
    <r>
      <rPr>
        <sz val="12"/>
        <color rgb="FF000000"/>
        <rFont val="Aptos Narrow"/>
        <scheme val="minor"/>
      </rPr>
      <t>: {{</t>
    </r>
    <r>
      <rPr>
        <b/>
        <sz val="12"/>
        <color rgb="FF000000"/>
        <rFont val="Aptos Narrow"/>
        <scheme val="minor"/>
      </rPr>
      <t>Interest Due</t>
    </r>
    <r>
      <rPr>
        <sz val="12"/>
        <color rgb="FF000000"/>
        <rFont val="Aptos Narrow"/>
        <scheme val="minor"/>
      </rPr>
      <t xml:space="preserve"> value from Mambu before Repayment from </t>
    </r>
    <r>
      <rPr>
        <b/>
        <sz val="12"/>
        <color rgb="FF000000"/>
        <rFont val="Aptos Narrow"/>
        <scheme val="minor"/>
      </rPr>
      <t>Mambu Loan Schedule for Late Payment</t>
    </r>
    <r>
      <rPr>
        <sz val="12"/>
        <color rgb="FF000000"/>
        <rFont val="Aptos Narrow"/>
        <scheme val="minor"/>
      </rPr>
      <t>}}</t>
    </r>
  </si>
  <si>
    <r>
      <rPr>
        <b/>
        <sz val="12"/>
        <color rgb="FF000000"/>
        <rFont val="Aptos Narrow"/>
        <scheme val="minor"/>
      </rPr>
      <t xml:space="preserve">    "overduePrincipal": </t>
    </r>
    <r>
      <rPr>
        <sz val="12"/>
        <color rgb="FF000000"/>
        <rFont val="Aptos Narrow"/>
        <scheme val="minor"/>
      </rPr>
      <t xml:space="preserve">{{Principal Due value from Mambu before Repayment from </t>
    </r>
    <r>
      <rPr>
        <b/>
        <sz val="12"/>
        <color rgb="FF000000"/>
        <rFont val="Aptos Narrow"/>
        <scheme val="minor"/>
      </rPr>
      <t>Mambu Loan Schedule for Late Payment</t>
    </r>
    <r>
      <rPr>
        <sz val="12"/>
        <color rgb="FF000000"/>
        <rFont val="Aptos Narrow"/>
        <scheme val="minor"/>
      </rPr>
      <t>}}</t>
    </r>
  </si>
  <si>
    <r>
      <rPr>
        <b/>
        <sz val="12"/>
        <color rgb="FF000000"/>
        <rFont val="Aptos Narrow"/>
        <scheme val="minor"/>
      </rPr>
      <t xml:space="preserve">    "paidFees": </t>
    </r>
    <r>
      <rPr>
        <sz val="12"/>
        <color rgb="FF000000"/>
        <rFont val="Aptos Narrow"/>
        <scheme val="minor"/>
      </rPr>
      <t xml:space="preserve">{{For this case </t>
    </r>
    <r>
      <rPr>
        <b/>
        <sz val="12"/>
        <color rgb="FF000000"/>
        <rFont val="Aptos Narrow"/>
        <scheme val="minor"/>
      </rPr>
      <t>0.01</t>
    </r>
    <r>
      <rPr>
        <sz val="12"/>
        <color rgb="FF000000"/>
        <rFont val="Aptos Narrow"/>
        <scheme val="minor"/>
      </rPr>
      <t xml:space="preserve"> UZS}}</t>
    </r>
  </si>
  <si>
    <r>
      <rPr>
        <b/>
        <sz val="12"/>
        <color rgb="FF000000"/>
        <rFont val="Aptos Narrow"/>
        <scheme val="minor"/>
      </rPr>
      <t xml:space="preserve">    "paidInterest": </t>
    </r>
    <r>
      <rPr>
        <sz val="12"/>
        <color rgb="FF000000"/>
        <rFont val="Aptos Narrow"/>
        <scheme val="minor"/>
      </rPr>
      <t>{{</t>
    </r>
    <r>
      <rPr>
        <b/>
        <sz val="12"/>
        <color rgb="FF000000"/>
        <rFont val="Aptos Narrow"/>
        <scheme val="minor"/>
      </rPr>
      <t>Interest Due</t>
    </r>
    <r>
      <rPr>
        <sz val="12"/>
        <color rgb="FF000000"/>
        <rFont val="Aptos Narrow"/>
        <scheme val="minor"/>
      </rPr>
      <t xml:space="preserve"> value from Mambu before Repayment from Mambu Loan Schedule for  Payment Day}}</t>
    </r>
  </si>
  <si>
    <r>
      <rPr>
        <sz val="12"/>
        <color rgb="FF000000"/>
        <rFont val="Aptos Narrow"/>
        <scheme val="minor"/>
      </rPr>
      <t xml:space="preserve">    "</t>
    </r>
    <r>
      <rPr>
        <b/>
        <sz val="12"/>
        <color rgb="FF000000"/>
        <rFont val="Aptos Narrow"/>
        <scheme val="minor"/>
      </rPr>
      <t>paidPrincipal</t>
    </r>
    <r>
      <rPr>
        <sz val="12"/>
        <color rgb="FF000000"/>
        <rFont val="Aptos Narrow"/>
        <scheme val="minor"/>
      </rPr>
      <t>": {{</t>
    </r>
    <r>
      <rPr>
        <b/>
        <sz val="12"/>
        <color rgb="FF000000"/>
        <rFont val="Aptos Narrow"/>
        <scheme val="minor"/>
      </rPr>
      <t>Principal Due</t>
    </r>
    <r>
      <rPr>
        <sz val="12"/>
        <color rgb="FF000000"/>
        <rFont val="Aptos Narrow"/>
        <scheme val="minor"/>
      </rPr>
      <t xml:space="preserve"> value from Mambu before Repayment from Mambu Loan Schedule for  Payment Day}}</t>
    </r>
  </si>
  <si>
    <r>
      <rPr>
        <sz val="12"/>
        <color rgb="FF000000"/>
        <rFont val="Aptos Narrow"/>
        <scheme val="minor"/>
      </rPr>
      <t xml:space="preserve">      </t>
    </r>
    <r>
      <rPr>
        <b/>
        <sz val="12"/>
        <color rgb="FF000000"/>
        <rFont val="Aptos Narrow"/>
        <scheme val="minor"/>
      </rPr>
      <t xml:space="preserve">  "PaidAmount":  </t>
    </r>
    <r>
      <rPr>
        <sz val="12"/>
        <color rgb="FF000000"/>
        <rFont val="Aptos Narrow"/>
        <scheme val="minor"/>
      </rPr>
      <t xml:space="preserve">{{Requested Amount, which was collected to repay loan, for this case </t>
    </r>
    <r>
      <rPr>
        <b/>
        <sz val="12"/>
        <color rgb="FF000000"/>
        <rFont val="Aptos Narrow"/>
        <scheme val="minor"/>
      </rPr>
      <t>Total Due - 49999.99 UZS</t>
    </r>
    <r>
      <rPr>
        <sz val="12"/>
        <color rgb="FF000000"/>
        <rFont val="Aptos Narrow"/>
        <scheme val="minor"/>
      </rPr>
      <t xml:space="preserve"> from Mambu, because we paid full overdue}}</t>
    </r>
  </si>
  <si>
    <r>
      <rPr>
        <b/>
        <sz val="12"/>
        <color rgb="FF000000"/>
        <rFont val="Aptos Narrow"/>
        <scheme val="minor"/>
      </rPr>
      <t xml:space="preserve">"amount": </t>
    </r>
    <r>
      <rPr>
        <sz val="12"/>
        <color rgb="FF000000"/>
        <rFont val="Aptos Narrow"/>
        <scheme val="minor"/>
      </rPr>
      <t xml:space="preserve"> {{Requested Amount, which customer/collection paid}}</t>
    </r>
  </si>
  <si>
    <r>
      <rPr>
        <b/>
        <sz val="12"/>
        <color rgb="FF000000"/>
        <rFont val="Aptos Narrow"/>
        <scheme val="minor"/>
      </rPr>
      <t xml:space="preserve">Fees Paid: </t>
    </r>
    <r>
      <rPr>
        <sz val="12"/>
        <color rgb="FF000000"/>
        <rFont val="Aptos Narrow"/>
        <scheme val="minor"/>
      </rPr>
      <t xml:space="preserve">{{Value should be </t>
    </r>
    <r>
      <rPr>
        <b/>
        <sz val="12"/>
        <color rgb="FF000000"/>
        <rFont val="Aptos Narrow"/>
        <scheme val="minor"/>
      </rPr>
      <t>0.01</t>
    </r>
    <r>
      <rPr>
        <sz val="12"/>
        <color rgb="FF000000"/>
        <rFont val="Aptos Narrow"/>
        <scheme val="minor"/>
      </rPr>
      <t xml:space="preserve"> for this case}}</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</si>
  <si>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Interest Due</t>
    </r>
    <r>
      <rPr>
        <sz val="12"/>
        <color rgb="FF000000"/>
        <rFont val="Aptos Narrow"/>
        <scheme val="minor"/>
      </rPr>
      <t xml:space="preserve"> Value from </t>
    </r>
    <r>
      <rPr>
        <b/>
        <sz val="12"/>
        <color rgb="FF000000"/>
        <rFont val="Aptos Narrow"/>
        <scheme val="minor"/>
      </rPr>
      <t>Mambu schedule Late Payment</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</si>
  <si>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value from </t>
    </r>
    <r>
      <rPr>
        <b/>
        <sz val="12"/>
        <color rgb="FF000000"/>
        <rFont val="Aptos Narrow"/>
        <scheme val="minor"/>
      </rPr>
      <t>Mambu schedule Late Payment</t>
    </r>
    <r>
      <rPr>
        <sz val="12"/>
        <color rgb="FF000000"/>
        <rFont val="Aptos Narrow"/>
        <scheme val="minor"/>
      </rPr>
      <t>}}</t>
    </r>
  </si>
  <si>
    <r>
      <rPr>
        <b/>
        <sz val="12"/>
        <color rgb="FF000000"/>
        <rFont val="Aptos Narrow"/>
        <scheme val="minor"/>
      </rPr>
      <t xml:space="preserve">    "paidInterest": </t>
    </r>
    <r>
      <rPr>
        <sz val="12"/>
        <color rgb="FF000000"/>
        <rFont val="Aptos Narrow"/>
        <scheme val="minor"/>
      </rPr>
      <t>{{For this case 0 UZS}}</t>
    </r>
  </si>
  <si>
    <r>
      <rPr>
        <sz val="12"/>
        <color rgb="FF000000"/>
        <rFont val="Aptos Narrow"/>
        <scheme val="minor"/>
      </rPr>
      <t xml:space="preserve">    "</t>
    </r>
    <r>
      <rPr>
        <b/>
        <sz val="12"/>
        <color rgb="FF000000"/>
        <rFont val="Aptos Narrow"/>
        <scheme val="minor"/>
      </rPr>
      <t>paidPrincipal</t>
    </r>
    <r>
      <rPr>
        <sz val="12"/>
        <color rgb="FF000000"/>
        <rFont val="Aptos Narrow"/>
        <scheme val="minor"/>
      </rPr>
      <t>": {{For this case 0 UZS}}</t>
    </r>
  </si>
  <si>
    <r>
      <rPr>
        <sz val="12"/>
        <color rgb="FF000000"/>
        <rFont val="Aptos Narrow"/>
        <scheme val="minor"/>
      </rPr>
      <t xml:space="preserve">      </t>
    </r>
    <r>
      <rPr>
        <b/>
        <sz val="12"/>
        <color rgb="FF000000"/>
        <rFont val="Aptos Narrow"/>
        <scheme val="minor"/>
      </rPr>
      <t xml:space="preserve">  "PaidAmount":  </t>
    </r>
    <r>
      <rPr>
        <sz val="12"/>
        <color rgb="FF000000"/>
        <rFont val="Aptos Narrow"/>
        <scheme val="minor"/>
      </rPr>
      <t xml:space="preserve">{{Requested Amount, which was collected to repay loan, for this case </t>
    </r>
    <r>
      <rPr>
        <b/>
        <sz val="12"/>
        <color rgb="FF000000"/>
        <rFont val="Aptos Narrow"/>
        <scheme val="minor"/>
      </rPr>
      <t>Penalty + Overdue Interest + Overdue Principal</t>
    </r>
    <r>
      <rPr>
        <sz val="12"/>
        <color rgb="FF000000"/>
        <rFont val="Aptos Narrow"/>
        <scheme val="minor"/>
      </rPr>
      <t>}}</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</si>
  <si>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Mambu after repayment: refresh Mambu, for this case 50 000 UZS}}</t>
    </r>
  </si>
  <si>
    <r>
      <rPr>
        <b/>
        <sz val="16"/>
        <color rgb="FF000000"/>
        <rFont val="Aptos Narrow"/>
        <scheme val="minor"/>
      </rPr>
      <t xml:space="preserve">Case 10: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Customer/collection pays</t>
    </r>
    <r>
      <rPr>
        <b/>
        <sz val="16"/>
        <color rgb="FFC00000"/>
        <rFont val="Aptos Narrow"/>
        <scheme val="minor"/>
      </rPr>
      <t xml:space="preserve"> Overdue Loan</t>
    </r>
    <r>
      <rPr>
        <b/>
        <sz val="16"/>
        <color rgb="FF000000"/>
        <rFont val="Aptos Narrow"/>
        <scheme val="minor"/>
      </rPr>
      <t xml:space="preserve"> + 0.01 UZS: </t>
    </r>
    <r>
      <rPr>
        <b/>
        <sz val="16"/>
        <color rgb="FFC00000"/>
        <rFont val="Aptos Narrow"/>
        <scheme val="minor"/>
      </rPr>
      <t>amount should same as Penalty + Overdue Interets + Overdue Principal + 0.01 UZS</t>
    </r>
  </si>
  <si>
    <r>
      <rPr>
        <b/>
        <sz val="12"/>
        <color rgb="FF000000"/>
        <rFont val="Aptos Narrow"/>
        <scheme val="minor"/>
      </rPr>
      <t>"interest":</t>
    </r>
    <r>
      <rPr>
        <sz val="12"/>
        <color rgb="FF000000"/>
        <rFont val="Aptos Narrow"/>
        <scheme val="minor"/>
      </rPr>
      <t xml:space="preserve"> {{Value should be </t>
    </r>
    <r>
      <rPr>
        <b/>
        <sz val="12"/>
        <color rgb="FF000000"/>
        <rFont val="Aptos Narrow"/>
        <scheme val="minor"/>
      </rPr>
      <t>Interest Due</t>
    </r>
    <r>
      <rPr>
        <sz val="12"/>
        <color rgb="FF000000"/>
        <rFont val="Aptos Narrow"/>
        <scheme val="minor"/>
      </rPr>
      <t xml:space="preserve"> Value from </t>
    </r>
    <r>
      <rPr>
        <b/>
        <sz val="12"/>
        <color rgb="FF000000"/>
        <rFont val="Aptos Narrow"/>
        <scheme val="minor"/>
      </rPr>
      <t xml:space="preserve">Mambu schedule Late Payment + </t>
    </r>
    <r>
      <rPr>
        <sz val="12"/>
        <color rgb="FFC00000"/>
        <rFont val="Aptos Narrow"/>
        <scheme val="minor"/>
      </rPr>
      <t>0.01 UZS</t>
    </r>
    <r>
      <rPr>
        <sz val="12"/>
        <color rgb="FF000000"/>
        <rFont val="Aptos Narrow"/>
        <scheme val="minor"/>
      </rPr>
      <t>}}</t>
    </r>
  </si>
  <si>
    <r>
      <rPr>
        <sz val="12"/>
        <color rgb="FF000000"/>
        <rFont val="Aptos Narrow"/>
        <scheme val="minor"/>
      </rPr>
      <t xml:space="preserve">      </t>
    </r>
    <r>
      <rPr>
        <b/>
        <sz val="12"/>
        <color rgb="FF000000"/>
        <rFont val="Aptos Narrow"/>
        <scheme val="minor"/>
      </rPr>
      <t xml:space="preserve">  "PaidAmount":  </t>
    </r>
    <r>
      <rPr>
        <sz val="12"/>
        <color rgb="FF000000"/>
        <rFont val="Aptos Narrow"/>
        <scheme val="minor"/>
      </rPr>
      <t xml:space="preserve">{{Requested Amount, which was collected to repay loan, for this case </t>
    </r>
    <r>
      <rPr>
        <b/>
        <sz val="12"/>
        <color rgb="FF000000"/>
        <rFont val="Aptos Narrow"/>
        <scheme val="minor"/>
      </rPr>
      <t>Penalty + Overdue Interest + Overdue Principal+0.01UZS</t>
    </r>
    <r>
      <rPr>
        <sz val="12"/>
        <color rgb="FF000000"/>
        <rFont val="Aptos Narrow"/>
        <scheme val="minor"/>
      </rPr>
      <t>}}</t>
    </r>
  </si>
  <si>
    <t>Case 8:  Overdue Repayment + Payment Day Interest + 0.01 UZS</t>
  </si>
  <si>
    <r>
      <rPr>
        <b/>
        <sz val="16"/>
        <color rgb="FF000000"/>
        <rFont val="Aptos Narrow"/>
        <scheme val="minor"/>
      </rPr>
      <t xml:space="preserve">Case 8: Customer has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 xml:space="preserve">Payment Day. Customer has Fixed Fee, too (must be applied on Late Payment Day) </t>
    </r>
    <r>
      <rPr>
        <b/>
        <sz val="16"/>
        <color rgb="FF000000"/>
        <rFont val="Aptos Narrow"/>
        <scheme val="minor"/>
      </rPr>
      <t>Customer pays</t>
    </r>
    <r>
      <rPr>
        <b/>
        <sz val="16"/>
        <color rgb="FFC00000"/>
        <rFont val="Aptos Narrow"/>
        <scheme val="minor"/>
      </rPr>
      <t xml:space="preserve"> Overdue Loan</t>
    </r>
    <r>
      <rPr>
        <b/>
        <sz val="16"/>
        <color rgb="FF000000"/>
        <rFont val="Aptos Narrow"/>
        <scheme val="minor"/>
      </rPr>
      <t xml:space="preserve"> from Loan Repayment field: </t>
    </r>
    <r>
      <rPr>
        <b/>
        <sz val="16"/>
        <color rgb="FFC00000"/>
        <rFont val="Aptos Narrow"/>
        <scheme val="minor"/>
      </rPr>
      <t>amount should same as Penalty + Overdue Interest + Overdue Principal + Payment Day Interest + 0.01 UZS</t>
    </r>
  </si>
  <si>
    <r>
      <rPr>
        <b/>
        <sz val="12"/>
        <color rgb="FF000000"/>
        <rFont val="Aptos Narrow"/>
        <scheme val="minor"/>
      </rPr>
      <t>"PrincipalPaid":</t>
    </r>
    <r>
      <rPr>
        <sz val="12"/>
        <color rgb="FF000000"/>
        <rFont val="Aptos Narrow"/>
        <scheme val="minor"/>
      </rPr>
      <t xml:space="preserve"> {{Value should be </t>
    </r>
    <r>
      <rPr>
        <b/>
        <sz val="12"/>
        <color rgb="FF000000"/>
        <rFont val="Aptos Narrow"/>
        <scheme val="minor"/>
      </rPr>
      <t>Overdue  Principal</t>
    </r>
    <r>
      <rPr>
        <sz val="12"/>
        <color rgb="FF000000"/>
        <rFont val="Aptos Narrow"/>
        <scheme val="minor"/>
      </rPr>
      <t xml:space="preserve"> + </t>
    </r>
    <r>
      <rPr>
        <b/>
        <sz val="12"/>
        <color rgb="FF000000"/>
        <rFont val="Aptos Narrow"/>
        <scheme val="minor"/>
      </rPr>
      <t>0.01 UZS</t>
    </r>
    <r>
      <rPr>
        <sz val="12"/>
        <color rgb="FF000000"/>
        <rFont val="Aptos Narrow"/>
        <scheme val="minor"/>
      </rPr>
      <t>}}</t>
    </r>
  </si>
  <si>
    <r>
      <rPr>
        <b/>
        <sz val="12"/>
        <color rgb="FF000000"/>
        <rFont val="Aptos Narrow"/>
        <scheme val="minor"/>
      </rPr>
      <t>"principal":</t>
    </r>
    <r>
      <rPr>
        <sz val="12"/>
        <color rgb="FF000000"/>
        <rFont val="Aptos Narrow"/>
        <scheme val="minor"/>
      </rPr>
      <t xml:space="preserve"> {{Value should be </t>
    </r>
    <r>
      <rPr>
        <b/>
        <sz val="12"/>
        <color rgb="FF000000"/>
        <rFont val="Aptos Narrow"/>
        <scheme val="minor"/>
      </rPr>
      <t>Principal Due</t>
    </r>
    <r>
      <rPr>
        <sz val="12"/>
        <color rgb="FF000000"/>
        <rFont val="Aptos Narrow"/>
        <scheme val="minor"/>
      </rPr>
      <t xml:space="preserve"> value from </t>
    </r>
    <r>
      <rPr>
        <b/>
        <sz val="12"/>
        <color rgb="FF000000"/>
        <rFont val="Aptos Narrow"/>
        <scheme val="minor"/>
      </rPr>
      <t>Mambu loan shedule for Late Payment + 0.01 UZS</t>
    </r>
    <r>
      <rPr>
        <sz val="12"/>
        <color rgb="FF000000"/>
        <rFont val="Aptos Narrow"/>
        <scheme val="minor"/>
      </rPr>
      <t>}}</t>
    </r>
  </si>
  <si>
    <r>
      <rPr>
        <b/>
        <sz val="12"/>
        <color rgb="FF000000"/>
        <rFont val="Aptos Narrow"/>
        <scheme val="minor"/>
      </rPr>
      <t xml:space="preserve">    "paidFees": </t>
    </r>
    <r>
      <rPr>
        <sz val="12"/>
        <color rgb="FF000000"/>
        <rFont val="Aptos Narrow"/>
        <scheme val="minor"/>
      </rPr>
      <t xml:space="preserve">{{For this case </t>
    </r>
    <r>
      <rPr>
        <b/>
        <sz val="12"/>
        <color rgb="FF000000"/>
        <rFont val="Aptos Narrow"/>
        <scheme val="minor"/>
      </rPr>
      <t xml:space="preserve">0 </t>
    </r>
    <r>
      <rPr>
        <sz val="12"/>
        <color rgb="FF000000"/>
        <rFont val="Aptos Narrow"/>
        <scheme val="minor"/>
      </rPr>
      <t>UZS}}</t>
    </r>
  </si>
  <si>
    <r>
      <rPr>
        <b/>
        <sz val="12"/>
        <color rgb="FF000000"/>
        <rFont val="Aptos Narrow"/>
        <scheme val="minor"/>
      </rPr>
      <t xml:space="preserve">    "paidInterest": </t>
    </r>
    <r>
      <rPr>
        <sz val="12"/>
        <color rgb="FF000000"/>
        <rFont val="Aptos Narrow"/>
        <scheme val="minor"/>
      </rPr>
      <t>{{</t>
    </r>
    <r>
      <rPr>
        <b/>
        <sz val="12"/>
        <color rgb="FF000000"/>
        <rFont val="Aptos Narrow"/>
        <scheme val="minor"/>
      </rPr>
      <t>Interest Due</t>
    </r>
    <r>
      <rPr>
        <sz val="12"/>
        <color rgb="FF000000"/>
        <rFont val="Aptos Narrow"/>
        <scheme val="minor"/>
      </rPr>
      <t xml:space="preserve"> value from Mambu before Repayment from </t>
    </r>
    <r>
      <rPr>
        <b/>
        <sz val="12"/>
        <color rgb="FF000000"/>
        <rFont val="Aptos Narrow"/>
        <scheme val="minor"/>
      </rPr>
      <t>Mambu Loan Schedule for Payment Day</t>
    </r>
    <r>
      <rPr>
        <sz val="12"/>
        <color rgb="FF000000"/>
        <rFont val="Aptos Narrow"/>
        <scheme val="minor"/>
      </rPr>
      <t>}}</t>
    </r>
  </si>
  <si>
    <r>
      <rPr>
        <sz val="12"/>
        <color rgb="FF000000"/>
        <rFont val="Aptos Narrow"/>
        <scheme val="minor"/>
      </rPr>
      <t xml:space="preserve">    "</t>
    </r>
    <r>
      <rPr>
        <b/>
        <sz val="12"/>
        <color rgb="FF000000"/>
        <rFont val="Aptos Narrow"/>
        <scheme val="minor"/>
      </rPr>
      <t>paidPrincipal</t>
    </r>
    <r>
      <rPr>
        <sz val="12"/>
        <color rgb="FF000000"/>
        <rFont val="Aptos Narrow"/>
        <scheme val="minor"/>
      </rPr>
      <t>": {{</t>
    </r>
    <r>
      <rPr>
        <b/>
        <sz val="12"/>
        <color rgb="FF000000"/>
        <rFont val="Aptos Narrow"/>
        <scheme val="minor"/>
      </rPr>
      <t>Principal Due</t>
    </r>
    <r>
      <rPr>
        <sz val="12"/>
        <color rgb="FF000000"/>
        <rFont val="Aptos Narrow"/>
        <scheme val="minor"/>
      </rPr>
      <t xml:space="preserve"> value shoule be </t>
    </r>
    <r>
      <rPr>
        <b/>
        <sz val="12"/>
        <color rgb="FF000000"/>
        <rFont val="Aptos Narrow"/>
        <scheme val="minor"/>
      </rPr>
      <t>0.01 UZD for this case</t>
    </r>
    <r>
      <rPr>
        <sz val="12"/>
        <color rgb="FF000000"/>
        <rFont val="Aptos Narrow"/>
        <scheme val="minor"/>
      </rPr>
      <t>}}</t>
    </r>
  </si>
  <si>
    <r>
      <rPr>
        <sz val="12"/>
        <color rgb="FF000000"/>
        <rFont val="Aptos Narrow"/>
        <scheme val="minor"/>
      </rPr>
      <t xml:space="preserve">      </t>
    </r>
    <r>
      <rPr>
        <b/>
        <sz val="12"/>
        <color rgb="FF000000"/>
        <rFont val="Aptos Narrow"/>
        <scheme val="minor"/>
      </rPr>
      <t xml:space="preserve">  "PaidAmount":  </t>
    </r>
    <r>
      <rPr>
        <sz val="12"/>
        <color rgb="FF000000"/>
        <rFont val="Aptos Narrow"/>
        <scheme val="minor"/>
      </rPr>
      <t xml:space="preserve">{{Requested Amount, which was collected to repay loan, for this case </t>
    </r>
    <r>
      <rPr>
        <b/>
        <sz val="12"/>
        <color rgb="FF000000"/>
        <rFont val="Aptos Narrow"/>
        <scheme val="minor"/>
      </rPr>
      <t>Penalty + Overdue Interest + Overdue Principal + Payment day Interest Due + 0.01 UZS</t>
    </r>
    <r>
      <rPr>
        <sz val="12"/>
        <color rgb="FF000000"/>
        <rFont val="Aptos Narrow"/>
        <scheme val="minor"/>
      </rPr>
      <t>}}</t>
    </r>
  </si>
  <si>
    <r>
      <rPr>
        <b/>
        <sz val="12"/>
        <color rgb="FF000000"/>
        <rFont val="Aptos Narrow"/>
        <scheme val="minor"/>
      </rPr>
      <t xml:space="preserve">"arrearsPosition": </t>
    </r>
    <r>
      <rPr>
        <sz val="12"/>
        <color rgb="FF000000"/>
        <rFont val="Aptos Narrow"/>
        <scheme val="minor"/>
      </rPr>
      <t xml:space="preserve"> {{Value should be </t>
    </r>
    <r>
      <rPr>
        <b/>
        <sz val="12"/>
        <color rgb="FF000000"/>
        <rFont val="Aptos Narrow"/>
        <scheme val="minor"/>
      </rPr>
      <t>Total Due</t>
    </r>
    <r>
      <rPr>
        <sz val="12"/>
        <color rgb="FF000000"/>
        <rFont val="Aptos Narrow"/>
        <scheme val="minor"/>
      </rPr>
      <t xml:space="preserve"> value (with minus - ) from Mambu after repayment: refresh Mambu, for this case </t>
    </r>
    <r>
      <rPr>
        <b/>
        <sz val="12"/>
        <color rgb="FF000000"/>
        <rFont val="Aptos Narrow"/>
        <scheme val="minor"/>
      </rPr>
      <t>-50000</t>
    </r>
    <r>
      <rPr>
        <sz val="12"/>
        <color rgb="FF000000"/>
        <rFont val="Aptos Narrow"/>
        <scheme val="minor"/>
      </rPr>
      <t xml:space="preserve"> UZS}}</t>
    </r>
  </si>
  <si>
    <r>
      <rPr>
        <b/>
        <sz val="12"/>
        <color rgb="FF000000"/>
        <rFont val="Aptos Narrow"/>
        <scheme val="minor"/>
      </rPr>
      <t>"principalAmount":</t>
    </r>
    <r>
      <rPr>
        <sz val="12"/>
        <color rgb="FF000000"/>
        <rFont val="Aptos Narrow"/>
        <scheme val="minor"/>
      </rPr>
      <t xml:space="preserve"> {{Value should be</t>
    </r>
    <r>
      <rPr>
        <b/>
        <sz val="12"/>
        <color rgb="FF000000"/>
        <rFont val="Aptos Narrow"/>
        <scheme val="minor"/>
      </rPr>
      <t xml:space="preserve"> Overdue Principal + 0.01 UZS</t>
    </r>
    <r>
      <rPr>
        <sz val="12"/>
        <color rgb="FF000000"/>
        <rFont val="Aptos Narrow"/>
        <scheme val="minor"/>
      </rPr>
      <t xml:space="preserve"> }}</t>
    </r>
  </si>
  <si>
    <r>
      <rPr>
        <b/>
        <sz val="12"/>
        <color rgb="FF000000"/>
        <rFont val="Aptos Narrow"/>
        <scheme val="minor"/>
      </rPr>
      <t xml:space="preserve">Principal Paid: </t>
    </r>
    <r>
      <rPr>
        <sz val="12"/>
        <color rgb="FF000000"/>
        <rFont val="Aptos Narrow"/>
        <scheme val="minor"/>
      </rPr>
      <t xml:space="preserve">{{Value should be </t>
    </r>
    <r>
      <rPr>
        <b/>
        <sz val="12"/>
        <color rgb="FF000000"/>
        <rFont val="Aptos Narrow"/>
        <scheme val="minor"/>
      </rPr>
      <t>Overdue Principal</t>
    </r>
    <r>
      <rPr>
        <sz val="12"/>
        <color rgb="FF000000"/>
        <rFont val="Aptos Narrow"/>
        <scheme val="minor"/>
      </rPr>
      <t xml:space="preserve"> amount calculated with </t>
    </r>
    <r>
      <rPr>
        <b/>
        <sz val="12"/>
        <color rgb="FF000000"/>
        <rFont val="Aptos Narrow"/>
        <scheme val="minor"/>
      </rPr>
      <t>Repay Formula + 0.01 UZS</t>
    </r>
    <r>
      <rPr>
        <sz val="12"/>
        <color rgb="FF000000"/>
        <rFont val="Aptos Narrow"/>
        <scheme val="minor"/>
      </rPr>
      <t>}}</t>
    </r>
  </si>
  <si>
    <r>
      <rPr>
        <b/>
        <sz val="12"/>
        <color rgb="FF000000"/>
        <rFont val="Aptos Narrow"/>
        <scheme val="minor"/>
      </rPr>
      <t xml:space="preserve">Interest Paid: </t>
    </r>
    <r>
      <rPr>
        <sz val="12"/>
        <color rgb="FF000000"/>
        <rFont val="Aptos Narrow"/>
        <scheme val="minor"/>
      </rPr>
      <t xml:space="preserve">{{Value should be </t>
    </r>
    <r>
      <rPr>
        <b/>
        <sz val="12"/>
        <color rgb="FF000000"/>
        <rFont val="Aptos Narrow"/>
        <scheme val="minor"/>
      </rPr>
      <t>Overdue Interest</t>
    </r>
    <r>
      <rPr>
        <sz val="12"/>
        <color rgb="FF000000"/>
        <rFont val="Aptos Narrow"/>
        <scheme val="minor"/>
      </rPr>
      <t xml:space="preserve"> amount calculated with </t>
    </r>
    <r>
      <rPr>
        <b/>
        <sz val="12"/>
        <color rgb="FF000000"/>
        <rFont val="Aptos Narrow"/>
        <scheme val="minor"/>
      </rPr>
      <t>Repay Formula + Interest Due from loan schedule for Payment day}}</t>
    </r>
  </si>
  <si>
    <r>
      <rPr>
        <b/>
        <sz val="11"/>
        <color rgb="FF000000"/>
        <rFont val="Calibri"/>
        <family val="2"/>
      </rPr>
      <t xml:space="preserve">"Principal Amount":  </t>
    </r>
    <r>
      <rPr>
        <sz val="11"/>
        <color rgb="FF000000"/>
        <rFont val="Calibri"/>
        <family val="2"/>
      </rPr>
      <t xml:space="preserve">{{Value should be </t>
    </r>
    <r>
      <rPr>
        <b/>
        <sz val="11"/>
        <color rgb="FF000000"/>
        <rFont val="Calibri"/>
        <family val="2"/>
      </rPr>
      <t>Overdue</t>
    </r>
    <r>
      <rPr>
        <sz val="11"/>
        <color rgb="FF000000"/>
        <rFont val="Calibri"/>
        <family val="2"/>
      </rPr>
      <t xml:space="preserve"> </t>
    </r>
    <r>
      <rPr>
        <b/>
        <sz val="11"/>
        <color rgb="FF000000"/>
        <rFont val="Calibri"/>
        <family val="2"/>
      </rPr>
      <t>Principal</t>
    </r>
    <r>
      <rPr>
        <sz val="11"/>
        <color rgb="FF000000"/>
        <rFont val="Calibri"/>
        <family val="2"/>
      </rPr>
      <t xml:space="preserve"> amount calculated with Repay Formula </t>
    </r>
    <r>
      <rPr>
        <b/>
        <sz val="11"/>
        <color rgb="FF000000"/>
        <rFont val="Calibri"/>
        <family val="2"/>
      </rPr>
      <t>+ 0.01 UZS</t>
    </r>
    <r>
      <rPr>
        <sz val="11"/>
        <color rgb="FF000000"/>
        <rFont val="Calibri"/>
        <family val="2"/>
      </rPr>
      <t>}}</t>
    </r>
  </si>
  <si>
    <r>
      <rPr>
        <sz val="12"/>
        <color rgb="FF000000"/>
        <rFont val="Aptos Narrow"/>
        <scheme val="minor"/>
      </rPr>
      <t xml:space="preserve">"interestAmount_MoneyObject": {
    "amount": </t>
    </r>
    <r>
      <rPr>
        <b/>
        <sz val="12"/>
        <color rgb="FF000000"/>
        <rFont val="Aptos Narrow"/>
        <scheme val="minor"/>
      </rPr>
      <t xml:space="preserve">{{Paid Amount for Interest (Overdue Interest + Payment Day Interest) 
</t>
    </r>
    <r>
      <rPr>
        <sz val="12"/>
        <color rgb="FF000000"/>
        <rFont val="Aptos Narrow"/>
        <scheme val="minor"/>
      </rPr>
      <t xml:space="preserve">    "currencyCode": "UZS"
  },</t>
    </r>
  </si>
  <si>
    <r>
      <rPr>
        <sz val="12"/>
        <color rgb="FF000000"/>
        <rFont val="Aptos Narrow"/>
        <scheme val="minor"/>
      </rPr>
      <t xml:space="preserve">"penaltyAmount_MoneyObject": {
    "amount": </t>
    </r>
    <r>
      <rPr>
        <b/>
        <sz val="12"/>
        <color rgb="FF000000"/>
        <rFont val="Aptos Narrow"/>
        <scheme val="minor"/>
      </rPr>
      <t xml:space="preserve">{{Paid Amount for Penalty 
</t>
    </r>
    <r>
      <rPr>
        <sz val="12"/>
        <color rgb="FF000000"/>
        <rFont val="Aptos Narrow"/>
        <scheme val="minor"/>
      </rPr>
      <t xml:space="preserve">    "currencyCode": "UZS"
  },</t>
    </r>
  </si>
  <si>
    <r>
      <rPr>
        <sz val="12"/>
        <color rgb="FF000000"/>
        <rFont val="Calibri"/>
        <family val="2"/>
      </rPr>
      <t xml:space="preserve">  "principalAmount_MoneyObject": {
    "amount": </t>
    </r>
    <r>
      <rPr>
        <b/>
        <sz val="12"/>
        <color rgb="FF000000"/>
        <rFont val="Calibri"/>
        <family val="2"/>
      </rPr>
      <t xml:space="preserve">{{Paid Amount for Principal (Overdue Principal + 0.01 UZS) </t>
    </r>
    <r>
      <rPr>
        <sz val="12"/>
        <color rgb="FF000000"/>
        <rFont val="Calibri"/>
        <family val="2"/>
      </rPr>
      <t>,
    "currencyCode": "UZS"
  },</t>
    </r>
  </si>
  <si>
    <r>
      <rPr>
        <b/>
        <sz val="16"/>
        <color rgb="FF000000"/>
        <rFont val="Aptos Narrow"/>
        <scheme val="minor"/>
      </rPr>
      <t xml:space="preserve">Case 1: Customer has 2 months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Penalty + Overdue Interest + Overdue Principal</t>
    </r>
  </si>
  <si>
    <r>
      <rPr>
        <b/>
        <sz val="16"/>
        <color rgb="FF000000"/>
        <rFont val="Aptos Narrow"/>
        <scheme val="minor"/>
      </rPr>
      <t xml:space="preserve">Case 1: Customer has 2 months </t>
    </r>
    <r>
      <rPr>
        <b/>
        <sz val="16"/>
        <color rgb="FFC00000"/>
        <rFont val="Aptos Narrow"/>
        <scheme val="minor"/>
      </rPr>
      <t>Overdue Loan</t>
    </r>
    <r>
      <rPr>
        <b/>
        <sz val="16"/>
        <color rgb="FF000000"/>
        <rFont val="Aptos Narrow"/>
        <scheme val="minor"/>
      </rPr>
      <t xml:space="preserve">, which has </t>
    </r>
    <r>
      <rPr>
        <b/>
        <sz val="16"/>
        <color rgb="FFC00000"/>
        <rFont val="Aptos Narrow"/>
        <scheme val="minor"/>
      </rPr>
      <t>Payment Day</t>
    </r>
    <r>
      <rPr>
        <b/>
        <sz val="16"/>
        <color rgb="FF000000"/>
        <rFont val="Aptos Narrow"/>
        <scheme val="minor"/>
      </rPr>
      <t xml:space="preserve">. </t>
    </r>
    <r>
      <rPr>
        <b/>
        <sz val="16"/>
        <color rgb="FFC00000"/>
        <rFont val="Aptos Narrow"/>
        <scheme val="minor"/>
      </rPr>
      <t>FIXED FEE IS ACCRUED</t>
    </r>
    <r>
      <rPr>
        <b/>
        <sz val="16"/>
        <color rgb="FF000000"/>
        <rFont val="Aptos Narrow"/>
        <scheme val="minor"/>
      </rPr>
      <t xml:space="preserve">. Customer pays </t>
    </r>
    <r>
      <rPr>
        <b/>
        <sz val="16"/>
        <color rgb="FFC00000"/>
        <rFont val="Aptos Narrow"/>
        <scheme val="minor"/>
      </rPr>
      <t>Part of Overdue Loan with Collection</t>
    </r>
    <r>
      <rPr>
        <b/>
        <sz val="16"/>
        <color rgb="FF000000"/>
        <rFont val="Aptos Narrow"/>
        <scheme val="minor"/>
      </rPr>
      <t>: amount should be less then Penalty + Overdue Interest + Overdue Principal: Penalty + Overdue Interest + Overdue Principal - 0.01 UZS</t>
    </r>
  </si>
  <si>
    <t>After Repayment</t>
  </si>
  <si>
    <t>Overdue Components</t>
  </si>
  <si>
    <t>Valus</t>
  </si>
  <si>
    <t>Rates</t>
  </si>
  <si>
    <t>Values after Calculation</t>
  </si>
  <si>
    <t>Mambu Values After Repayment</t>
  </si>
  <si>
    <t>Overdue Components after Repayment</t>
  </si>
  <si>
    <t>Penalty (Enter Data)</t>
  </si>
  <si>
    <t>Penalty Due</t>
  </si>
  <si>
    <t>Overdue Interest (Enter Data)</t>
  </si>
  <si>
    <t xml:space="preserve">Interest Due </t>
  </si>
  <si>
    <t>Overdue Principal (Enter Data)</t>
  </si>
  <si>
    <t>Principal Due</t>
  </si>
  <si>
    <t>აქ არ ითვალისწინება Fee, ამიტომ, ამ ფორმულაში ფი არსად ჩასვათ. ამ ჯამში შედის მხოლოდ დარიცხული ჯარიმა, პროცენტი და ძირი</t>
  </si>
  <si>
    <t>Sum of Overdue</t>
  </si>
  <si>
    <t>Principal Balance</t>
  </si>
  <si>
    <t>Due Interest</t>
  </si>
  <si>
    <t xml:space="preserve">Total Due </t>
  </si>
  <si>
    <t xml:space="preserve">Due Principal </t>
  </si>
  <si>
    <t>Remaining Principal (Enter Principal Balance value from Mambu)</t>
  </si>
  <si>
    <t>აქ არ ითვალისწინება Fee, ამიტომ, ამ ფორმულაში გადასახდელი თანხა ყოველთვის ჩასვით ფის გარეშე</t>
  </si>
  <si>
    <t>Requested Repayment Amount</t>
  </si>
  <si>
    <t>აქ არ ითვალისწინება Fee, ამიტომ, ამ ფორმულაში ფი არსად ჩასვათ. ამ ჯამში შედის მხოლოდ დარიცხული ჯარიმა, ვდ. პროცენტი და ვდ. ძირი</t>
  </si>
  <si>
    <t>აქ არ ითვალისწინება Fee, ამიტომ, ამ ფორმულაში გადასახდელი თანხა ყოველთვის ჩასვით ფის გარეშე. მაგ. თუ ფის ჩათვლით დავალიანებაა 150 000 და ე.ი ფის გარეშე გადასახადის 100 000. თუ გიდნათ ისეთი თანხა გადაიხადოთ, რომელიც აჭარბებს ჯარიმის, ვდ პროცენტის და ვდ. ძირის თანხას ამ ფორმულაში ჩასვით Sum of Overdue-ს თანხა და დანარჩენი ზეპირად იანგარიშეთ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</si>
</sst>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4"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Times New Roman"/>
      <family val="1"/>
    </font>
    <font>
      <sz val="12"/>
      <color theme="1"/>
      <name val="Times New Roman"/>
      <family val="1"/>
    </font>
    <font>
      <b/>
      <sz val="14"/>
      <color theme="0"/>
      <name val="Times New Roman"/>
      <family val="1"/>
    </font>
    <font>
      <b/>
      <sz val="14"/>
      <color theme="0"/>
      <name val="Times New Roman"/>
      <family val="1"/>
    </font>
    <font>
      <sz val="14"/>
      <color theme="0"/>
      <name val="Times New Roman"/>
      <family val="1"/>
    </font>
    <font>
      <b/>
      <sz val="12"/>
      <color theme="0"/>
      <name val="Times New Roman"/>
      <family val="1"/>
    </font>
    <font>
      <b/>
      <sz val="12"/>
      <color theme="1"/>
      <name val="Times New Roman"/>
      <family val="1"/>
    </font>
    <font>
      <sz val="12"/>
      <color theme="1"/>
      <name val="Times New Roman"/>
      <family val="1"/>
    </font>
    <font>
      <b/>
      <sz val="12"/>
      <color theme="1"/>
      <name val="Times New Roman"/>
      <family val="1"/>
    </font>
    <font>
      <sz val="20"/>
      <color theme="1"/>
      <name val="Times New Roman"/>
      <family val="1"/>
    </font>
    <font>
      <sz val="10"/>
      <name val="Times New Roman"/>
      <family val="1"/>
    </font>
    <font>
      <sz val="10"/>
      <color theme="0"/>
      <name val="Times New Roman"/>
      <family val="1"/>
    </font>
    <font>
      <b/>
      <sz val="11"/>
      <name val="Times New Roman"/>
      <family val="1"/>
    </font>
    <font>
      <sz val="11"/>
      <name val="Times New Roman"/>
      <family val="1"/>
    </font>
    <font>
      <b/>
      <sz val="12"/>
      <name val="Times New Roman"/>
      <family val="1"/>
    </font>
    <font>
      <b/>
      <sz val="10"/>
      <name val="Times New Roman"/>
      <family val="1"/>
    </font>
    <font>
      <b/>
      <sz val="12"/>
      <name val="Times New Roman"/>
      <family val="1"/>
    </font>
    <font>
      <sz val="12"/>
      <name val="Times New Roman"/>
      <family val="1"/>
    </font>
    <font>
      <b/>
      <sz val="12"/>
      <color rgb="FF000000"/>
      <name val="Times New Roman"/>
      <family val="1"/>
    </font>
    <font>
      <sz val="12"/>
      <color rgb="FF000000"/>
      <name val="Times New Roman"/>
      <family val="1"/>
    </font>
    <font>
      <sz val="12"/>
      <name val="Times New Roman"/>
      <family val="1"/>
    </font>
    <font>
      <b/>
      <sz val="10"/>
      <color rgb="FF000000"/>
      <name val="Times New Roman"/>
      <family val="1"/>
    </font>
    <font>
      <b/>
      <sz val="11"/>
      <name val="Times New Roman"/>
      <family val="1"/>
    </font>
    <font>
      <sz val="11"/>
      <color rgb="FF000000"/>
      <name val="Calibri"/>
      <family val="2"/>
    </font>
    <font>
      <b/>
      <sz val="12"/>
      <color rgb="FF000000"/>
      <name val="Calibri"/>
      <family val="2"/>
    </font>
    <font>
      <b/>
      <sz val="12"/>
      <color theme="1"/>
      <name val="Calibri"/>
      <family val="2"/>
    </font>
    <font>
      <b/>
      <sz val="11"/>
      <color theme="1"/>
      <name val="Calibri"/>
      <family val="2"/>
    </font>
    <font>
      <b/>
      <sz val="14"/>
      <color theme="1"/>
      <name val="Calibri"/>
      <family val="2"/>
    </font>
    <font>
      <b/>
      <sz val="11"/>
      <color rgb="FFFF0000"/>
      <name val="Calibri"/>
      <family val="2"/>
    </font>
    <font>
      <sz val="11"/>
      <color theme="1"/>
      <name val="Calibri"/>
      <family val="2"/>
    </font>
    <font>
      <b/>
      <sz val="11"/>
      <color theme="1"/>
      <name val="Aptos Narrow"/>
      <family val="2"/>
      <scheme val="minor"/>
    </font>
    <font>
      <b/>
      <sz val="11"/>
      <color rgb="FF000000"/>
      <name val="Calibri"/>
      <family val="2"/>
    </font>
    <font>
      <u/>
      <sz val="11"/>
      <color theme="10"/>
      <name val="Times New Roman"/>
      <family val="1"/>
    </font>
    <font>
      <b/>
      <sz val="18"/>
      <color rgb="FF000000"/>
      <name val="Calibri"/>
      <family val="2"/>
    </font>
    <font>
      <b/>
      <sz val="16"/>
      <color theme="1"/>
      <name val="Aptos Narrow"/>
      <family val="2"/>
      <scheme val="minor"/>
    </font>
    <font>
      <b/>
      <sz val="16"/>
      <color rgb="FF000000"/>
      <name val="Aptos Narrow"/>
      <scheme val="minor"/>
    </font>
    <font>
      <b/>
      <sz val="16"/>
      <color rgb="FFC00000"/>
      <name val="Aptos Narrow"/>
      <scheme val="minor"/>
    </font>
    <font>
      <sz val="12"/>
      <color rgb="FF000000"/>
      <name val="Aptos Narrow"/>
      <family val="2"/>
      <scheme val="minor"/>
    </font>
    <font>
      <b/>
      <sz val="12"/>
      <color rgb="FF000000"/>
      <name val="Aptos Narrow"/>
      <scheme val="minor"/>
    </font>
    <font>
      <sz val="12"/>
      <color rgb="FF000000"/>
      <name val="Aptos Narrow"/>
      <scheme val="minor"/>
    </font>
    <font>
      <b/>
      <sz val="12"/>
      <color rgb="FF000000"/>
      <name val="Aptos Narrow"/>
      <family val="2"/>
      <scheme val="minor"/>
    </font>
    <font>
      <sz val="12"/>
      <color rgb="FFC00000"/>
      <name val="Aptos Narrow"/>
      <scheme val="minor"/>
    </font>
    <font>
      <sz val="11"/>
      <color rgb="FF000000"/>
      <name val="Aptos Narrow"/>
      <family val="2"/>
      <scheme val="minor"/>
    </font>
    <font>
      <sz val="11"/>
      <color rgb="FF000000"/>
      <name val="Aptos Narrow"/>
      <scheme val="minor"/>
    </font>
    <font>
      <b/>
      <sz val="11"/>
      <color rgb="FF000000"/>
      <name val="Aptos Narrow"/>
      <scheme val="minor"/>
    </font>
    <font>
      <b/>
      <sz val="11"/>
      <color rgb="FFC00000"/>
      <name val="Aptos Narrow"/>
      <scheme val="minor"/>
    </font>
    <font>
      <b/>
      <sz val="12"/>
      <color rgb="FFC00000"/>
      <name val="Aptos Narrow"/>
      <scheme val="minor"/>
    </font>
    <font>
      <sz val="12"/>
      <color rgb="FF000000"/>
      <name val="Aptos Narrow"/>
    </font>
    <font>
      <b/>
      <sz val="12"/>
      <color rgb="FF000000"/>
      <name val="Aptos Narrow"/>
    </font>
    <font>
      <sz val="12"/>
      <color rgb="FF000000"/>
      <name val="Calibri"/>
      <family val="2"/>
    </font>
    <font>
      <b/>
      <sz val="11"/>
      <color rgb="FFC00000"/>
      <name val="Calibri"/>
      <family val="2"/>
    </font>
    <font>
      <b/>
      <sz val="11"/>
      <color rgb="FF000000"/>
      <name val="Aptos Narrow"/>
      <family val="2"/>
      <scheme val="minor"/>
    </font>
    <font>
      <b/>
      <sz val="11"/>
      <color rgb="FFFF0000"/>
      <name val="Aptos Narrow"/>
      <scheme val="minor"/>
    </font>
    <font>
      <b/>
      <u val="double"/>
      <sz val="11"/>
      <color rgb="FFFF0000"/>
      <name val="Aptos Narrow"/>
      <scheme val="minor"/>
    </font>
    <font>
      <sz val="11"/>
      <color rgb="FFFF0000"/>
      <name val="Aptos Narrow"/>
      <scheme val="minor"/>
    </font>
    <font>
      <b/>
      <u/>
      <sz val="11"/>
      <color rgb="FFFF0000"/>
      <name val="Aptos Narrow"/>
      <scheme val="minor"/>
    </font>
    <font>
      <b/>
      <sz val="12"/>
      <color theme="1"/>
      <name val="Aptos Narrow"/>
      <family val="2"/>
      <scheme val="minor"/>
    </font>
    <font>
      <b/>
      <sz val="16"/>
      <color rgb="FF000000"/>
      <name val="Aptos Narrow"/>
      <family val="2"/>
      <scheme val="minor"/>
    </font>
    <font>
      <b/>
      <sz val="11"/>
      <color rgb="FF000000"/>
      <name val="Aptos Narrow"/>
    </font>
    <font>
      <sz val="11"/>
      <color rgb="FF000000"/>
      <name val="Aptos Narrow"/>
    </font>
    <font>
      <b/>
      <sz val="12"/>
      <color rgb="FFFF0000"/>
      <name val="Aptos Narrow"/>
      <scheme val="minor"/>
    </font>
    <font>
      <sz val="12"/>
      <color theme="1"/>
      <name val="Calibri"/>
      <family val="2"/>
    </font>
    <font>
      <sz val="11"/>
      <color rgb="FFC00000"/>
      <name val="Aptos Narrow"/>
      <scheme val="minor"/>
    </font>
    <font>
      <b/>
      <sz val="16"/>
      <color theme="1"/>
      <name val="Aptos Narrow"/>
      <scheme val="minor"/>
    </font>
    <font>
      <sz val="12"/>
      <color rgb="FFC00000"/>
      <name val="Calibri"/>
      <family val="2"/>
    </font>
    <font>
      <sz val="18"/>
      <color theme="1"/>
      <name val="Aptos Narrow"/>
      <family val="2"/>
      <scheme val="minor"/>
    </font>
    <font>
      <b/>
      <sz val="14"/>
      <color theme="1"/>
      <name val="Aptos Narrow"/>
      <family val="2"/>
      <scheme val="minor"/>
    </font>
    <font>
      <sz val="14"/>
      <color theme="1"/>
      <name val="Aptos Narrow"/>
      <family val="2"/>
      <scheme val="minor"/>
    </font>
    <font>
      <b/>
      <sz val="12"/>
      <color rgb="FFFF0000"/>
      <name val="Calibri"/>
      <family val="2"/>
    </font>
    <font>
      <b/>
      <sz val="16"/>
      <color rgb="FF0D0D0D"/>
      <name val="Aptos Narrow"/>
      <scheme val="minor"/>
    </font>
    <font>
      <sz val="11"/>
      <color rgb="FF0D0D0D"/>
      <name val="Aptos Narrow"/>
      <scheme val="minor"/>
    </font>
    <font>
      <b/>
      <u val="double"/>
      <sz val="11"/>
      <color rgb="FFFF0000"/>
      <name val="Aptos Narrow"/>
      <family val="2"/>
      <scheme val="minor"/>
    </font>
    <font>
      <b/>
      <u val="double"/>
      <sz val="11"/>
      <color rgb="FF000000"/>
      <name val="Aptos Narrow"/>
      <scheme val="minor"/>
    </font>
    <font>
      <b/>
      <sz val="12"/>
      <color theme="1"/>
      <name val="Aptos Narrow"/>
      <scheme val="minor"/>
    </font>
    <font>
      <b/>
      <sz val="12"/>
      <color rgb="FF262626"/>
      <name val="Aptos Narrow"/>
      <scheme val="minor"/>
    </font>
    <font>
      <b/>
      <sz val="14"/>
      <color rgb="FF000000"/>
      <name val="Aptos Narrow"/>
      <family val="2"/>
      <scheme val="minor"/>
    </font>
    <font>
      <b/>
      <sz val="14"/>
      <color rgb="FFC00000"/>
      <name val="Aptos Narrow"/>
      <scheme val="minor"/>
    </font>
    <font>
      <b/>
      <sz val="16"/>
      <color rgb="FFC00000"/>
      <name val="Aptos Narrow"/>
      <family val="2"/>
      <scheme val="minor"/>
    </font>
    <font>
      <sz val="14"/>
      <color rgb="FF000000"/>
      <name val="Aptos Narrow"/>
      <scheme val="minor"/>
    </font>
    <font>
      <b/>
      <sz val="14"/>
      <color rgb="FF000000"/>
      <name val="Aptos Narrow"/>
      <scheme val="minor"/>
    </font>
    <font>
      <sz val="14"/>
      <color rgb="FF000000"/>
      <name val="Aptos Narrow"/>
      <family val="2"/>
      <scheme val="minor"/>
    </font>
    <font>
      <b/>
      <sz val="14"/>
      <color rgb="FFC00000"/>
      <name val="Aptos Narrow"/>
      <family val="2"/>
      <scheme val="minor"/>
    </font>
    <font>
      <sz val="14"/>
      <color rgb="FF000000"/>
      <name val="Lato"/>
      <charset val="1"/>
    </font>
    <font>
      <b/>
      <sz val="14"/>
      <color rgb="FF000000"/>
      <name val="Calibri"/>
      <family val="2"/>
    </font>
    <font>
      <sz val="14"/>
      <color rgb="FF000000"/>
      <name val="Calibri"/>
      <family val="2"/>
    </font>
    <font>
      <b/>
      <sz val="18"/>
      <color rgb="FFC00000"/>
      <name val="Aptos Narrow"/>
      <scheme val="minor"/>
    </font>
    <font>
      <b/>
      <sz val="24"/>
      <color rgb="FFC00000"/>
      <name val="Calibri"/>
      <family val="2"/>
    </font>
    <font>
      <b/>
      <sz val="18"/>
      <color theme="1"/>
      <name val="Aptos Narrow"/>
      <family val="2"/>
      <scheme val="minor"/>
    </font>
    <font>
      <sz val="12"/>
      <color rgb="FF000000"/>
      <name val="Verdana"/>
      <family val="2"/>
    </font>
    <font>
      <b/>
      <sz val="12"/>
      <color rgb="FF000000"/>
      <name val="Verdana"/>
      <family val="2"/>
    </font>
    <font>
      <b/>
      <sz val="12"/>
      <color rgb="FF006400"/>
      <name val="Verdana"/>
      <family val="2"/>
    </font>
  </fonts>
  <fills count="19">
    <fill>
      <patternFill patternType="none"/>
    </fill>
    <fill>
      <patternFill patternType="gray125"/>
    </fill>
    <fill>
      <patternFill patternType="solid">
        <fgColor theme="2"/>
        <bgColor indexed="64"/>
      </patternFill>
    </fill>
    <fill>
      <patternFill patternType="solid">
        <fgColor theme="9"/>
        <bgColor indexed="64"/>
      </patternFill>
    </fill>
    <fill>
      <patternFill patternType="solid">
        <fgColor rgb="FFFF5A61"/>
        <bgColor indexed="64"/>
      </patternFill>
    </fill>
    <fill>
      <patternFill patternType="solid">
        <fgColor indexed="9"/>
        <bgColor indexed="26"/>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0"/>
        <bgColor indexed="64"/>
      </patternFill>
    </fill>
    <fill>
      <patternFill patternType="solid">
        <fgColor rgb="FFFFFF00"/>
        <bgColor indexed="64"/>
      </patternFill>
    </fill>
    <fill>
      <patternFill patternType="solid">
        <fgColor theme="3" tint="0.749992370372631"/>
        <bgColor indexed="64"/>
      </patternFill>
    </fill>
    <fill>
      <patternFill patternType="solid">
        <fgColor theme="0" tint="-0.249977111117893"/>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rgb="FF000000"/>
      </bottom>
      <diagonal/>
    </border>
    <border>
      <left/>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345">
    <xf numFmtId="0" fontId="0" fillId="0" borderId="0" xfId="0"/>
    <xf numFmtId="0" fontId="3" fillId="0" borderId="0" xfId="0" applyFont="1" applyAlignment="1">
      <alignment vertical="center"/>
    </xf>
    <xf numFmtId="0" fontId="3" fillId="0" borderId="0" xfId="0" applyFont="1"/>
    <xf numFmtId="0" fontId="3" fillId="0" borderId="1" xfId="0" applyFont="1" applyBorder="1" applyAlignment="1">
      <alignment vertical="center"/>
    </xf>
    <xf numFmtId="0" fontId="4" fillId="0" borderId="0" xfId="0" applyFont="1" applyAlignment="1">
      <alignment horizontal="center" vertical="center"/>
    </xf>
    <xf numFmtId="0" fontId="3" fillId="0" borderId="1" xfId="0" applyFont="1" applyBorder="1"/>
    <xf numFmtId="0" fontId="4" fillId="0" borderId="1" xfId="0" applyFont="1" applyBorder="1" applyAlignment="1">
      <alignment vertical="center"/>
    </xf>
    <xf numFmtId="0" fontId="0" fillId="0" borderId="1" xfId="0" applyBorder="1"/>
    <xf numFmtId="0" fontId="5" fillId="0" borderId="1" xfId="0"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7" fillId="0" borderId="1" xfId="0" applyFont="1" applyBorder="1" applyAlignment="1">
      <alignment vertical="center"/>
    </xf>
    <xf numFmtId="0" fontId="6" fillId="0" borderId="3" xfId="0" applyFont="1" applyBorder="1" applyAlignment="1">
      <alignment vertical="center"/>
    </xf>
    <xf numFmtId="0" fontId="8" fillId="0" borderId="1"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vertical="center"/>
    </xf>
    <xf numFmtId="0" fontId="4" fillId="0" borderId="3" xfId="0" applyFont="1" applyBorder="1" applyAlignment="1">
      <alignment vertical="center"/>
    </xf>
    <xf numFmtId="0" fontId="11" fillId="0" borderId="1" xfId="0" applyFont="1" applyBorder="1" applyAlignment="1">
      <alignment horizontal="right" vertical="center"/>
    </xf>
    <xf numFmtId="14" fontId="10" fillId="0" borderId="1" xfId="0" applyNumberFormat="1"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 xfId="0" applyFont="1" applyBorder="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2" fillId="0" borderId="1"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14" fillId="3" borderId="4" xfId="0" applyFont="1" applyFill="1" applyBorder="1" applyAlignment="1">
      <alignment vertical="center" wrapText="1"/>
    </xf>
    <xf numFmtId="0" fontId="15" fillId="0" borderId="1" xfId="0" applyFont="1" applyBorder="1" applyAlignment="1">
      <alignment horizontal="center" vertical="center" wrapText="1"/>
    </xf>
    <xf numFmtId="9" fontId="4" fillId="0" borderId="1" xfId="1" applyFont="1" applyBorder="1" applyAlignment="1">
      <alignment horizontal="center" vertical="center"/>
    </xf>
    <xf numFmtId="10" fontId="4" fillId="0" borderId="1" xfId="1" applyNumberFormat="1" applyFont="1" applyBorder="1" applyAlignment="1">
      <alignment horizontal="center" vertical="center"/>
    </xf>
    <xf numFmtId="10" fontId="4" fillId="0" borderId="2" xfId="1" applyNumberFormat="1" applyFont="1" applyBorder="1" applyAlignment="1">
      <alignment horizontal="center" vertical="center"/>
    </xf>
    <xf numFmtId="0" fontId="14" fillId="4" borderId="4" xfId="0" applyFont="1" applyFill="1" applyBorder="1" applyAlignment="1">
      <alignment vertical="center" wrapText="1"/>
    </xf>
    <xf numFmtId="0" fontId="16" fillId="5" borderId="1" xfId="0" applyFont="1" applyFill="1" applyBorder="1" applyAlignment="1">
      <alignment horizontal="center" vertical="center" wrapText="1"/>
    </xf>
    <xf numFmtId="0" fontId="13" fillId="0" borderId="4" xfId="0" applyFont="1" applyBorder="1" applyAlignment="1">
      <alignment horizontal="left" vertical="center" wrapText="1"/>
    </xf>
    <xf numFmtId="0" fontId="17" fillId="6" borderId="1" xfId="0" applyFont="1" applyFill="1" applyBorder="1" applyAlignment="1">
      <alignment horizontal="center" vertical="center" wrapText="1"/>
    </xf>
    <xf numFmtId="2" fontId="4" fillId="0" borderId="1" xfId="0" applyNumberFormat="1" applyFont="1" applyBorder="1" applyAlignment="1">
      <alignment horizontal="center" vertical="center"/>
    </xf>
    <xf numFmtId="2" fontId="4" fillId="0" borderId="2" xfId="0" applyNumberFormat="1" applyFont="1" applyBorder="1" applyAlignment="1">
      <alignment horizontal="center" vertical="center"/>
    </xf>
    <xf numFmtId="0" fontId="18" fillId="0" borderId="1" xfId="0" applyFont="1" applyBorder="1" applyAlignment="1">
      <alignment vertical="center" wrapText="1"/>
    </xf>
    <xf numFmtId="0" fontId="18" fillId="0" borderId="1" xfId="0" applyFont="1" applyBorder="1" applyAlignment="1">
      <alignment horizontal="left" vertical="center" wrapText="1"/>
    </xf>
    <xf numFmtId="0" fontId="17" fillId="0" borderId="1" xfId="0" applyFont="1" applyBorder="1" applyAlignment="1">
      <alignment horizontal="center" vertical="center" wrapText="1"/>
    </xf>
    <xf numFmtId="0" fontId="4" fillId="0" borderId="2" xfId="0" applyFont="1" applyBorder="1" applyAlignment="1">
      <alignment vertical="center"/>
    </xf>
    <xf numFmtId="0" fontId="10" fillId="0" borderId="1" xfId="0" applyFont="1" applyBorder="1" applyAlignment="1">
      <alignment vertical="center"/>
    </xf>
    <xf numFmtId="0" fontId="10" fillId="0" borderId="1" xfId="0" applyFont="1" applyBorder="1" applyAlignment="1">
      <alignment vertical="center" wrapText="1"/>
    </xf>
    <xf numFmtId="0" fontId="19" fillId="2" borderId="3" xfId="0" applyFont="1" applyFill="1" applyBorder="1" applyAlignment="1">
      <alignment horizontal="center" vertical="center" wrapText="1"/>
    </xf>
    <xf numFmtId="0" fontId="24" fillId="13" borderId="5" xfId="0" applyFont="1" applyFill="1" applyBorder="1" applyAlignment="1">
      <alignment horizontal="center" vertical="center" wrapText="1" readingOrder="1"/>
    </xf>
    <xf numFmtId="0" fontId="25" fillId="13" borderId="5" xfId="0" applyFont="1" applyFill="1" applyBorder="1" applyAlignment="1">
      <alignment horizontal="center" vertical="center" wrapText="1"/>
    </xf>
    <xf numFmtId="0" fontId="24" fillId="13" borderId="7" xfId="0" applyFont="1" applyFill="1" applyBorder="1" applyAlignment="1">
      <alignment horizontal="center" vertical="center" wrapText="1" readingOrder="1"/>
    </xf>
    <xf numFmtId="0" fontId="19" fillId="13" borderId="5"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0"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22" fillId="0" borderId="1" xfId="0" applyFont="1" applyBorder="1" applyAlignment="1">
      <alignment horizontal="center" vertical="center"/>
    </xf>
    <xf numFmtId="0" fontId="4" fillId="0" borderId="3" xfId="0" applyFont="1" applyBorder="1" applyAlignment="1">
      <alignment horizontal="center" vertical="center"/>
    </xf>
    <xf numFmtId="0" fontId="19" fillId="0" borderId="3" xfId="0" applyFont="1" applyBorder="1" applyAlignment="1">
      <alignment horizontal="center" vertical="center" wrapText="1"/>
    </xf>
    <xf numFmtId="0" fontId="4" fillId="0" borderId="3" xfId="0" applyFont="1" applyBorder="1" applyAlignment="1">
      <alignment horizontal="center" vertical="center" wrapText="1"/>
    </xf>
    <xf numFmtId="0" fontId="23" fillId="0" borderId="3" xfId="0"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center" vertical="center"/>
    </xf>
    <xf numFmtId="0" fontId="4" fillId="0" borderId="5" xfId="0" applyFont="1" applyBorder="1" applyAlignment="1">
      <alignment horizontal="center" vertical="center"/>
    </xf>
    <xf numFmtId="0" fontId="33" fillId="0" borderId="1" xfId="0" applyFont="1" applyBorder="1" applyAlignment="1">
      <alignment horizontal="center"/>
    </xf>
    <xf numFmtId="0" fontId="0" fillId="0" borderId="3" xfId="0" applyBorder="1" applyAlignment="1">
      <alignment horizontal="center"/>
    </xf>
    <xf numFmtId="0" fontId="4" fillId="0" borderId="8" xfId="0" applyFont="1" applyBorder="1" applyAlignment="1">
      <alignment horizontal="center" vertical="center"/>
    </xf>
    <xf numFmtId="0" fontId="4" fillId="15" borderId="1" xfId="0" applyFont="1" applyFill="1" applyBorder="1" applyAlignment="1">
      <alignment horizontal="center" vertical="center"/>
    </xf>
    <xf numFmtId="0" fontId="10" fillId="0" borderId="1" xfId="0" applyFont="1" applyBorder="1" applyAlignment="1">
      <alignment horizontal="center" vertical="top" readingOrder="1"/>
    </xf>
    <xf numFmtId="0" fontId="22" fillId="0" borderId="1" xfId="0" applyFont="1" applyBorder="1" applyAlignment="1">
      <alignment horizontal="center" vertical="center" wrapText="1" readingOrder="1"/>
    </xf>
    <xf numFmtId="0" fontId="22" fillId="0" borderId="2" xfId="0" applyFont="1" applyBorder="1" applyAlignment="1">
      <alignment horizontal="center" vertical="top" wrapText="1" readingOrder="1"/>
    </xf>
    <xf numFmtId="0" fontId="22" fillId="0" borderId="3" xfId="0" applyFont="1" applyBorder="1" applyAlignment="1">
      <alignment horizontal="center" vertical="center" wrapText="1" readingOrder="1"/>
    </xf>
    <xf numFmtId="0" fontId="22" fillId="0" borderId="1" xfId="0" applyFont="1" applyBorder="1" applyAlignment="1">
      <alignment horizontal="center" vertical="top" wrapText="1" readingOrder="1"/>
    </xf>
    <xf numFmtId="0" fontId="4" fillId="0" borderId="3" xfId="0" applyFont="1" applyBorder="1" applyAlignment="1">
      <alignment horizontal="center" vertical="top" wrapText="1"/>
    </xf>
    <xf numFmtId="0" fontId="35" fillId="0" borderId="1" xfId="2" applyFont="1" applyBorder="1" applyAlignment="1">
      <alignment horizontal="center" vertical="top" wrapText="1"/>
    </xf>
    <xf numFmtId="0" fontId="4" fillId="0" borderId="9" xfId="0" applyFont="1" applyBorder="1" applyAlignment="1">
      <alignment vertical="center"/>
    </xf>
    <xf numFmtId="0" fontId="4" fillId="0" borderId="4" xfId="0" applyFont="1" applyBorder="1" applyAlignment="1">
      <alignment vertical="center"/>
    </xf>
    <xf numFmtId="0" fontId="35" fillId="0" borderId="9" xfId="2" applyFont="1" applyBorder="1" applyAlignment="1">
      <alignment vertical="center"/>
    </xf>
    <xf numFmtId="0" fontId="35" fillId="0" borderId="4" xfId="2" applyFont="1" applyBorder="1" applyAlignment="1">
      <alignment vertical="center"/>
    </xf>
    <xf numFmtId="0" fontId="4" fillId="0" borderId="2"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vertical="center" wrapText="1"/>
    </xf>
    <xf numFmtId="0" fontId="4" fillId="0" borderId="1" xfId="0" applyFont="1" applyBorder="1" applyAlignment="1">
      <alignment vertical="center" wrapText="1"/>
    </xf>
    <xf numFmtId="0" fontId="10" fillId="0" borderId="8" xfId="0" applyFont="1" applyBorder="1" applyAlignment="1">
      <alignment horizontal="center" vertical="top" readingOrder="1"/>
    </xf>
    <xf numFmtId="0" fontId="22" fillId="0" borderId="10" xfId="0" applyFont="1" applyBorder="1" applyAlignment="1">
      <alignment horizontal="center" vertical="center" wrapText="1" readingOrder="1"/>
    </xf>
    <xf numFmtId="0" fontId="22" fillId="0" borderId="12" xfId="0" applyFont="1" applyBorder="1" applyAlignment="1">
      <alignment horizontal="center" vertical="center" wrapText="1" readingOrder="1"/>
    </xf>
    <xf numFmtId="0" fontId="4" fillId="0" borderId="10" xfId="0" applyFont="1" applyBorder="1" applyAlignment="1">
      <alignment horizontal="center" vertical="center" wrapText="1" readingOrder="1"/>
    </xf>
    <xf numFmtId="0" fontId="22" fillId="0" borderId="10" xfId="0" applyFont="1" applyBorder="1" applyAlignment="1">
      <alignment horizontal="center" vertical="top" wrapText="1" readingOrder="1"/>
    </xf>
    <xf numFmtId="0" fontId="4" fillId="0" borderId="11" xfId="0" applyFont="1" applyBorder="1" applyAlignment="1">
      <alignment vertical="center" wrapText="1"/>
    </xf>
    <xf numFmtId="0" fontId="4" fillId="0" borderId="10" xfId="0" applyFont="1" applyBorder="1" applyAlignment="1">
      <alignment vertical="center" wrapText="1"/>
    </xf>
    <xf numFmtId="0" fontId="22" fillId="0" borderId="4" xfId="0" applyFont="1" applyBorder="1" applyAlignment="1">
      <alignment horizontal="center" vertical="center" wrapText="1" readingOrder="1"/>
    </xf>
    <xf numFmtId="0" fontId="4" fillId="0" borderId="4" xfId="0" applyFont="1" applyBorder="1" applyAlignment="1">
      <alignment horizontal="center" vertical="center" wrapText="1"/>
    </xf>
    <xf numFmtId="0" fontId="22" fillId="0" borderId="14" xfId="0" applyFont="1" applyBorder="1" applyAlignment="1">
      <alignment horizontal="center" vertical="top" wrapText="1" readingOrder="1"/>
    </xf>
    <xf numFmtId="0" fontId="22" fillId="0" borderId="9"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22" fillId="0" borderId="4" xfId="0" applyFont="1" applyBorder="1" applyAlignment="1">
      <alignment horizontal="center" vertical="top" wrapText="1" readingOrder="1"/>
    </xf>
    <xf numFmtId="0" fontId="4" fillId="0" borderId="14" xfId="0" applyFont="1" applyBorder="1" applyAlignment="1">
      <alignment vertical="center" wrapText="1"/>
    </xf>
    <xf numFmtId="0" fontId="4" fillId="0" borderId="9" xfId="0" applyFont="1" applyBorder="1" applyAlignment="1">
      <alignment vertical="center" wrapText="1"/>
    </xf>
    <xf numFmtId="0" fontId="4" fillId="0" borderId="4" xfId="0" applyFont="1" applyBorder="1" applyAlignment="1">
      <alignment vertical="center" wrapText="1"/>
    </xf>
    <xf numFmtId="0" fontId="4" fillId="0" borderId="14" xfId="0" applyFont="1" applyBorder="1" applyAlignment="1">
      <alignment horizontal="left" vertical="top" wrapText="1"/>
    </xf>
    <xf numFmtId="0" fontId="4" fillId="0" borderId="14" xfId="0" applyFont="1" applyBorder="1" applyAlignment="1">
      <alignment vertical="center"/>
    </xf>
    <xf numFmtId="0" fontId="4" fillId="0" borderId="14" xfId="0" applyFont="1" applyBorder="1" applyAlignment="1">
      <alignment horizontal="center" vertical="center" wrapText="1"/>
    </xf>
    <xf numFmtId="0" fontId="4" fillId="0" borderId="9" xfId="0" applyFont="1" applyBorder="1" applyAlignment="1">
      <alignment horizontal="center" vertical="center" wrapText="1"/>
    </xf>
    <xf numFmtId="0" fontId="10" fillId="0" borderId="2" xfId="0" applyFont="1" applyBorder="1" applyAlignment="1">
      <alignment horizontal="center" vertical="top" wrapText="1"/>
    </xf>
    <xf numFmtId="0" fontId="4" fillId="0" borderId="4" xfId="0" applyFont="1" applyBorder="1" applyAlignment="1">
      <alignment horizontal="left" vertical="top" wrapText="1"/>
    </xf>
    <xf numFmtId="0" fontId="4" fillId="0" borderId="14" xfId="0" applyFont="1" applyBorder="1" applyAlignment="1">
      <alignment horizontal="left" vertical="center" wrapText="1"/>
    </xf>
    <xf numFmtId="0" fontId="4" fillId="0" borderId="9" xfId="0" applyFont="1" applyBorder="1" applyAlignment="1">
      <alignment horizontal="left" vertical="center" wrapText="1"/>
    </xf>
    <xf numFmtId="0" fontId="4" fillId="0" borderId="4" xfId="0" applyFont="1" applyBorder="1" applyAlignment="1">
      <alignment horizontal="left" vertical="center" wrapText="1"/>
    </xf>
    <xf numFmtId="0" fontId="4" fillId="0" borderId="14" xfId="0" applyFont="1" applyBorder="1" applyAlignment="1">
      <alignment horizontal="center" vertical="top" wrapText="1"/>
    </xf>
    <xf numFmtId="0" fontId="4" fillId="0" borderId="4" xfId="0" applyFont="1" applyBorder="1" applyAlignment="1">
      <alignment horizontal="center" vertical="center"/>
    </xf>
    <xf numFmtId="0" fontId="4" fillId="0" borderId="15" xfId="0" applyFont="1" applyBorder="1" applyAlignment="1">
      <alignment horizontal="center" vertical="center" wrapText="1"/>
    </xf>
    <xf numFmtId="0" fontId="4" fillId="0" borderId="0" xfId="0" applyFont="1" applyAlignment="1">
      <alignment vertical="center"/>
    </xf>
    <xf numFmtId="0" fontId="22" fillId="0" borderId="0" xfId="0" applyFont="1"/>
    <xf numFmtId="9" fontId="4" fillId="0" borderId="4" xfId="0" applyNumberFormat="1" applyFont="1" applyBorder="1" applyAlignment="1">
      <alignment horizontal="center" vertical="center" wrapText="1" readingOrder="1"/>
    </xf>
    <xf numFmtId="0" fontId="4" fillId="0" borderId="4" xfId="0" applyFont="1" applyBorder="1" applyAlignment="1">
      <alignment horizontal="center" vertical="top" wrapText="1"/>
    </xf>
    <xf numFmtId="0" fontId="4" fillId="0" borderId="9" xfId="0" applyFont="1" applyBorder="1" applyAlignment="1">
      <alignment horizontal="center" vertical="center" wrapText="1" readingOrder="1"/>
    </xf>
    <xf numFmtId="0" fontId="10" fillId="0" borderId="5" xfId="0" applyFont="1" applyBorder="1" applyAlignment="1">
      <alignment vertical="center"/>
    </xf>
    <xf numFmtId="0" fontId="10" fillId="0" borderId="8" xfId="0" applyFont="1" applyBorder="1" applyAlignment="1">
      <alignment vertical="center"/>
    </xf>
    <xf numFmtId="0" fontId="36" fillId="14" borderId="1" xfId="0" applyFont="1" applyFill="1" applyBorder="1" applyAlignment="1">
      <alignment horizontal="left" wrapText="1"/>
    </xf>
    <xf numFmtId="0" fontId="37" fillId="14" borderId="1" xfId="0" applyFont="1" applyFill="1" applyBorder="1" applyAlignment="1">
      <alignment vertical="center" wrapText="1"/>
    </xf>
    <xf numFmtId="0" fontId="40" fillId="14" borderId="1" xfId="0" applyFont="1" applyFill="1" applyBorder="1" applyAlignment="1">
      <alignment vertical="center" wrapText="1"/>
    </xf>
    <xf numFmtId="0" fontId="43" fillId="14" borderId="1" xfId="0" applyFont="1" applyFill="1" applyBorder="1" applyAlignment="1">
      <alignment vertical="center" wrapText="1"/>
    </xf>
    <xf numFmtId="0" fontId="9" fillId="14" borderId="1" xfId="0" applyFont="1" applyFill="1" applyBorder="1" applyAlignment="1">
      <alignment vertical="center" wrapText="1" readingOrder="1"/>
    </xf>
    <xf numFmtId="0" fontId="45" fillId="0" borderId="1" xfId="0" applyFont="1" applyBorder="1" applyAlignment="1">
      <alignment vertical="center" wrapText="1"/>
    </xf>
    <xf numFmtId="0" fontId="40" fillId="0" borderId="1" xfId="0" applyFont="1" applyBorder="1" applyAlignment="1">
      <alignment vertical="center" wrapText="1"/>
    </xf>
    <xf numFmtId="0" fontId="28" fillId="14" borderId="1" xfId="0" applyFont="1" applyFill="1" applyBorder="1" applyAlignment="1">
      <alignment vertical="center" wrapText="1"/>
    </xf>
    <xf numFmtId="0" fontId="50" fillId="15" borderId="1" xfId="0" applyFont="1" applyFill="1" applyBorder="1" applyAlignment="1">
      <alignment horizontal="right" vertical="center" wrapText="1"/>
    </xf>
    <xf numFmtId="0" fontId="52" fillId="0" borderId="1" xfId="0" applyFont="1" applyBorder="1" applyAlignment="1">
      <alignment horizontal="right" vertical="center" wrapText="1"/>
    </xf>
    <xf numFmtId="0" fontId="0" fillId="0" borderId="1" xfId="0" applyBorder="1" applyAlignment="1">
      <alignment horizontal="right" vertical="center" wrapText="1" readingOrder="1"/>
    </xf>
    <xf numFmtId="0" fontId="32" fillId="0" borderId="1" xfId="0" applyFont="1" applyBorder="1" applyAlignment="1">
      <alignment horizontal="right" vertical="center" wrapText="1" readingOrder="1"/>
    </xf>
    <xf numFmtId="0" fontId="45" fillId="0" borderId="0" xfId="0" applyFont="1" applyAlignment="1">
      <alignment horizontal="right" wrapText="1"/>
    </xf>
    <xf numFmtId="0" fontId="40" fillId="0" borderId="1" xfId="0" applyFont="1" applyBorder="1" applyAlignment="1">
      <alignment horizontal="right" vertical="center" wrapText="1"/>
    </xf>
    <xf numFmtId="0" fontId="43" fillId="0" borderId="1" xfId="0" applyFont="1" applyBorder="1" applyAlignment="1">
      <alignment horizontal="right" vertical="center" wrapText="1"/>
    </xf>
    <xf numFmtId="0" fontId="54" fillId="14" borderId="1" xfId="0" applyFont="1" applyFill="1" applyBorder="1" applyAlignment="1">
      <alignment horizontal="left" vertical="center" wrapText="1"/>
    </xf>
    <xf numFmtId="0" fontId="29" fillId="0" borderId="1" xfId="0" applyFont="1" applyBorder="1" applyAlignment="1">
      <alignment horizontal="right" wrapText="1"/>
    </xf>
    <xf numFmtId="0" fontId="54" fillId="0" borderId="1" xfId="0" applyFont="1" applyBorder="1" applyAlignment="1">
      <alignment horizontal="right" wrapText="1"/>
    </xf>
    <xf numFmtId="0" fontId="45" fillId="0" borderId="1" xfId="0" applyFont="1" applyBorder="1" applyAlignment="1">
      <alignment horizontal="right" wrapText="1"/>
    </xf>
    <xf numFmtId="0" fontId="26" fillId="0" borderId="1" xfId="0" applyFont="1" applyBorder="1" applyAlignment="1">
      <alignment horizontal="right" wrapText="1"/>
    </xf>
    <xf numFmtId="0" fontId="43" fillId="0" borderId="1" xfId="0" applyFont="1" applyBorder="1" applyAlignment="1">
      <alignment vertical="center" wrapText="1"/>
    </xf>
    <xf numFmtId="0" fontId="59" fillId="0" borderId="1" xfId="0" applyFont="1" applyBorder="1" applyAlignment="1">
      <alignment horizontal="right" wrapText="1"/>
    </xf>
    <xf numFmtId="0" fontId="43" fillId="0" borderId="1" xfId="0" applyFont="1" applyBorder="1" applyAlignment="1">
      <alignment horizontal="right" wrapText="1"/>
    </xf>
    <xf numFmtId="0" fontId="60" fillId="14" borderId="1" xfId="0" applyFont="1" applyFill="1" applyBorder="1" applyAlignment="1">
      <alignment wrapText="1"/>
    </xf>
    <xf numFmtId="0" fontId="30" fillId="14" borderId="1" xfId="0" applyFont="1" applyFill="1" applyBorder="1" applyAlignment="1">
      <alignment horizontal="left" wrapText="1"/>
    </xf>
    <xf numFmtId="0" fontId="34" fillId="14" borderId="10" xfId="0" applyFont="1" applyFill="1" applyBorder="1" applyAlignment="1">
      <alignment wrapText="1"/>
    </xf>
    <xf numFmtId="0" fontId="26" fillId="0" borderId="4" xfId="0" applyFont="1" applyBorder="1" applyAlignment="1">
      <alignment horizontal="right" wrapText="1"/>
    </xf>
    <xf numFmtId="0" fontId="34" fillId="0" borderId="4" xfId="0" applyFont="1" applyBorder="1" applyAlignment="1">
      <alignment horizontal="right" wrapText="1"/>
    </xf>
    <xf numFmtId="0" fontId="34" fillId="14" borderId="4" xfId="0" applyFont="1" applyFill="1" applyBorder="1" applyAlignment="1">
      <alignment wrapText="1"/>
    </xf>
    <xf numFmtId="0" fontId="27" fillId="0" borderId="4" xfId="0" applyFont="1" applyBorder="1" applyAlignment="1">
      <alignment horizontal="right" wrapText="1"/>
    </xf>
    <xf numFmtId="0" fontId="61" fillId="0" borderId="4" xfId="0" applyFont="1" applyBorder="1" applyAlignment="1">
      <alignment horizontal="right" wrapText="1"/>
    </xf>
    <xf numFmtId="0" fontId="34" fillId="14" borderId="4" xfId="0" applyFont="1" applyFill="1" applyBorder="1" applyAlignment="1">
      <alignment horizontal="left" wrapText="1"/>
    </xf>
    <xf numFmtId="0" fontId="34" fillId="14" borderId="1" xfId="0" applyFont="1" applyFill="1" applyBorder="1" applyAlignment="1">
      <alignment horizontal="left" wrapText="1"/>
    </xf>
    <xf numFmtId="0" fontId="52" fillId="0" borderId="1" xfId="0" applyFont="1" applyBorder="1" applyAlignment="1">
      <alignment horizontal="right" wrapText="1"/>
    </xf>
    <xf numFmtId="0" fontId="34" fillId="0" borderId="1" xfId="0" applyFont="1" applyBorder="1" applyAlignment="1">
      <alignment horizontal="right" wrapText="1"/>
    </xf>
    <xf numFmtId="0" fontId="52" fillId="0" borderId="1" xfId="0" applyFont="1" applyBorder="1" applyAlignment="1">
      <alignment vertical="center" wrapText="1"/>
    </xf>
    <xf numFmtId="0" fontId="27" fillId="14" borderId="1" xfId="0" applyFont="1" applyFill="1" applyBorder="1" applyAlignment="1">
      <alignment vertical="center" wrapText="1"/>
    </xf>
    <xf numFmtId="0" fontId="64" fillId="0" borderId="1" xfId="0" applyFont="1" applyBorder="1" applyAlignment="1">
      <alignment vertical="center" wrapText="1"/>
    </xf>
    <xf numFmtId="0" fontId="42" fillId="14" borderId="1" xfId="0" applyFont="1" applyFill="1" applyBorder="1" applyAlignment="1">
      <alignment vertical="center" wrapText="1"/>
    </xf>
    <xf numFmtId="0" fontId="46" fillId="0" borderId="1" xfId="0" applyFont="1" applyBorder="1" applyAlignment="1">
      <alignment vertical="center" wrapText="1"/>
    </xf>
    <xf numFmtId="0" fontId="42" fillId="0" borderId="1" xfId="0" applyFont="1" applyBorder="1" applyAlignment="1">
      <alignment vertical="center" wrapText="1"/>
    </xf>
    <xf numFmtId="0" fontId="42" fillId="0" borderId="1" xfId="0" applyFont="1" applyBorder="1" applyAlignment="1">
      <alignment horizontal="right" vertical="center" wrapText="1"/>
    </xf>
    <xf numFmtId="0" fontId="41" fillId="0" borderId="1" xfId="0" applyFont="1" applyBorder="1" applyAlignment="1">
      <alignment horizontal="right" vertical="center" wrapText="1"/>
    </xf>
    <xf numFmtId="0" fontId="41" fillId="0" borderId="1" xfId="0" applyFont="1" applyBorder="1" applyAlignment="1">
      <alignment horizontal="right" wrapText="1"/>
    </xf>
    <xf numFmtId="0" fontId="41" fillId="14" borderId="1" xfId="0" applyFont="1" applyFill="1" applyBorder="1" applyAlignment="1">
      <alignment horizontal="left" vertical="center" wrapText="1"/>
    </xf>
    <xf numFmtId="0" fontId="66" fillId="14" borderId="1" xfId="0" applyFont="1" applyFill="1" applyBorder="1" applyAlignment="1">
      <alignment vertical="center" wrapText="1"/>
    </xf>
    <xf numFmtId="0" fontId="10" fillId="16" borderId="1" xfId="0" applyFont="1" applyFill="1" applyBorder="1" applyAlignment="1">
      <alignment vertical="center"/>
    </xf>
    <xf numFmtId="0" fontId="10" fillId="16" borderId="1" xfId="0" applyFont="1" applyFill="1" applyBorder="1" applyAlignment="1">
      <alignment horizontal="center" vertical="center"/>
    </xf>
    <xf numFmtId="0" fontId="4" fillId="16" borderId="1" xfId="0" applyFont="1" applyFill="1" applyBorder="1" applyAlignment="1">
      <alignment horizontal="center" vertical="center"/>
    </xf>
    <xf numFmtId="0" fontId="42" fillId="13" borderId="1" xfId="0" applyFont="1" applyFill="1" applyBorder="1" applyAlignment="1">
      <alignment vertical="center" wrapText="1"/>
    </xf>
    <xf numFmtId="0" fontId="3" fillId="0" borderId="2" xfId="0" applyFont="1" applyBorder="1" applyAlignment="1">
      <alignment horizontal="center" vertical="center"/>
    </xf>
    <xf numFmtId="0" fontId="41" fillId="14" borderId="1" xfId="0" applyFont="1" applyFill="1" applyBorder="1" applyAlignment="1">
      <alignment vertical="center" wrapText="1"/>
    </xf>
    <xf numFmtId="0" fontId="30" fillId="14" borderId="1" xfId="0" applyFont="1" applyFill="1" applyBorder="1" applyAlignment="1">
      <alignment vertical="center" wrapText="1"/>
    </xf>
    <xf numFmtId="0" fontId="0" fillId="0" borderId="0" xfId="0" applyAlignment="1">
      <alignment wrapText="1"/>
    </xf>
    <xf numFmtId="0" fontId="69" fillId="14" borderId="1" xfId="0" applyFont="1" applyFill="1" applyBorder="1" applyAlignment="1">
      <alignment horizontal="center" vertical="center" wrapText="1"/>
    </xf>
    <xf numFmtId="0" fontId="69" fillId="14" borderId="1" xfId="0" applyFont="1" applyFill="1" applyBorder="1" applyAlignment="1">
      <alignment horizontal="center" vertical="center"/>
    </xf>
    <xf numFmtId="0" fontId="69" fillId="0" borderId="1" xfId="0" applyFont="1" applyBorder="1" applyAlignment="1">
      <alignment horizontal="left" wrapText="1"/>
    </xf>
    <xf numFmtId="4" fontId="70" fillId="0" borderId="1" xfId="0" applyNumberFormat="1" applyFont="1" applyBorder="1"/>
    <xf numFmtId="2" fontId="69" fillId="0" borderId="1" xfId="0" applyNumberFormat="1" applyFont="1" applyBorder="1"/>
    <xf numFmtId="43" fontId="69" fillId="0" borderId="1" xfId="0" applyNumberFormat="1" applyFont="1" applyBorder="1"/>
    <xf numFmtId="0" fontId="69" fillId="0" borderId="1" xfId="0" applyFont="1" applyBorder="1" applyAlignment="1">
      <alignment horizontal="right" wrapText="1"/>
    </xf>
    <xf numFmtId="2" fontId="69" fillId="0" borderId="5" xfId="0" applyNumberFormat="1" applyFont="1" applyBorder="1"/>
    <xf numFmtId="43" fontId="69" fillId="0" borderId="5" xfId="0" applyNumberFormat="1" applyFont="1" applyBorder="1"/>
    <xf numFmtId="0" fontId="69" fillId="0" borderId="5" xfId="0" applyFont="1" applyBorder="1" applyAlignment="1">
      <alignment horizontal="right" wrapText="1"/>
    </xf>
    <xf numFmtId="0" fontId="69" fillId="17" borderId="2" xfId="0" applyFont="1" applyFill="1" applyBorder="1" applyAlignment="1">
      <alignment horizontal="right" wrapText="1"/>
    </xf>
    <xf numFmtId="4" fontId="70" fillId="14" borderId="1" xfId="0" applyNumberFormat="1" applyFont="1" applyFill="1" applyBorder="1"/>
    <xf numFmtId="2" fontId="69" fillId="14" borderId="1" xfId="0" applyNumberFormat="1" applyFont="1" applyFill="1" applyBorder="1"/>
    <xf numFmtId="43" fontId="70" fillId="14" borderId="1" xfId="0" applyNumberFormat="1" applyFont="1" applyFill="1" applyBorder="1"/>
    <xf numFmtId="43" fontId="69" fillId="0" borderId="2" xfId="0" applyNumberFormat="1" applyFont="1" applyBorder="1"/>
    <xf numFmtId="0" fontId="69" fillId="0" borderId="6" xfId="0" applyFont="1" applyBorder="1" applyAlignment="1">
      <alignment wrapText="1"/>
    </xf>
    <xf numFmtId="0" fontId="70" fillId="0" borderId="8" xfId="0" applyFont="1" applyBorder="1"/>
    <xf numFmtId="0" fontId="70" fillId="0" borderId="0" xfId="0" applyFont="1"/>
    <xf numFmtId="0" fontId="69" fillId="0" borderId="2" xfId="0" applyFont="1" applyBorder="1" applyAlignment="1">
      <alignment wrapText="1"/>
    </xf>
    <xf numFmtId="0" fontId="70" fillId="0" borderId="1" xfId="0" applyFont="1" applyBorder="1"/>
    <xf numFmtId="0" fontId="69" fillId="0" borderId="6" xfId="0" applyFont="1" applyBorder="1" applyAlignment="1">
      <alignment vertical="center" wrapText="1"/>
    </xf>
    <xf numFmtId="4" fontId="70" fillId="0" borderId="5" xfId="0" applyNumberFormat="1" applyFont="1" applyBorder="1"/>
    <xf numFmtId="43" fontId="70" fillId="0" borderId="0" xfId="0" applyNumberFormat="1" applyFont="1"/>
    <xf numFmtId="0" fontId="69" fillId="17" borderId="2" xfId="0" applyFont="1" applyFill="1" applyBorder="1" applyAlignment="1">
      <alignment wrapText="1"/>
    </xf>
    <xf numFmtId="0" fontId="66" fillId="0" borderId="1" xfId="0" applyFont="1" applyBorder="1" applyAlignment="1">
      <alignment vertical="center" wrapText="1"/>
    </xf>
    <xf numFmtId="0" fontId="22" fillId="0" borderId="14" xfId="0" applyFont="1" applyBorder="1" applyAlignment="1">
      <alignment horizontal="center" vertical="center" wrapText="1" readingOrder="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46" fillId="0" borderId="0" xfId="0" applyFont="1" applyAlignment="1">
      <alignment horizontal="right" wrapText="1"/>
    </xf>
    <xf numFmtId="0" fontId="39" fillId="14" borderId="1" xfId="0" applyFont="1" applyFill="1" applyBorder="1" applyAlignment="1">
      <alignment vertical="center" wrapText="1"/>
    </xf>
    <xf numFmtId="0" fontId="29" fillId="0" borderId="2" xfId="0" applyFont="1" applyBorder="1" applyAlignment="1">
      <alignment horizontal="right" wrapText="1"/>
    </xf>
    <xf numFmtId="0" fontId="34" fillId="0" borderId="2" xfId="0" applyFont="1" applyBorder="1" applyAlignment="1">
      <alignment horizontal="right" wrapText="1"/>
    </xf>
    <xf numFmtId="0" fontId="26" fillId="0" borderId="2" xfId="0" applyFont="1" applyBorder="1" applyAlignment="1">
      <alignment horizontal="right" wrapText="1"/>
    </xf>
    <xf numFmtId="0" fontId="26" fillId="0" borderId="2" xfId="0" applyFont="1" applyBorder="1" applyAlignment="1">
      <alignment horizontal="right"/>
    </xf>
    <xf numFmtId="0" fontId="46" fillId="0" borderId="2" xfId="0" applyFont="1" applyBorder="1" applyAlignment="1">
      <alignment horizontal="right" wrapText="1"/>
    </xf>
    <xf numFmtId="0" fontId="46" fillId="0" borderId="1" xfId="0" applyFont="1" applyBorder="1" applyAlignment="1">
      <alignment horizontal="right" wrapText="1"/>
    </xf>
    <xf numFmtId="0" fontId="69" fillId="17" borderId="2" xfId="0" applyFont="1" applyFill="1" applyBorder="1" applyAlignment="1">
      <alignment horizontal="center" vertical="center" wrapText="1"/>
    </xf>
    <xf numFmtId="0" fontId="76" fillId="0" borderId="1" xfId="0" applyFont="1" applyBorder="1" applyAlignment="1">
      <alignment horizontal="right" wrapText="1"/>
    </xf>
    <xf numFmtId="0" fontId="4" fillId="0" borderId="17" xfId="0" applyFont="1" applyBorder="1" applyAlignment="1">
      <alignment horizontal="center" vertical="center" wrapText="1"/>
    </xf>
    <xf numFmtId="0" fontId="22" fillId="0" borderId="18" xfId="0" applyFont="1" applyBorder="1" applyAlignment="1">
      <alignment horizontal="center" vertical="center" wrapText="1" readingOrder="1"/>
    </xf>
    <xf numFmtId="0" fontId="4" fillId="0" borderId="19" xfId="0" applyFont="1" applyBorder="1" applyAlignment="1">
      <alignment horizontal="center" vertical="center" wrapText="1"/>
    </xf>
    <xf numFmtId="0" fontId="4" fillId="0" borderId="10" xfId="0" applyFont="1" applyBorder="1" applyAlignment="1">
      <alignment horizontal="center" vertical="center"/>
    </xf>
    <xf numFmtId="0" fontId="4" fillId="0" borderId="10" xfId="0" applyFont="1" applyBorder="1" applyAlignment="1">
      <alignment horizontal="center" vertical="center" wrapText="1"/>
    </xf>
    <xf numFmtId="0" fontId="40" fillId="0" borderId="1" xfId="0" applyFont="1" applyBorder="1" applyAlignment="1">
      <alignment horizontal="left" vertical="center" wrapText="1"/>
    </xf>
    <xf numFmtId="0" fontId="42" fillId="15" borderId="1" xfId="0" applyFont="1" applyFill="1" applyBorder="1" applyAlignment="1">
      <alignment horizontal="right" vertical="center" wrapText="1"/>
    </xf>
    <xf numFmtId="0" fontId="4" fillId="15" borderId="9" xfId="0" applyFont="1" applyFill="1" applyBorder="1" applyAlignment="1">
      <alignment horizontal="center" vertical="center" wrapText="1"/>
    </xf>
    <xf numFmtId="0" fontId="49" fillId="14" borderId="1" xfId="0" applyFont="1" applyFill="1" applyBorder="1" applyAlignment="1">
      <alignment vertical="center" wrapText="1"/>
    </xf>
    <xf numFmtId="0" fontId="78" fillId="13" borderId="1" xfId="0" applyFont="1" applyFill="1" applyBorder="1" applyAlignment="1">
      <alignment wrapText="1"/>
    </xf>
    <xf numFmtId="0" fontId="34" fillId="14" borderId="1" xfId="0" applyFont="1" applyFill="1" applyBorder="1" applyAlignment="1">
      <alignment horizontal="left" vertical="center" wrapText="1" readingOrder="1"/>
    </xf>
    <xf numFmtId="0" fontId="4" fillId="0" borderId="2" xfId="0" applyFont="1" applyBorder="1" applyAlignment="1">
      <alignment horizontal="center" vertical="center" wrapText="1" readingOrder="1"/>
    </xf>
    <xf numFmtId="0" fontId="26" fillId="0" borderId="1" xfId="0" applyFont="1" applyBorder="1" applyAlignment="1">
      <alignment horizontal="right" vertical="center" wrapText="1" readingOrder="1"/>
    </xf>
    <xf numFmtId="0" fontId="78" fillId="13" borderId="1" xfId="0" applyFont="1" applyFill="1" applyBorder="1" applyAlignment="1">
      <alignment vertical="center" wrapText="1"/>
    </xf>
    <xf numFmtId="0" fontId="10" fillId="15" borderId="1" xfId="0" applyFont="1" applyFill="1" applyBorder="1" applyAlignment="1">
      <alignment vertical="center"/>
    </xf>
    <xf numFmtId="0" fontId="80" fillId="14" borderId="1" xfId="0" applyFont="1" applyFill="1" applyBorder="1" applyAlignment="1">
      <alignment vertical="center" wrapText="1"/>
    </xf>
    <xf numFmtId="0" fontId="40" fillId="13" borderId="1" xfId="0" applyFont="1" applyFill="1" applyBorder="1" applyAlignment="1">
      <alignment vertical="center" wrapText="1"/>
    </xf>
    <xf numFmtId="0" fontId="45" fillId="0" borderId="2" xfId="0" applyFont="1" applyBorder="1" applyAlignment="1">
      <alignment horizontal="right" wrapText="1"/>
    </xf>
    <xf numFmtId="0" fontId="2" fillId="0" borderId="1" xfId="2" applyBorder="1" applyAlignment="1">
      <alignment vertical="center"/>
    </xf>
    <xf numFmtId="0" fontId="81" fillId="17" borderId="1" xfId="0" applyFont="1" applyFill="1" applyBorder="1" applyAlignment="1">
      <alignment vertical="center" wrapText="1"/>
    </xf>
    <xf numFmtId="0" fontId="83" fillId="17" borderId="1" xfId="0" applyFont="1" applyFill="1" applyBorder="1" applyAlignment="1">
      <alignment vertical="center" wrapText="1"/>
    </xf>
    <xf numFmtId="0" fontId="43" fillId="14" borderId="1" xfId="0" applyFont="1" applyFill="1" applyBorder="1" applyAlignment="1">
      <alignment horizontal="left" vertical="center" wrapText="1"/>
    </xf>
    <xf numFmtId="0" fontId="43" fillId="15" borderId="1" xfId="0" applyFont="1" applyFill="1" applyBorder="1" applyAlignment="1">
      <alignment vertical="center" wrapText="1"/>
    </xf>
    <xf numFmtId="0" fontId="40" fillId="15" borderId="1" xfId="0" applyFont="1" applyFill="1" applyBorder="1" applyAlignment="1">
      <alignment horizontal="right" vertical="center" wrapText="1"/>
    </xf>
    <xf numFmtId="0" fontId="59" fillId="15" borderId="1" xfId="0" applyFont="1" applyFill="1" applyBorder="1" applyAlignment="1">
      <alignment horizontal="right" wrapText="1"/>
    </xf>
    <xf numFmtId="0" fontId="41" fillId="15" borderId="1" xfId="0" applyFont="1" applyFill="1" applyBorder="1" applyAlignment="1">
      <alignment horizontal="right" wrapText="1"/>
    </xf>
    <xf numFmtId="0" fontId="43" fillId="15" borderId="1" xfId="0" applyFont="1" applyFill="1" applyBorder="1" applyAlignment="1">
      <alignment horizontal="right" wrapText="1"/>
    </xf>
    <xf numFmtId="0" fontId="41" fillId="15" borderId="1" xfId="0" applyFont="1" applyFill="1" applyBorder="1" applyAlignment="1">
      <alignment horizontal="right" vertical="center" wrapText="1"/>
    </xf>
    <xf numFmtId="0" fontId="43" fillId="15" borderId="1" xfId="0" applyFont="1" applyFill="1" applyBorder="1" applyAlignment="1">
      <alignment horizontal="right" vertical="center" wrapText="1"/>
    </xf>
    <xf numFmtId="0" fontId="47" fillId="0" borderId="1" xfId="0" applyFont="1" applyBorder="1" applyAlignment="1">
      <alignment horizontal="right" wrapText="1"/>
    </xf>
    <xf numFmtId="0" fontId="54" fillId="14" borderId="6" xfId="0" applyFont="1" applyFill="1" applyBorder="1" applyAlignment="1">
      <alignment horizontal="left" vertical="center" wrapText="1"/>
    </xf>
    <xf numFmtId="0" fontId="10" fillId="0" borderId="2" xfId="0" applyFont="1" applyBorder="1" applyAlignment="1">
      <alignment horizontal="center" vertical="center"/>
    </xf>
    <xf numFmtId="0" fontId="54" fillId="0" borderId="2" xfId="0" applyFont="1" applyBorder="1" applyAlignment="1">
      <alignment horizontal="right" wrapText="1"/>
    </xf>
    <xf numFmtId="0" fontId="84" fillId="14" borderId="1" xfId="0" applyFont="1" applyFill="1" applyBorder="1" applyAlignment="1">
      <alignment vertical="center" wrapText="1"/>
    </xf>
    <xf numFmtId="0" fontId="69" fillId="0" borderId="1" xfId="0" applyFont="1" applyBorder="1" applyAlignment="1">
      <alignment vertical="center" wrapText="1"/>
    </xf>
    <xf numFmtId="4" fontId="85" fillId="0" borderId="1" xfId="0" applyNumberFormat="1" applyFont="1" applyBorder="1"/>
    <xf numFmtId="0" fontId="70" fillId="0" borderId="5" xfId="0" applyFont="1" applyBorder="1"/>
    <xf numFmtId="0" fontId="69" fillId="17" borderId="13" xfId="0" applyFont="1" applyFill="1" applyBorder="1" applyAlignment="1">
      <alignment wrapText="1"/>
    </xf>
    <xf numFmtId="0" fontId="76" fillId="15" borderId="1" xfId="0" applyFont="1" applyFill="1" applyBorder="1" applyAlignment="1">
      <alignment horizontal="right" wrapText="1"/>
    </xf>
    <xf numFmtId="0" fontId="41" fillId="0" borderId="1" xfId="0" applyFont="1" applyBorder="1" applyAlignment="1">
      <alignment horizontal="left" vertical="center" wrapText="1"/>
    </xf>
    <xf numFmtId="0" fontId="10" fillId="15" borderId="1" xfId="0" applyFont="1" applyFill="1" applyBorder="1" applyAlignment="1">
      <alignment horizontal="center" vertical="center"/>
    </xf>
    <xf numFmtId="0" fontId="43" fillId="0" borderId="1" xfId="0" applyFont="1" applyBorder="1" applyAlignment="1">
      <alignment horizontal="left" vertical="center" wrapText="1"/>
    </xf>
    <xf numFmtId="0" fontId="50" fillId="0" borderId="1" xfId="0" applyFont="1" applyBorder="1" applyAlignment="1">
      <alignment horizontal="right" vertical="center" wrapText="1"/>
    </xf>
    <xf numFmtId="0" fontId="3" fillId="15" borderId="0" xfId="0" applyFont="1" applyFill="1"/>
    <xf numFmtId="0" fontId="3" fillId="15" borderId="1" xfId="0" applyFont="1" applyFill="1" applyBorder="1"/>
    <xf numFmtId="0" fontId="6" fillId="15" borderId="2" xfId="0" applyFont="1" applyFill="1" applyBorder="1" applyAlignment="1">
      <alignment horizontal="center" vertical="center"/>
    </xf>
    <xf numFmtId="0" fontId="6" fillId="15" borderId="1" xfId="0" applyFont="1" applyFill="1" applyBorder="1" applyAlignment="1">
      <alignment horizontal="center" vertical="center"/>
    </xf>
    <xf numFmtId="0" fontId="11" fillId="15" borderId="2" xfId="0" applyFont="1" applyFill="1" applyBorder="1" applyAlignment="1">
      <alignment horizontal="center" vertical="center"/>
    </xf>
    <xf numFmtId="0" fontId="11" fillId="15" borderId="1" xfId="0" applyFont="1" applyFill="1" applyBorder="1" applyAlignment="1">
      <alignment horizontal="center" vertical="center"/>
    </xf>
    <xf numFmtId="0" fontId="4" fillId="15" borderId="2" xfId="0" applyFont="1" applyFill="1" applyBorder="1" applyAlignment="1">
      <alignment horizontal="center" vertical="center"/>
    </xf>
    <xf numFmtId="0" fontId="4" fillId="15" borderId="2" xfId="0" applyFont="1" applyFill="1" applyBorder="1" applyAlignment="1">
      <alignment horizontal="center" vertical="center" wrapText="1"/>
    </xf>
    <xf numFmtId="0" fontId="22" fillId="15"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3" fillId="15" borderId="1" xfId="0" applyFont="1" applyFill="1" applyBorder="1" applyAlignment="1">
      <alignment horizontal="center" vertical="center"/>
    </xf>
    <xf numFmtId="0" fontId="3" fillId="15" borderId="2" xfId="0" applyFont="1" applyFill="1" applyBorder="1" applyAlignment="1">
      <alignment horizontal="center" vertical="center"/>
    </xf>
    <xf numFmtId="0" fontId="3" fillId="15" borderId="1" xfId="0" applyFont="1" applyFill="1" applyBorder="1" applyAlignment="1">
      <alignment horizontal="center"/>
    </xf>
    <xf numFmtId="0" fontId="4" fillId="15" borderId="17" xfId="0" applyFont="1" applyFill="1" applyBorder="1" applyAlignment="1">
      <alignment horizontal="center" vertical="center" wrapText="1"/>
    </xf>
    <xf numFmtId="0" fontId="4" fillId="15" borderId="0" xfId="0" applyFont="1" applyFill="1" applyAlignment="1">
      <alignment horizontal="center" vertical="center"/>
    </xf>
    <xf numFmtId="0" fontId="8" fillId="15" borderId="1" xfId="0" applyFont="1" applyFill="1" applyBorder="1" applyAlignment="1">
      <alignment horizontal="center" vertical="center"/>
    </xf>
    <xf numFmtId="0" fontId="4" fillId="15" borderId="1" xfId="0" applyFont="1" applyFill="1" applyBorder="1" applyAlignment="1">
      <alignment vertical="center"/>
    </xf>
    <xf numFmtId="0" fontId="19" fillId="15" borderId="5"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4" fillId="15" borderId="2" xfId="0" applyFont="1" applyFill="1" applyBorder="1" applyAlignment="1">
      <alignment vertical="center"/>
    </xf>
    <xf numFmtId="0" fontId="10" fillId="16" borderId="8" xfId="0" applyFont="1" applyFill="1" applyBorder="1" applyAlignment="1">
      <alignment horizontal="center" vertical="center"/>
    </xf>
    <xf numFmtId="0" fontId="86" fillId="14" borderId="1" xfId="0" applyFont="1" applyFill="1" applyBorder="1" applyAlignment="1">
      <alignment vertical="center" wrapText="1"/>
    </xf>
    <xf numFmtId="0" fontId="4" fillId="0" borderId="13" xfId="0" applyFont="1" applyBorder="1" applyAlignment="1">
      <alignment vertical="center"/>
    </xf>
    <xf numFmtId="0" fontId="4" fillId="0" borderId="8" xfId="0" applyFont="1" applyBorder="1" applyAlignment="1">
      <alignment vertical="center"/>
    </xf>
    <xf numFmtId="0" fontId="4" fillId="0" borderId="13" xfId="0" applyFont="1" applyBorder="1" applyAlignment="1">
      <alignment horizontal="center" vertical="center"/>
    </xf>
    <xf numFmtId="0" fontId="4" fillId="0" borderId="7" xfId="0" applyFont="1" applyBorder="1" applyAlignment="1">
      <alignment horizontal="center" vertical="center"/>
    </xf>
    <xf numFmtId="0" fontId="64" fillId="0" borderId="5" xfId="0" applyFont="1" applyBorder="1" applyAlignment="1">
      <alignment vertical="center" wrapText="1"/>
    </xf>
    <xf numFmtId="0" fontId="10" fillId="0" borderId="5" xfId="0" applyFont="1" applyBorder="1" applyAlignment="1">
      <alignment horizontal="center" vertical="center"/>
    </xf>
    <xf numFmtId="0" fontId="4" fillId="0" borderId="6" xfId="0" applyFont="1" applyBorder="1" applyAlignment="1">
      <alignment horizontal="center" vertical="center"/>
    </xf>
    <xf numFmtId="0" fontId="3" fillId="0" borderId="5" xfId="0" applyFont="1" applyBorder="1" applyAlignment="1">
      <alignment horizontal="center"/>
    </xf>
    <xf numFmtId="0" fontId="4" fillId="0" borderId="5" xfId="0" applyFont="1" applyBorder="1" applyAlignment="1">
      <alignment vertical="center"/>
    </xf>
    <xf numFmtId="0" fontId="4" fillId="0" borderId="7" xfId="0" applyFont="1" applyBorder="1" applyAlignment="1">
      <alignment vertical="center"/>
    </xf>
    <xf numFmtId="0" fontId="3" fillId="0" borderId="5" xfId="0" applyFont="1" applyBorder="1"/>
    <xf numFmtId="0" fontId="0" fillId="0" borderId="5" xfId="0" applyBorder="1"/>
    <xf numFmtId="0" fontId="10" fillId="0" borderId="8" xfId="0" applyFont="1" applyBorder="1" applyAlignment="1">
      <alignment vertical="center" wrapText="1"/>
    </xf>
    <xf numFmtId="0" fontId="4" fillId="0" borderId="20" xfId="0" applyFont="1" applyBorder="1" applyAlignment="1">
      <alignment horizontal="center" vertical="center"/>
    </xf>
    <xf numFmtId="0" fontId="3" fillId="0" borderId="8" xfId="0" applyFont="1" applyBorder="1"/>
    <xf numFmtId="0" fontId="0" fillId="0" borderId="8" xfId="0" applyBorder="1"/>
    <xf numFmtId="0" fontId="10" fillId="0" borderId="1" xfId="0" applyFont="1" applyBorder="1" applyAlignment="1">
      <alignment horizontal="center" vertical="center" wrapText="1"/>
    </xf>
    <xf numFmtId="43" fontId="69" fillId="0" borderId="0" xfId="0" applyNumberFormat="1" applyFont="1"/>
    <xf numFmtId="0" fontId="69" fillId="0" borderId="0" xfId="0" applyFont="1" applyAlignment="1">
      <alignment horizontal="right" wrapText="1"/>
    </xf>
    <xf numFmtId="2" fontId="69" fillId="0" borderId="2" xfId="0" applyNumberFormat="1" applyFont="1" applyBorder="1"/>
    <xf numFmtId="2" fontId="69" fillId="0" borderId="6" xfId="0" applyNumberFormat="1" applyFont="1" applyBorder="1"/>
    <xf numFmtId="2" fontId="69" fillId="14" borderId="2" xfId="0" applyNumberFormat="1" applyFont="1" applyFill="1" applyBorder="1"/>
    <xf numFmtId="0" fontId="69" fillId="14" borderId="5" xfId="0" applyFont="1" applyFill="1" applyBorder="1" applyAlignment="1">
      <alignment horizontal="center" vertical="center"/>
    </xf>
    <xf numFmtId="0" fontId="69" fillId="13" borderId="5" xfId="0" applyFont="1" applyFill="1" applyBorder="1" applyAlignment="1">
      <alignment horizontal="center" vertical="center"/>
    </xf>
    <xf numFmtId="0" fontId="69" fillId="13" borderId="5" xfId="0" applyFont="1" applyFill="1" applyBorder="1" applyAlignment="1">
      <alignment horizontal="center" vertical="center" wrapText="1"/>
    </xf>
    <xf numFmtId="0" fontId="10" fillId="0" borderId="1" xfId="0" applyFont="1" applyBorder="1" applyAlignment="1">
      <alignment horizontal="center" vertical="center"/>
    </xf>
    <xf numFmtId="0" fontId="13" fillId="0" borderId="4" xfId="0" applyFont="1" applyBorder="1" applyAlignment="1">
      <alignment vertical="center" wrapText="1"/>
    </xf>
    <xf numFmtId="0" fontId="13" fillId="0" borderId="4" xfId="0" applyFont="1" applyBorder="1" applyAlignment="1">
      <alignment horizontal="left" vertical="center" wrapText="1"/>
    </xf>
    <xf numFmtId="0" fontId="18" fillId="0" borderId="4" xfId="0" applyFont="1" applyBorder="1" applyAlignment="1">
      <alignment horizontal="left" vertical="center" wrapText="1"/>
    </xf>
    <xf numFmtId="0" fontId="15" fillId="2" borderId="1" xfId="0" applyFont="1" applyFill="1" applyBorder="1" applyAlignment="1">
      <alignment vertical="center" wrapText="1"/>
    </xf>
    <xf numFmtId="0" fontId="17" fillId="2" borderId="1" xfId="0" applyFont="1" applyFill="1" applyBorder="1" applyAlignment="1">
      <alignment horizontal="left" vertical="center" wrapText="1"/>
    </xf>
    <xf numFmtId="0" fontId="17" fillId="2" borderId="5"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19" fillId="10" borderId="6"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19" fillId="11" borderId="2" xfId="0" applyFont="1" applyFill="1" applyBorder="1" applyAlignment="1">
      <alignment horizontal="center" vertical="center" wrapText="1"/>
    </xf>
    <xf numFmtId="0" fontId="19" fillId="11" borderId="6"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1" fillId="8"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1" fillId="9" borderId="1" xfId="0" applyFont="1" applyFill="1" applyBorder="1" applyAlignment="1">
      <alignment horizontal="center" vertical="center"/>
    </xf>
    <xf numFmtId="0" fontId="19" fillId="15" borderId="2" xfId="0" applyFont="1" applyFill="1" applyBorder="1" applyAlignment="1">
      <alignment horizontal="center" vertical="center" wrapText="1"/>
    </xf>
    <xf numFmtId="0" fontId="19" fillId="15" borderId="6" xfId="0" applyFont="1" applyFill="1" applyBorder="1" applyAlignment="1">
      <alignment horizontal="center" vertical="center" wrapText="1"/>
    </xf>
    <xf numFmtId="0" fontId="19" fillId="15" borderId="1" xfId="0" applyFont="1" applyFill="1" applyBorder="1" applyAlignment="1">
      <alignment horizontal="center" vertical="center" wrapText="1"/>
    </xf>
    <xf numFmtId="0" fontId="68" fillId="17" borderId="16" xfId="0" applyFont="1" applyFill="1" applyBorder="1" applyAlignment="1">
      <alignment horizontal="center"/>
    </xf>
    <xf numFmtId="0" fontId="90" fillId="18" borderId="16" xfId="0" applyFont="1" applyFill="1" applyBorder="1" applyAlignment="1">
      <alignment horizontal="center"/>
    </xf>
    <xf numFmtId="4" fontId="91" fillId="0" borderId="0" xfId="0" applyNumberFormat="1" applyFont="1"/>
    <xf numFmtId="4" fontId="92" fillId="0" borderId="0" xfId="0" applyNumberFormat="1" applyFont="1"/>
    <xf numFmtId="4" fontId="93" fillId="0" borderId="0" xfId="0" applyNumberFormat="1" applyFont="1"/>
    <xf numFmtId="0" fontId="93" fillId="0" borderId="0" xfId="0" applyFont="1"/>
    <xf numFmtId="0" fontId="91" fillId="0" borderId="0" xfId="0" applyFont="1"/>
  </cellXfs>
  <cellStyles count="3">
    <cellStyle name="Hyperlink" xfId="2" builtinId="8"/>
    <cellStyle name="Normal" xfId="0" builtinId="0"/>
    <cellStyle name="Percent" xfId="1" builtinId="5"/>
  </cellStyles>
  <dxfs count="323">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ill>
        <patternFill>
          <bgColor theme="7" tint="0.79998168889431442"/>
        </patternFill>
      </fill>
    </dxf>
    <dxf>
      <font>
        <color theme="1"/>
      </font>
      <fill>
        <patternFill>
          <bgColor theme="5"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ill>
        <patternFill>
          <bgColor rgb="FFFFC7CE"/>
        </patternFill>
      </fill>
    </dxf>
    <dxf>
      <font>
        <color theme="1"/>
      </font>
      <fill>
        <patternFill>
          <bgColor theme="5" tint="0.79998168889431442"/>
        </patternFill>
      </fill>
    </dxf>
    <dxf>
      <fill>
        <patternFill>
          <bgColor theme="7" tint="0.79998168889431442"/>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ont>
        <color theme="1"/>
      </font>
      <fill>
        <patternFill>
          <bgColor theme="5" tint="0.79998168889431442"/>
        </patternFill>
      </fill>
    </dxf>
    <dxf>
      <font>
        <color theme="1"/>
      </font>
      <fill>
        <patternFill>
          <bgColor theme="5" tint="0.79998168889431442"/>
        </patternFill>
      </fill>
    </dxf>
    <dxf>
      <fill>
        <patternFill>
          <bgColor theme="7" tint="0.79998168889431442"/>
        </patternFill>
      </fill>
    </dxf>
    <dxf>
      <fill>
        <patternFill>
          <bgColor rgb="FFFFC7CE"/>
        </patternFill>
      </fill>
    </dxf>
    <dxf>
      <fill>
        <patternFill>
          <bgColor theme="7" tint="0.79998168889431442"/>
        </patternFill>
      </fill>
    </dxf>
    <dxf>
      <font>
        <color theme="1"/>
      </font>
      <fill>
        <patternFill>
          <bgColor theme="5" tint="0.79998168889431442"/>
        </patternFill>
      </fill>
    </dxf>
    <dxf>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paceneobank.atlassian.net/jira/software/c/projects/HEN/boards/646?selectedIssue=HEN-538" TargetMode="External"/><Relationship Id="rId1" Type="http://schemas.openxmlformats.org/officeDocument/2006/relationships/hyperlink" Target="https://spaceneobank.atlassian.net/jira/software/c/projects/HEN/boards/646?selectedIssue=HEN-5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66"/>
  <sheetViews>
    <sheetView workbookViewId="0">
      <pane xSplit="2" topLeftCell="C1" activePane="topRight" state="frozen"/>
      <selection pane="topRight" activeCell="B36" sqref="B36"/>
    </sheetView>
  </sheetViews>
  <sheetFormatPr baseColWidth="10" defaultColWidth="8.83203125" defaultRowHeight="16" x14ac:dyDescent="0.2"/>
  <cols>
    <col min="1" max="1" width="10.33203125" style="51" customWidth="1"/>
    <col min="2" max="2" width="101.5" style="52" customWidth="1"/>
    <col min="3" max="3" width="21" style="51" customWidth="1"/>
    <col min="4" max="4" width="10.33203125" style="34" customWidth="1"/>
    <col min="5" max="5" width="11.33203125" style="34" customWidth="1"/>
    <col min="6" max="6" width="10.33203125" style="34" customWidth="1"/>
    <col min="7" max="7" width="17.5" style="50" customWidth="1"/>
    <col min="8" max="8" width="41.6640625" style="6" customWidth="1"/>
    <col min="9" max="9" width="11.33203125" style="64" customWidth="1"/>
    <col min="10" max="10" width="11.5" style="34" customWidth="1"/>
    <col min="11" max="11" width="10.33203125" style="34" customWidth="1"/>
    <col min="12" max="12" width="17.5" style="35" customWidth="1"/>
    <col min="13" max="13" width="38.1640625" style="34" customWidth="1"/>
    <col min="14" max="14" width="59.5" style="23" customWidth="1"/>
    <col min="15" max="15" width="81" style="6" customWidth="1"/>
    <col min="16" max="16" width="29.5" style="6" customWidth="1"/>
    <col min="17" max="17" width="24.1640625" style="5" customWidth="1"/>
    <col min="18" max="18" width="39.1640625" style="5" customWidth="1"/>
    <col min="19" max="19" width="35.6640625" style="5" customWidth="1"/>
    <col min="20" max="20" width="36.1640625" style="5" customWidth="1"/>
    <col min="21" max="21" width="9.1640625" style="7" bestFit="1" customWidth="1"/>
    <col min="22" max="22" width="21.6640625" style="7" customWidth="1"/>
    <col min="23" max="23" width="17.5" style="7" customWidth="1"/>
  </cols>
  <sheetData>
    <row r="1" spans="1:19" x14ac:dyDescent="0.2">
      <c r="A1"/>
      <c r="B1"/>
      <c r="C1"/>
      <c r="D1" s="1"/>
      <c r="E1" s="1"/>
      <c r="F1" s="2" t="s">
        <v>0</v>
      </c>
      <c r="G1" s="2"/>
      <c r="H1" s="3"/>
      <c r="I1" s="2"/>
      <c r="J1" s="4"/>
      <c r="K1" s="2"/>
      <c r="L1" s="2"/>
      <c r="M1" s="5"/>
      <c r="N1" s="2"/>
      <c r="O1" s="2"/>
    </row>
    <row r="2" spans="1:19" ht="18" x14ac:dyDescent="0.2">
      <c r="A2" s="8"/>
      <c r="B2" s="9"/>
      <c r="C2" s="10"/>
      <c r="D2" s="11"/>
      <c r="E2" s="11"/>
      <c r="F2" s="11"/>
      <c r="G2" s="12"/>
      <c r="H2" s="13"/>
      <c r="I2" s="14"/>
      <c r="J2" s="15"/>
      <c r="K2" s="11"/>
      <c r="L2" s="12"/>
      <c r="M2" s="11"/>
      <c r="N2" s="16"/>
      <c r="O2" s="17"/>
    </row>
    <row r="3" spans="1:19" x14ac:dyDescent="0.2">
      <c r="A3" s="18" t="s">
        <v>1</v>
      </c>
      <c r="B3" s="311"/>
      <c r="C3" s="311"/>
      <c r="D3" s="20"/>
      <c r="E3" s="20"/>
      <c r="F3" s="20"/>
      <c r="G3" s="21"/>
      <c r="I3" s="22"/>
      <c r="J3" s="20"/>
      <c r="K3" s="20"/>
      <c r="L3" s="21"/>
      <c r="M3" s="20"/>
      <c r="R3" s="24" t="s">
        <v>2</v>
      </c>
      <c r="S3" s="25">
        <v>45586</v>
      </c>
    </row>
    <row r="4" spans="1:19" x14ac:dyDescent="0.2">
      <c r="A4" s="26"/>
      <c r="B4" s="27"/>
      <c r="C4" s="28"/>
      <c r="D4" s="20"/>
      <c r="E4" s="20"/>
      <c r="F4" s="20"/>
      <c r="G4" s="21"/>
      <c r="I4" s="22"/>
      <c r="J4" s="20"/>
      <c r="K4" s="20"/>
      <c r="L4" s="21"/>
      <c r="M4" s="20"/>
      <c r="N4" s="29"/>
      <c r="O4" s="30"/>
    </row>
    <row r="5" spans="1:19" ht="25" x14ac:dyDescent="0.2">
      <c r="A5"/>
      <c r="B5"/>
      <c r="C5"/>
      <c r="D5" s="20"/>
      <c r="E5" s="31" t="s">
        <v>3</v>
      </c>
      <c r="F5" s="31" t="s">
        <v>4</v>
      </c>
      <c r="G5" s="32" t="s">
        <v>5</v>
      </c>
      <c r="H5" s="33"/>
      <c r="I5" s="23"/>
      <c r="K5" s="6"/>
    </row>
    <row r="6" spans="1:19" x14ac:dyDescent="0.2">
      <c r="A6" s="312" t="s">
        <v>6</v>
      </c>
      <c r="B6" s="36" t="s">
        <v>7</v>
      </c>
      <c r="C6" s="37">
        <f>COUNTIF(D16:P1048576,"P")</f>
        <v>1406</v>
      </c>
      <c r="E6" s="38">
        <f>IFERROR(C8/C10,0)</f>
        <v>1</v>
      </c>
      <c r="F6" s="39">
        <f>IFERROR(C6/C8,0)</f>
        <v>0.99857954545454541</v>
      </c>
      <c r="G6" s="40">
        <f>IFERROR(C7/C8,0)</f>
        <v>1.4204545454545455E-3</v>
      </c>
      <c r="I6" s="23"/>
      <c r="K6" s="6"/>
    </row>
    <row r="7" spans="1:19" x14ac:dyDescent="0.2">
      <c r="A7" s="312"/>
      <c r="B7" s="41" t="s">
        <v>8</v>
      </c>
      <c r="C7" s="42">
        <f>COUNTIF(D16:P1048576,"F")</f>
        <v>2</v>
      </c>
      <c r="E7" s="6"/>
      <c r="G7" s="35"/>
      <c r="I7" s="23"/>
      <c r="K7" s="6"/>
    </row>
    <row r="8" spans="1:19" x14ac:dyDescent="0.2">
      <c r="A8" s="312"/>
      <c r="B8" s="43" t="s">
        <v>9</v>
      </c>
      <c r="C8" s="44">
        <f>C6+C7</f>
        <v>1408</v>
      </c>
      <c r="E8" s="6"/>
      <c r="G8" s="35"/>
      <c r="I8" s="23"/>
      <c r="K8" s="6"/>
    </row>
    <row r="9" spans="1:19" x14ac:dyDescent="0.2">
      <c r="A9" s="313" t="s">
        <v>10</v>
      </c>
      <c r="B9" s="313"/>
      <c r="C9" s="42">
        <f>COUNTIF(D16:P1048576,"0")</f>
        <v>0</v>
      </c>
      <c r="E9" s="6"/>
      <c r="F9" s="45"/>
      <c r="G9" s="46"/>
      <c r="I9" s="23"/>
      <c r="K9" s="6"/>
    </row>
    <row r="10" spans="1:19" x14ac:dyDescent="0.2">
      <c r="A10" s="314" t="s">
        <v>11</v>
      </c>
      <c r="B10" s="314"/>
      <c r="C10" s="44">
        <f>SUM(C8:C9)</f>
        <v>1408</v>
      </c>
      <c r="E10" s="6"/>
      <c r="G10" s="35"/>
      <c r="I10" s="23"/>
      <c r="K10" s="6"/>
    </row>
    <row r="11" spans="1:19" x14ac:dyDescent="0.2">
      <c r="A11" s="47"/>
      <c r="B11" s="48"/>
      <c r="C11" s="49"/>
      <c r="D11" s="6"/>
      <c r="F11" s="6"/>
      <c r="I11" s="23"/>
      <c r="K11" s="6"/>
    </row>
    <row r="12" spans="1:19" x14ac:dyDescent="0.2">
      <c r="D12" s="6"/>
      <c r="E12" s="6"/>
      <c r="F12" s="6"/>
      <c r="I12" s="23"/>
      <c r="K12" s="6"/>
    </row>
    <row r="13" spans="1:19" ht="17" x14ac:dyDescent="0.2">
      <c r="A13" s="315" t="s">
        <v>12</v>
      </c>
      <c r="B13" s="316" t="s">
        <v>13</v>
      </c>
      <c r="C13" s="318" t="s">
        <v>14</v>
      </c>
      <c r="D13" s="330" t="s">
        <v>15</v>
      </c>
      <c r="E13" s="330"/>
      <c r="F13" s="330"/>
      <c r="G13" s="330"/>
      <c r="H13" s="330"/>
      <c r="I13" s="331" t="s">
        <v>16</v>
      </c>
      <c r="J13" s="331"/>
      <c r="K13" s="331"/>
      <c r="L13" s="331"/>
      <c r="M13" s="331"/>
      <c r="N13" s="53" t="s">
        <v>17</v>
      </c>
      <c r="O13" s="332" t="s">
        <v>18</v>
      </c>
      <c r="P13" s="334" t="s">
        <v>19</v>
      </c>
      <c r="Q13" s="334"/>
      <c r="R13" s="334"/>
      <c r="S13" s="319" t="s">
        <v>20</v>
      </c>
    </row>
    <row r="14" spans="1:19" x14ac:dyDescent="0.2">
      <c r="A14" s="315"/>
      <c r="B14" s="316"/>
      <c r="C14" s="318"/>
      <c r="D14" s="320" t="s">
        <v>21</v>
      </c>
      <c r="E14" s="320"/>
      <c r="F14" s="320"/>
      <c r="G14" s="321" t="s">
        <v>22</v>
      </c>
      <c r="H14" s="323" t="s">
        <v>23</v>
      </c>
      <c r="I14" s="324" t="s">
        <v>24</v>
      </c>
      <c r="J14" s="325"/>
      <c r="K14" s="325"/>
      <c r="L14" s="326" t="s">
        <v>22</v>
      </c>
      <c r="M14" s="325" t="s">
        <v>23</v>
      </c>
      <c r="N14" s="53"/>
      <c r="O14" s="332"/>
      <c r="P14" s="328" t="s">
        <v>25</v>
      </c>
      <c r="Q14" s="329" t="s">
        <v>22</v>
      </c>
      <c r="R14" s="329" t="s">
        <v>17</v>
      </c>
      <c r="S14" s="319"/>
    </row>
    <row r="15" spans="1:19" ht="17" x14ac:dyDescent="0.2">
      <c r="A15" s="315"/>
      <c r="B15" s="317"/>
      <c r="C15" s="318"/>
      <c r="D15" s="54" t="s">
        <v>26</v>
      </c>
      <c r="E15" s="55" t="s">
        <v>27</v>
      </c>
      <c r="F15" s="55" t="s">
        <v>28</v>
      </c>
      <c r="G15" s="322"/>
      <c r="H15" s="323"/>
      <c r="I15" s="56" t="s">
        <v>26</v>
      </c>
      <c r="J15" s="57" t="s">
        <v>27</v>
      </c>
      <c r="K15" s="55" t="s">
        <v>28</v>
      </c>
      <c r="L15" s="327"/>
      <c r="M15" s="325"/>
      <c r="N15" s="58"/>
      <c r="O15" s="333"/>
      <c r="P15" s="328"/>
      <c r="Q15" s="329"/>
      <c r="R15" s="329"/>
      <c r="S15" s="319"/>
    </row>
    <row r="16" spans="1:19" ht="25" x14ac:dyDescent="0.3">
      <c r="B16" s="125" t="s">
        <v>29</v>
      </c>
      <c r="C16" s="59"/>
      <c r="D16" s="60"/>
      <c r="E16" s="61"/>
      <c r="F16" s="61"/>
      <c r="G16" s="62"/>
      <c r="H16" s="63"/>
      <c r="L16" s="62"/>
      <c r="M16" s="63"/>
      <c r="N16" s="65"/>
    </row>
    <row r="17" spans="2:17" ht="69" x14ac:dyDescent="0.2">
      <c r="B17" s="170" t="s">
        <v>30</v>
      </c>
      <c r="C17" s="19"/>
      <c r="F17" s="35"/>
      <c r="G17" s="62"/>
      <c r="H17" s="61"/>
      <c r="L17" s="62"/>
      <c r="N17" s="67"/>
      <c r="P17" s="66"/>
      <c r="Q17" s="68"/>
    </row>
    <row r="18" spans="2:17" ht="17" x14ac:dyDescent="0.2">
      <c r="B18" s="127" t="s">
        <v>31</v>
      </c>
      <c r="C18" s="19"/>
      <c r="F18" s="35"/>
      <c r="G18" s="62"/>
      <c r="H18" s="61"/>
      <c r="L18" s="62"/>
      <c r="N18" s="67"/>
      <c r="P18" s="66"/>
      <c r="Q18" s="68"/>
    </row>
    <row r="19" spans="2:17" ht="17" x14ac:dyDescent="0.2">
      <c r="B19" s="127" t="s">
        <v>32</v>
      </c>
      <c r="F19" s="35"/>
      <c r="G19" s="62"/>
      <c r="H19" s="61"/>
      <c r="L19" s="62"/>
      <c r="N19" s="67"/>
      <c r="P19" s="23"/>
    </row>
    <row r="20" spans="2:17" ht="17" x14ac:dyDescent="0.2">
      <c r="B20" s="128" t="s">
        <v>33</v>
      </c>
      <c r="G20" s="62"/>
      <c r="H20" s="61"/>
      <c r="L20" s="61"/>
      <c r="M20" s="69"/>
      <c r="N20" s="67"/>
      <c r="P20" s="23"/>
    </row>
    <row r="21" spans="2:17" ht="17" x14ac:dyDescent="0.2">
      <c r="B21" s="127" t="s">
        <v>34</v>
      </c>
      <c r="C21" s="19"/>
      <c r="G21" s="62"/>
      <c r="H21" s="61"/>
      <c r="L21" s="62"/>
      <c r="N21" s="67"/>
      <c r="P21" s="66"/>
      <c r="Q21" s="68"/>
    </row>
    <row r="22" spans="2:17" ht="51" x14ac:dyDescent="0.2">
      <c r="B22" s="163" t="s">
        <v>35</v>
      </c>
      <c r="C22" s="19"/>
      <c r="F22" s="35"/>
      <c r="G22" s="62"/>
      <c r="H22" s="61"/>
      <c r="L22" s="61"/>
      <c r="N22" s="67"/>
      <c r="P22" s="66"/>
      <c r="Q22" s="68"/>
    </row>
    <row r="23" spans="2:17" ht="17" x14ac:dyDescent="0.2">
      <c r="B23" s="129" t="s">
        <v>36</v>
      </c>
      <c r="C23" s="19"/>
      <c r="G23" s="62"/>
      <c r="H23" s="61"/>
      <c r="L23" s="62"/>
      <c r="N23" s="67"/>
      <c r="P23" s="66"/>
      <c r="Q23" s="68"/>
    </row>
    <row r="24" spans="2:17" ht="17" x14ac:dyDescent="0.2">
      <c r="B24" s="129" t="s">
        <v>37</v>
      </c>
      <c r="C24" s="19"/>
      <c r="G24" s="62"/>
      <c r="H24" s="61"/>
      <c r="L24" s="61"/>
      <c r="N24" s="67"/>
      <c r="P24" s="66"/>
      <c r="Q24" s="68"/>
    </row>
    <row r="25" spans="2:17" ht="17" x14ac:dyDescent="0.2">
      <c r="B25" s="128" t="s">
        <v>38</v>
      </c>
      <c r="C25" s="19"/>
      <c r="G25" s="62"/>
      <c r="H25" s="61"/>
      <c r="L25" s="62"/>
      <c r="N25" s="67"/>
      <c r="P25" s="66"/>
      <c r="Q25" s="68"/>
    </row>
    <row r="26" spans="2:17" ht="32" x14ac:dyDescent="0.2">
      <c r="B26" s="164" t="s">
        <v>39</v>
      </c>
      <c r="C26" s="19" t="s">
        <v>40</v>
      </c>
      <c r="F26" s="34" t="s">
        <v>0</v>
      </c>
      <c r="G26" s="62" t="s">
        <v>41</v>
      </c>
      <c r="H26" s="61">
        <v>17786</v>
      </c>
      <c r="L26" s="61"/>
      <c r="M26" s="69"/>
      <c r="N26" s="67" t="s">
        <v>42</v>
      </c>
      <c r="P26" s="66"/>
      <c r="Q26" s="68"/>
    </row>
    <row r="27" spans="2:17" ht="32" x14ac:dyDescent="0.2">
      <c r="B27" s="130" t="s">
        <v>43</v>
      </c>
      <c r="C27" s="19" t="s">
        <v>40</v>
      </c>
      <c r="F27" s="34" t="s">
        <v>0</v>
      </c>
      <c r="G27" s="62" t="s">
        <v>41</v>
      </c>
      <c r="H27" s="61">
        <v>17786</v>
      </c>
      <c r="L27" s="62"/>
      <c r="N27" s="67" t="s">
        <v>42</v>
      </c>
      <c r="P27" s="66"/>
      <c r="Q27" s="68"/>
    </row>
    <row r="28" spans="2:17" ht="17" x14ac:dyDescent="0.2">
      <c r="B28" s="128" t="s">
        <v>44</v>
      </c>
      <c r="C28" s="19"/>
      <c r="G28" s="62"/>
      <c r="H28" s="61"/>
      <c r="L28" s="61"/>
      <c r="M28" s="69"/>
      <c r="N28" s="67" t="s">
        <v>45</v>
      </c>
      <c r="P28" s="66"/>
      <c r="Q28" s="68"/>
    </row>
    <row r="29" spans="2:17" ht="17" x14ac:dyDescent="0.2">
      <c r="B29" s="130" t="s">
        <v>46</v>
      </c>
      <c r="C29" s="19" t="s">
        <v>40</v>
      </c>
      <c r="F29" s="34" t="s">
        <v>0</v>
      </c>
      <c r="G29" s="62" t="s">
        <v>41</v>
      </c>
      <c r="H29" s="61">
        <v>17786</v>
      </c>
      <c r="L29" s="62"/>
      <c r="N29" s="67" t="s">
        <v>42</v>
      </c>
      <c r="P29" s="23"/>
    </row>
    <row r="30" spans="2:17" ht="17" x14ac:dyDescent="0.2">
      <c r="B30" s="128" t="s">
        <v>47</v>
      </c>
      <c r="G30" s="62"/>
      <c r="H30" s="61"/>
      <c r="L30" s="62"/>
      <c r="N30" s="67" t="s">
        <v>45</v>
      </c>
      <c r="P30" s="23"/>
    </row>
    <row r="31" spans="2:17" ht="17" x14ac:dyDescent="0.2">
      <c r="B31" s="131" t="s">
        <v>48</v>
      </c>
      <c r="C31" s="19" t="s">
        <v>40</v>
      </c>
      <c r="F31" s="34" t="s">
        <v>0</v>
      </c>
      <c r="G31" s="62" t="s">
        <v>41</v>
      </c>
      <c r="H31" s="61">
        <v>17786</v>
      </c>
      <c r="L31" s="62"/>
      <c r="N31" s="67" t="s">
        <v>42</v>
      </c>
      <c r="P31" s="23"/>
    </row>
    <row r="32" spans="2:17" ht="17" x14ac:dyDescent="0.2">
      <c r="B32" s="131" t="s">
        <v>49</v>
      </c>
      <c r="C32" s="19" t="s">
        <v>40</v>
      </c>
      <c r="F32" s="34" t="s">
        <v>0</v>
      </c>
      <c r="G32" s="62" t="s">
        <v>41</v>
      </c>
      <c r="H32" s="61">
        <v>17786</v>
      </c>
      <c r="L32" s="61"/>
      <c r="M32" s="69"/>
      <c r="N32" s="67" t="s">
        <v>42</v>
      </c>
      <c r="P32" s="66"/>
      <c r="Q32" s="68"/>
    </row>
    <row r="33" spans="2:17" ht="34" x14ac:dyDescent="0.2">
      <c r="B33" s="131" t="s">
        <v>50</v>
      </c>
      <c r="C33" s="19" t="s">
        <v>40</v>
      </c>
      <c r="F33" s="34" t="s">
        <v>0</v>
      </c>
      <c r="G33" s="62" t="s">
        <v>41</v>
      </c>
      <c r="H33" s="61">
        <v>17786</v>
      </c>
      <c r="L33" s="61"/>
      <c r="M33" s="69"/>
      <c r="N33" s="67" t="s">
        <v>42</v>
      </c>
      <c r="P33" s="66"/>
      <c r="Q33" s="68"/>
    </row>
    <row r="34" spans="2:17" ht="17" x14ac:dyDescent="0.2">
      <c r="B34" s="128" t="s">
        <v>51</v>
      </c>
      <c r="C34" s="19"/>
      <c r="G34" s="62"/>
      <c r="H34" s="61"/>
      <c r="L34" s="62"/>
      <c r="N34" s="67" t="s">
        <v>45</v>
      </c>
      <c r="P34" s="66"/>
      <c r="Q34" s="68"/>
    </row>
    <row r="35" spans="2:17" ht="33" customHeight="1" x14ac:dyDescent="0.2">
      <c r="B35" s="131" t="s">
        <v>52</v>
      </c>
      <c r="C35" s="19" t="s">
        <v>40</v>
      </c>
      <c r="F35" s="34" t="s">
        <v>0</v>
      </c>
      <c r="G35" s="62" t="s">
        <v>41</v>
      </c>
      <c r="H35" s="61">
        <v>17786</v>
      </c>
      <c r="L35" s="62"/>
      <c r="N35" s="67" t="s">
        <v>42</v>
      </c>
      <c r="P35" s="23"/>
    </row>
    <row r="36" spans="2:17" ht="17" x14ac:dyDescent="0.2">
      <c r="B36" s="132" t="s">
        <v>53</v>
      </c>
      <c r="C36" s="19"/>
      <c r="G36" s="62"/>
      <c r="H36" s="61"/>
      <c r="L36" s="62"/>
      <c r="N36" s="67" t="s">
        <v>45</v>
      </c>
      <c r="P36" s="66"/>
      <c r="Q36" s="68"/>
    </row>
    <row r="37" spans="2:17" ht="51" x14ac:dyDescent="0.2">
      <c r="B37" s="133" t="s">
        <v>54</v>
      </c>
      <c r="C37" s="19" t="s">
        <v>40</v>
      </c>
      <c r="F37" s="34" t="s">
        <v>0</v>
      </c>
      <c r="G37" s="62" t="s">
        <v>41</v>
      </c>
      <c r="H37" s="61">
        <v>17786</v>
      </c>
      <c r="L37" s="62"/>
      <c r="N37" s="67" t="s">
        <v>42</v>
      </c>
      <c r="P37" s="66"/>
      <c r="Q37" s="68"/>
    </row>
    <row r="38" spans="2:17" ht="17" x14ac:dyDescent="0.2">
      <c r="B38" s="128" t="s">
        <v>55</v>
      </c>
      <c r="C38" s="19"/>
      <c r="G38" s="62"/>
      <c r="H38" s="61"/>
      <c r="L38" s="61"/>
      <c r="N38" s="67" t="s">
        <v>45</v>
      </c>
      <c r="P38" s="66"/>
      <c r="Q38" s="68"/>
    </row>
    <row r="39" spans="2:17" ht="51" x14ac:dyDescent="0.2">
      <c r="B39" s="134" t="s">
        <v>56</v>
      </c>
      <c r="C39" s="19" t="s">
        <v>57</v>
      </c>
      <c r="F39" s="34" t="s">
        <v>0</v>
      </c>
      <c r="G39" s="62" t="s">
        <v>41</v>
      </c>
      <c r="H39" s="61">
        <v>17786</v>
      </c>
      <c r="L39" s="62"/>
      <c r="N39" s="67" t="s">
        <v>42</v>
      </c>
      <c r="P39" s="66"/>
      <c r="Q39" s="68"/>
    </row>
    <row r="40" spans="2:17" ht="17" x14ac:dyDescent="0.2">
      <c r="B40" s="128" t="s">
        <v>58</v>
      </c>
      <c r="G40" s="62"/>
      <c r="H40" s="61"/>
      <c r="L40" s="62"/>
      <c r="N40" s="67" t="s">
        <v>45</v>
      </c>
      <c r="P40" s="23"/>
    </row>
    <row r="41" spans="2:17" ht="51" x14ac:dyDescent="0.2">
      <c r="B41" s="131" t="s">
        <v>59</v>
      </c>
      <c r="C41" s="19" t="s">
        <v>40</v>
      </c>
      <c r="F41" s="34" t="s">
        <v>0</v>
      </c>
      <c r="G41" s="62" t="s">
        <v>41</v>
      </c>
      <c r="H41" s="61">
        <v>17786</v>
      </c>
      <c r="L41" s="62"/>
      <c r="N41" s="67" t="s">
        <v>42</v>
      </c>
      <c r="P41" s="23"/>
    </row>
    <row r="42" spans="2:17" ht="17" x14ac:dyDescent="0.2">
      <c r="B42" s="132" t="s">
        <v>60</v>
      </c>
      <c r="C42" s="19"/>
      <c r="G42" s="62"/>
      <c r="H42" s="61"/>
      <c r="L42" s="62"/>
      <c r="N42" s="67" t="s">
        <v>45</v>
      </c>
      <c r="P42" s="66"/>
      <c r="Q42" s="68"/>
    </row>
    <row r="43" spans="2:17" ht="17" x14ac:dyDescent="0.2">
      <c r="B43" s="135" t="s">
        <v>61</v>
      </c>
      <c r="C43" s="19" t="s">
        <v>40</v>
      </c>
      <c r="F43" s="34" t="s">
        <v>0</v>
      </c>
      <c r="G43" s="62" t="s">
        <v>41</v>
      </c>
      <c r="H43" s="61">
        <v>17786</v>
      </c>
      <c r="L43" s="62"/>
      <c r="N43" s="67" t="s">
        <v>42</v>
      </c>
      <c r="P43" s="66"/>
      <c r="Q43" s="68"/>
    </row>
    <row r="44" spans="2:17" ht="17" x14ac:dyDescent="0.2">
      <c r="B44" s="136" t="s">
        <v>62</v>
      </c>
      <c r="C44" s="19" t="s">
        <v>40</v>
      </c>
      <c r="F44" s="34" t="s">
        <v>0</v>
      </c>
      <c r="G44" s="62" t="s">
        <v>41</v>
      </c>
      <c r="H44" s="61">
        <v>17786</v>
      </c>
      <c r="L44" s="62"/>
      <c r="N44" s="67" t="s">
        <v>42</v>
      </c>
      <c r="P44" s="23"/>
    </row>
    <row r="45" spans="2:17" ht="96" x14ac:dyDescent="0.2">
      <c r="B45" s="211" t="s">
        <v>63</v>
      </c>
      <c r="C45" s="19" t="s">
        <v>40</v>
      </c>
      <c r="F45" s="34" t="s">
        <v>0</v>
      </c>
      <c r="G45" s="62" t="s">
        <v>41</v>
      </c>
      <c r="H45" s="61">
        <v>17786</v>
      </c>
      <c r="L45" s="62"/>
      <c r="N45" s="67" t="s">
        <v>42</v>
      </c>
      <c r="P45" s="23"/>
    </row>
    <row r="46" spans="2:17" ht="17" x14ac:dyDescent="0.2">
      <c r="B46" s="136" t="s">
        <v>64</v>
      </c>
      <c r="C46" s="19" t="s">
        <v>40</v>
      </c>
      <c r="G46" s="62" t="s">
        <v>41</v>
      </c>
      <c r="H46" s="61">
        <v>17786</v>
      </c>
      <c r="L46" s="62"/>
      <c r="N46" s="67" t="s">
        <v>42</v>
      </c>
      <c r="P46" s="66"/>
      <c r="Q46" s="68"/>
    </row>
    <row r="47" spans="2:17" ht="17" x14ac:dyDescent="0.2">
      <c r="B47" s="128" t="s">
        <v>65</v>
      </c>
      <c r="G47" s="62"/>
      <c r="H47" s="61"/>
      <c r="L47" s="69"/>
      <c r="M47" s="69"/>
      <c r="N47" s="67" t="s">
        <v>45</v>
      </c>
      <c r="P47" s="23"/>
    </row>
    <row r="48" spans="2:17" ht="17" x14ac:dyDescent="0.2">
      <c r="B48" s="174" t="s">
        <v>66</v>
      </c>
      <c r="C48" s="19" t="s">
        <v>40</v>
      </c>
      <c r="F48" s="34" t="s">
        <v>0</v>
      </c>
      <c r="G48" s="62" t="s">
        <v>41</v>
      </c>
      <c r="H48" s="61">
        <v>17786</v>
      </c>
      <c r="L48" s="69"/>
      <c r="N48" s="67" t="s">
        <v>42</v>
      </c>
      <c r="P48" s="23"/>
    </row>
    <row r="49" spans="2:17" ht="17" x14ac:dyDescent="0.2">
      <c r="B49" s="166" t="s">
        <v>67</v>
      </c>
      <c r="C49" s="19" t="s">
        <v>40</v>
      </c>
      <c r="F49" s="34" t="s">
        <v>0</v>
      </c>
      <c r="G49" s="62" t="s">
        <v>41</v>
      </c>
      <c r="H49" s="61">
        <v>17786</v>
      </c>
      <c r="L49" s="69"/>
      <c r="N49" s="67" t="s">
        <v>42</v>
      </c>
      <c r="P49" s="23"/>
    </row>
    <row r="50" spans="2:17" ht="17" x14ac:dyDescent="0.2">
      <c r="B50" s="166" t="s">
        <v>68</v>
      </c>
      <c r="C50" s="19" t="s">
        <v>40</v>
      </c>
      <c r="F50" s="34" t="s">
        <v>0</v>
      </c>
      <c r="G50" s="62" t="s">
        <v>41</v>
      </c>
      <c r="H50" s="61">
        <v>17786</v>
      </c>
      <c r="L50" s="69"/>
      <c r="N50" s="67" t="s">
        <v>42</v>
      </c>
      <c r="P50" s="23"/>
    </row>
    <row r="51" spans="2:17" ht="17" x14ac:dyDescent="0.2">
      <c r="B51" s="166" t="s">
        <v>69</v>
      </c>
      <c r="C51" s="19" t="s">
        <v>40</v>
      </c>
      <c r="F51" s="34" t="s">
        <v>0</v>
      </c>
      <c r="G51" s="62" t="s">
        <v>41</v>
      </c>
      <c r="H51" s="61">
        <v>17786</v>
      </c>
      <c r="L51" s="69"/>
      <c r="N51" s="67" t="s">
        <v>42</v>
      </c>
      <c r="P51" s="66"/>
      <c r="Q51" s="68"/>
    </row>
    <row r="52" spans="2:17" ht="17" x14ac:dyDescent="0.2">
      <c r="B52" s="166" t="s">
        <v>70</v>
      </c>
      <c r="C52" s="19" t="s">
        <v>40</v>
      </c>
      <c r="F52" s="34" t="s">
        <v>0</v>
      </c>
      <c r="G52" s="62" t="s">
        <v>41</v>
      </c>
      <c r="H52" s="61">
        <v>17786</v>
      </c>
      <c r="L52" s="69"/>
      <c r="N52" s="67" t="s">
        <v>42</v>
      </c>
      <c r="P52" s="66"/>
      <c r="Q52" s="68"/>
    </row>
    <row r="53" spans="2:17" ht="17" x14ac:dyDescent="0.2">
      <c r="B53" s="138" t="s">
        <v>71</v>
      </c>
      <c r="C53" s="19" t="s">
        <v>40</v>
      </c>
      <c r="F53" s="34" t="s">
        <v>0</v>
      </c>
      <c r="G53" s="62" t="s">
        <v>41</v>
      </c>
      <c r="H53" s="61">
        <v>17786</v>
      </c>
      <c r="L53" s="62"/>
      <c r="N53" s="67" t="s">
        <v>42</v>
      </c>
      <c r="P53" s="66"/>
      <c r="Q53" s="68"/>
    </row>
    <row r="54" spans="2:17" ht="17" x14ac:dyDescent="0.2">
      <c r="B54" s="139" t="s">
        <v>72</v>
      </c>
      <c r="C54" s="19" t="s">
        <v>40</v>
      </c>
      <c r="F54" s="34" t="s">
        <v>0</v>
      </c>
      <c r="G54" s="62" t="s">
        <v>41</v>
      </c>
      <c r="H54" s="61">
        <v>17786</v>
      </c>
      <c r="L54" s="69"/>
      <c r="N54" s="67" t="s">
        <v>42</v>
      </c>
      <c r="P54" s="66"/>
      <c r="Q54" s="68"/>
    </row>
    <row r="55" spans="2:17" ht="17" x14ac:dyDescent="0.2">
      <c r="B55" s="174" t="s">
        <v>73</v>
      </c>
      <c r="C55" s="19" t="s">
        <v>40</v>
      </c>
      <c r="F55" s="34" t="s">
        <v>0</v>
      </c>
      <c r="G55" s="62" t="s">
        <v>41</v>
      </c>
      <c r="H55" s="61">
        <v>17786</v>
      </c>
      <c r="L55" s="69"/>
      <c r="N55" s="67" t="s">
        <v>42</v>
      </c>
      <c r="P55" s="66"/>
      <c r="Q55" s="68"/>
    </row>
    <row r="56" spans="2:17" ht="17" x14ac:dyDescent="0.2">
      <c r="B56" s="139" t="s">
        <v>74</v>
      </c>
      <c r="C56" s="19" t="s">
        <v>40</v>
      </c>
      <c r="F56" s="34" t="s">
        <v>0</v>
      </c>
      <c r="G56" s="62" t="s">
        <v>41</v>
      </c>
      <c r="H56" s="61">
        <v>17786</v>
      </c>
      <c r="L56" s="62"/>
      <c r="N56" s="67" t="s">
        <v>42</v>
      </c>
      <c r="P56" s="66"/>
      <c r="Q56" s="68"/>
    </row>
    <row r="57" spans="2:17" ht="17" x14ac:dyDescent="0.2">
      <c r="B57" s="139" t="s">
        <v>75</v>
      </c>
      <c r="C57" s="19" t="s">
        <v>40</v>
      </c>
      <c r="F57" s="34" t="s">
        <v>0</v>
      </c>
      <c r="G57" s="62" t="s">
        <v>41</v>
      </c>
      <c r="H57" s="61">
        <v>17786</v>
      </c>
      <c r="L57" s="62"/>
      <c r="N57" s="67" t="s">
        <v>42</v>
      </c>
      <c r="P57" s="66"/>
      <c r="Q57" s="68"/>
    </row>
    <row r="58" spans="2:17" ht="17" x14ac:dyDescent="0.2">
      <c r="B58" s="138" t="s">
        <v>76</v>
      </c>
      <c r="C58" s="19" t="s">
        <v>40</v>
      </c>
      <c r="F58" s="34" t="s">
        <v>0</v>
      </c>
      <c r="G58" s="62" t="s">
        <v>41</v>
      </c>
      <c r="H58" s="61">
        <v>17786</v>
      </c>
      <c r="L58" s="69"/>
      <c r="N58" s="67" t="s">
        <v>42</v>
      </c>
      <c r="P58" s="23"/>
    </row>
    <row r="59" spans="2:17" ht="85" x14ac:dyDescent="0.2">
      <c r="B59" s="138" t="s">
        <v>77</v>
      </c>
      <c r="C59" s="19" t="s">
        <v>40</v>
      </c>
      <c r="F59" s="34" t="s">
        <v>0</v>
      </c>
      <c r="G59" s="62" t="s">
        <v>41</v>
      </c>
      <c r="H59" s="61">
        <v>17786</v>
      </c>
      <c r="L59" s="62"/>
      <c r="N59" s="67" t="s">
        <v>42</v>
      </c>
      <c r="P59" s="66"/>
      <c r="Q59" s="68"/>
    </row>
    <row r="60" spans="2:17" ht="17" x14ac:dyDescent="0.2">
      <c r="B60" s="166" t="s">
        <v>78</v>
      </c>
      <c r="C60" s="19" t="s">
        <v>40</v>
      </c>
      <c r="F60" s="34" t="s">
        <v>0</v>
      </c>
      <c r="G60" s="62" t="s">
        <v>41</v>
      </c>
      <c r="H60" s="61">
        <v>17786</v>
      </c>
      <c r="L60" s="62"/>
      <c r="N60" s="67" t="s">
        <v>42</v>
      </c>
      <c r="P60" s="66"/>
      <c r="Q60" s="68"/>
    </row>
    <row r="61" spans="2:17" ht="17" x14ac:dyDescent="0.2">
      <c r="B61" s="138" t="s">
        <v>79</v>
      </c>
      <c r="C61" s="19" t="s">
        <v>40</v>
      </c>
      <c r="F61" s="34" t="s">
        <v>0</v>
      </c>
      <c r="G61" s="62" t="s">
        <v>41</v>
      </c>
      <c r="H61" s="61">
        <v>17786</v>
      </c>
      <c r="L61" s="62"/>
      <c r="N61" s="67" t="s">
        <v>42</v>
      </c>
      <c r="P61" s="66"/>
      <c r="Q61" s="68"/>
    </row>
    <row r="62" spans="2:17" ht="17" x14ac:dyDescent="0.2">
      <c r="B62" s="138" t="s">
        <v>80</v>
      </c>
      <c r="C62" s="19" t="s">
        <v>40</v>
      </c>
      <c r="F62" s="34" t="s">
        <v>0</v>
      </c>
      <c r="G62" s="62" t="s">
        <v>41</v>
      </c>
      <c r="H62" s="61">
        <v>17786</v>
      </c>
      <c r="L62" s="62"/>
      <c r="N62" s="67" t="s">
        <v>42</v>
      </c>
      <c r="P62" s="66"/>
      <c r="Q62" s="68"/>
    </row>
    <row r="63" spans="2:17" ht="17" x14ac:dyDescent="0.2">
      <c r="B63" s="138" t="s">
        <v>81</v>
      </c>
      <c r="C63" s="19" t="s">
        <v>40</v>
      </c>
      <c r="F63" s="34" t="s">
        <v>0</v>
      </c>
      <c r="G63" s="62" t="s">
        <v>41</v>
      </c>
      <c r="H63" s="61">
        <v>17786</v>
      </c>
      <c r="L63" s="62"/>
      <c r="N63" s="67" t="s">
        <v>42</v>
      </c>
      <c r="P63" s="66"/>
      <c r="Q63" s="68"/>
    </row>
    <row r="64" spans="2:17" ht="17" x14ac:dyDescent="0.2">
      <c r="B64" s="138" t="s">
        <v>82</v>
      </c>
      <c r="C64" s="19" t="s">
        <v>40</v>
      </c>
      <c r="F64" s="34" t="s">
        <v>0</v>
      </c>
      <c r="G64" s="62" t="s">
        <v>41</v>
      </c>
      <c r="H64" s="61">
        <v>17786</v>
      </c>
      <c r="L64" s="62"/>
      <c r="N64" s="67" t="s">
        <v>42</v>
      </c>
      <c r="P64" s="66"/>
      <c r="Q64" s="68"/>
    </row>
    <row r="65" spans="2:17" ht="17" x14ac:dyDescent="0.2">
      <c r="B65" s="138" t="s">
        <v>83</v>
      </c>
      <c r="C65" s="19" t="s">
        <v>40</v>
      </c>
      <c r="F65" s="34" t="s">
        <v>0</v>
      </c>
      <c r="G65" s="62" t="s">
        <v>41</v>
      </c>
      <c r="H65" s="61">
        <v>17786</v>
      </c>
      <c r="L65" s="62"/>
      <c r="N65" s="67" t="s">
        <v>42</v>
      </c>
      <c r="P65" s="66"/>
      <c r="Q65" s="68"/>
    </row>
    <row r="66" spans="2:17" ht="17" x14ac:dyDescent="0.2">
      <c r="B66" s="138" t="s">
        <v>84</v>
      </c>
      <c r="C66" s="19" t="s">
        <v>40</v>
      </c>
      <c r="F66" s="34" t="s">
        <v>0</v>
      </c>
      <c r="G66" s="62" t="s">
        <v>41</v>
      </c>
      <c r="H66" s="61">
        <v>17786</v>
      </c>
      <c r="L66" s="62"/>
      <c r="N66" s="67" t="s">
        <v>42</v>
      </c>
      <c r="P66" s="23"/>
    </row>
    <row r="67" spans="2:17" ht="17" x14ac:dyDescent="0.2">
      <c r="B67" s="139" t="s">
        <v>85</v>
      </c>
      <c r="C67" s="19" t="s">
        <v>40</v>
      </c>
      <c r="F67" s="34" t="s">
        <v>0</v>
      </c>
      <c r="G67" s="62" t="s">
        <v>41</v>
      </c>
      <c r="H67" s="61">
        <v>17786</v>
      </c>
      <c r="L67" s="62"/>
      <c r="N67" s="67" t="s">
        <v>42</v>
      </c>
      <c r="P67" s="23"/>
    </row>
    <row r="68" spans="2:17" ht="17" x14ac:dyDescent="0.2">
      <c r="B68" s="140" t="s">
        <v>86</v>
      </c>
      <c r="G68" s="62"/>
      <c r="H68" s="61"/>
      <c r="L68" s="69"/>
      <c r="N68" s="67" t="s">
        <v>45</v>
      </c>
      <c r="P68" s="23"/>
    </row>
    <row r="69" spans="2:17" ht="17" x14ac:dyDescent="0.2">
      <c r="B69" s="141" t="s">
        <v>87</v>
      </c>
      <c r="C69" s="19" t="s">
        <v>40</v>
      </c>
      <c r="F69" s="34" t="s">
        <v>0</v>
      </c>
      <c r="G69" s="62" t="s">
        <v>41</v>
      </c>
      <c r="H69" s="61">
        <v>17786</v>
      </c>
      <c r="L69" s="62"/>
      <c r="N69" s="67" t="s">
        <v>42</v>
      </c>
      <c r="P69" s="23"/>
    </row>
    <row r="70" spans="2:17" ht="32" x14ac:dyDescent="0.2">
      <c r="B70" s="140" t="s">
        <v>88</v>
      </c>
      <c r="C70" s="19"/>
      <c r="G70" s="62"/>
      <c r="H70" s="61"/>
      <c r="L70" s="62"/>
      <c r="N70" s="67" t="s">
        <v>45</v>
      </c>
      <c r="P70" s="66"/>
      <c r="Q70" s="68"/>
    </row>
    <row r="71" spans="2:17" ht="32" x14ac:dyDescent="0.2">
      <c r="B71" s="142" t="s">
        <v>89</v>
      </c>
      <c r="C71" s="19" t="s">
        <v>40</v>
      </c>
      <c r="F71" s="34" t="s">
        <v>0</v>
      </c>
      <c r="G71" s="62" t="s">
        <v>41</v>
      </c>
      <c r="H71" s="61">
        <v>17786</v>
      </c>
      <c r="L71" s="62"/>
      <c r="N71" s="67" t="s">
        <v>42</v>
      </c>
      <c r="P71" s="66"/>
      <c r="Q71" s="68"/>
    </row>
    <row r="72" spans="2:17" ht="17" x14ac:dyDescent="0.2">
      <c r="B72" s="140" t="s">
        <v>90</v>
      </c>
      <c r="C72" s="19"/>
      <c r="G72" s="62"/>
      <c r="H72" s="61"/>
      <c r="L72" s="62"/>
      <c r="N72" s="67" t="s">
        <v>45</v>
      </c>
      <c r="P72" s="66"/>
      <c r="Q72" s="68"/>
    </row>
    <row r="73" spans="2:17" ht="32" x14ac:dyDescent="0.2">
      <c r="B73" s="142" t="s">
        <v>91</v>
      </c>
      <c r="C73" s="19" t="s">
        <v>40</v>
      </c>
      <c r="F73" s="34" t="s">
        <v>92</v>
      </c>
      <c r="G73" s="62" t="s">
        <v>41</v>
      </c>
      <c r="H73" s="61">
        <v>17786</v>
      </c>
      <c r="L73" s="62"/>
      <c r="N73" s="67" t="s">
        <v>42</v>
      </c>
      <c r="P73" s="66"/>
      <c r="Q73" s="68"/>
    </row>
    <row r="74" spans="2:17" ht="17" x14ac:dyDescent="0.2">
      <c r="B74" s="140" t="s">
        <v>93</v>
      </c>
      <c r="C74" s="19"/>
      <c r="G74" s="62"/>
      <c r="H74" s="61"/>
      <c r="L74" s="69"/>
      <c r="N74" s="67" t="s">
        <v>45</v>
      </c>
      <c r="P74" s="66"/>
      <c r="Q74" s="68"/>
    </row>
    <row r="75" spans="2:17" ht="32" x14ac:dyDescent="0.2">
      <c r="B75" s="142" t="s">
        <v>94</v>
      </c>
      <c r="C75" s="19" t="s">
        <v>40</v>
      </c>
      <c r="F75" s="34" t="s">
        <v>92</v>
      </c>
      <c r="G75" s="62" t="s">
        <v>41</v>
      </c>
      <c r="H75" s="61">
        <v>17786</v>
      </c>
      <c r="L75" s="62"/>
      <c r="N75" s="67" t="s">
        <v>42</v>
      </c>
      <c r="P75" s="66"/>
      <c r="Q75" s="68"/>
    </row>
    <row r="76" spans="2:17" ht="48" x14ac:dyDescent="0.2">
      <c r="B76" s="143" t="s">
        <v>95</v>
      </c>
      <c r="C76" s="19" t="s">
        <v>40</v>
      </c>
      <c r="F76" s="34" t="s">
        <v>92</v>
      </c>
      <c r="G76" s="62" t="s">
        <v>41</v>
      </c>
      <c r="H76" s="61">
        <v>17786</v>
      </c>
      <c r="L76" s="62"/>
      <c r="N76" s="67" t="s">
        <v>42</v>
      </c>
      <c r="P76" s="66"/>
      <c r="Q76" s="68"/>
    </row>
    <row r="77" spans="2:17" ht="17" x14ac:dyDescent="0.2">
      <c r="B77" s="144" t="s">
        <v>96</v>
      </c>
      <c r="C77" s="19" t="s">
        <v>40</v>
      </c>
      <c r="F77" s="34" t="s">
        <v>92</v>
      </c>
      <c r="G77" s="62" t="s">
        <v>41</v>
      </c>
      <c r="H77" s="61">
        <v>17786</v>
      </c>
      <c r="L77" s="62"/>
      <c r="N77" s="67" t="s">
        <v>42</v>
      </c>
      <c r="P77" s="66"/>
      <c r="Q77" s="68"/>
    </row>
    <row r="78" spans="2:17" ht="32" x14ac:dyDescent="0.2">
      <c r="B78" s="143" t="s">
        <v>97</v>
      </c>
      <c r="C78" s="19" t="s">
        <v>40</v>
      </c>
      <c r="F78" s="61" t="s">
        <v>92</v>
      </c>
      <c r="G78" s="62" t="s">
        <v>41</v>
      </c>
      <c r="H78" s="61">
        <v>17786</v>
      </c>
      <c r="L78" s="62"/>
      <c r="N78" s="67" t="s">
        <v>42</v>
      </c>
      <c r="P78" s="23"/>
    </row>
    <row r="79" spans="2:17" ht="17" x14ac:dyDescent="0.2">
      <c r="B79" s="142" t="s">
        <v>98</v>
      </c>
      <c r="C79" s="19" t="s">
        <v>40</v>
      </c>
      <c r="F79" s="6" t="s">
        <v>92</v>
      </c>
      <c r="G79" s="62" t="s">
        <v>41</v>
      </c>
      <c r="H79" s="61">
        <v>17786</v>
      </c>
      <c r="L79" s="69"/>
      <c r="N79" s="67" t="s">
        <v>42</v>
      </c>
      <c r="P79" s="23"/>
    </row>
    <row r="80" spans="2:17" ht="17" x14ac:dyDescent="0.2">
      <c r="B80" s="144" t="s">
        <v>99</v>
      </c>
      <c r="C80" s="19" t="s">
        <v>40</v>
      </c>
      <c r="F80" s="34" t="s">
        <v>92</v>
      </c>
      <c r="G80" s="62" t="s">
        <v>41</v>
      </c>
      <c r="H80" s="61">
        <v>17786</v>
      </c>
      <c r="L80" s="62"/>
      <c r="N80" s="67" t="s">
        <v>42</v>
      </c>
      <c r="P80" s="23"/>
    </row>
    <row r="81" spans="2:17" ht="17" x14ac:dyDescent="0.2">
      <c r="B81" s="143" t="s">
        <v>100</v>
      </c>
      <c r="C81" s="19" t="s">
        <v>40</v>
      </c>
      <c r="F81" s="34" t="s">
        <v>92</v>
      </c>
      <c r="G81" s="62" t="s">
        <v>41</v>
      </c>
      <c r="H81" s="61">
        <v>17786</v>
      </c>
      <c r="L81" s="62"/>
      <c r="N81" s="67" t="s">
        <v>42</v>
      </c>
      <c r="P81" s="23"/>
    </row>
    <row r="82" spans="2:17" ht="17" x14ac:dyDescent="0.2">
      <c r="B82" s="140" t="s">
        <v>101</v>
      </c>
      <c r="G82" s="62"/>
      <c r="H82" s="61"/>
      <c r="L82" s="62"/>
      <c r="N82" s="67" t="s">
        <v>45</v>
      </c>
      <c r="P82" s="23"/>
    </row>
    <row r="83" spans="2:17" ht="17" x14ac:dyDescent="0.2">
      <c r="B83" s="141" t="s">
        <v>87</v>
      </c>
      <c r="C83" s="19" t="s">
        <v>40</v>
      </c>
      <c r="F83" s="34" t="s">
        <v>0</v>
      </c>
      <c r="G83" s="62" t="s">
        <v>41</v>
      </c>
      <c r="H83" s="61">
        <v>17786</v>
      </c>
      <c r="L83" s="62"/>
      <c r="N83" s="67" t="s">
        <v>42</v>
      </c>
      <c r="P83" s="66"/>
      <c r="Q83" s="68"/>
    </row>
    <row r="84" spans="2:17" ht="32" x14ac:dyDescent="0.2">
      <c r="B84" s="142" t="s">
        <v>102</v>
      </c>
      <c r="C84" s="19" t="s">
        <v>40</v>
      </c>
      <c r="F84" s="34" t="s">
        <v>0</v>
      </c>
      <c r="G84" s="62" t="s">
        <v>41</v>
      </c>
      <c r="H84" s="61">
        <v>17786</v>
      </c>
      <c r="L84" s="62"/>
      <c r="N84" s="67" t="s">
        <v>42</v>
      </c>
      <c r="P84" s="66"/>
      <c r="Q84" s="68"/>
    </row>
    <row r="85" spans="2:17" ht="48" x14ac:dyDescent="0.2">
      <c r="B85" s="143" t="s">
        <v>103</v>
      </c>
      <c r="C85" s="19" t="s">
        <v>40</v>
      </c>
      <c r="F85" s="34" t="s">
        <v>0</v>
      </c>
      <c r="G85" s="62" t="s">
        <v>41</v>
      </c>
      <c r="H85" s="61">
        <v>17786</v>
      </c>
      <c r="L85" s="62"/>
      <c r="N85" s="67" t="s">
        <v>42</v>
      </c>
      <c r="P85" s="23"/>
    </row>
    <row r="86" spans="2:17" ht="17" x14ac:dyDescent="0.2">
      <c r="B86" s="144" t="s">
        <v>96</v>
      </c>
      <c r="C86" s="19" t="s">
        <v>40</v>
      </c>
      <c r="F86" s="34" t="s">
        <v>0</v>
      </c>
      <c r="G86" s="62" t="s">
        <v>41</v>
      </c>
      <c r="H86" s="61">
        <v>17786</v>
      </c>
      <c r="L86" s="69"/>
      <c r="N86" s="67" t="s">
        <v>42</v>
      </c>
      <c r="P86" s="23"/>
    </row>
    <row r="87" spans="2:17" ht="32" x14ac:dyDescent="0.2">
      <c r="B87" s="143" t="s">
        <v>104</v>
      </c>
      <c r="C87" s="19" t="s">
        <v>40</v>
      </c>
      <c r="F87" s="34" t="s">
        <v>0</v>
      </c>
      <c r="G87" s="62" t="s">
        <v>41</v>
      </c>
      <c r="H87" s="61">
        <v>17786</v>
      </c>
      <c r="L87" s="62"/>
      <c r="N87" s="67" t="s">
        <v>42</v>
      </c>
      <c r="P87" s="64"/>
      <c r="Q87" s="68"/>
    </row>
    <row r="88" spans="2:17" ht="32" x14ac:dyDescent="0.2">
      <c r="B88" s="142" t="s">
        <v>105</v>
      </c>
      <c r="C88" s="19" t="s">
        <v>40</v>
      </c>
      <c r="F88" s="34" t="s">
        <v>0</v>
      </c>
      <c r="G88" s="62" t="s">
        <v>41</v>
      </c>
      <c r="H88" s="61">
        <v>17786</v>
      </c>
      <c r="L88" s="69"/>
      <c r="N88" s="67" t="s">
        <v>42</v>
      </c>
      <c r="P88" s="23"/>
    </row>
    <row r="89" spans="2:17" ht="17" x14ac:dyDescent="0.2">
      <c r="B89" s="144" t="s">
        <v>99</v>
      </c>
      <c r="C89" s="19" t="s">
        <v>40</v>
      </c>
      <c r="F89" s="34" t="s">
        <v>0</v>
      </c>
      <c r="G89" s="62" t="s">
        <v>41</v>
      </c>
      <c r="H89" s="61">
        <v>17786</v>
      </c>
      <c r="L89" s="62"/>
      <c r="N89" s="67" t="s">
        <v>42</v>
      </c>
      <c r="P89" s="23"/>
    </row>
    <row r="90" spans="2:17" ht="17" x14ac:dyDescent="0.2">
      <c r="B90" s="143" t="s">
        <v>106</v>
      </c>
      <c r="C90" s="19" t="s">
        <v>40</v>
      </c>
      <c r="F90" s="34" t="s">
        <v>0</v>
      </c>
      <c r="G90" s="62" t="s">
        <v>41</v>
      </c>
      <c r="H90" s="61">
        <v>17786</v>
      </c>
      <c r="L90" s="69"/>
      <c r="N90" s="67" t="s">
        <v>42</v>
      </c>
      <c r="P90" s="23"/>
    </row>
    <row r="91" spans="2:17" ht="17" x14ac:dyDescent="0.2">
      <c r="B91" s="140" t="s">
        <v>107</v>
      </c>
      <c r="G91" s="62"/>
      <c r="H91" s="61"/>
      <c r="L91" s="69"/>
      <c r="N91" s="67" t="s">
        <v>45</v>
      </c>
      <c r="P91" s="23"/>
    </row>
    <row r="92" spans="2:17" ht="17" x14ac:dyDescent="0.2">
      <c r="B92" s="141" t="s">
        <v>87</v>
      </c>
      <c r="C92" s="19" t="s">
        <v>40</v>
      </c>
      <c r="F92" s="34" t="s">
        <v>0</v>
      </c>
      <c r="G92" s="62" t="s">
        <v>41</v>
      </c>
      <c r="H92" s="61">
        <v>17786</v>
      </c>
      <c r="L92" s="62"/>
      <c r="N92" s="67" t="s">
        <v>42</v>
      </c>
      <c r="P92" s="23"/>
    </row>
    <row r="93" spans="2:17" ht="32" x14ac:dyDescent="0.2">
      <c r="B93" s="142" t="s">
        <v>102</v>
      </c>
      <c r="C93" s="19" t="s">
        <v>40</v>
      </c>
      <c r="F93" s="34" t="s">
        <v>0</v>
      </c>
      <c r="G93" s="62" t="s">
        <v>41</v>
      </c>
      <c r="H93" s="61">
        <v>17786</v>
      </c>
      <c r="L93" s="62"/>
      <c r="N93" s="67" t="s">
        <v>42</v>
      </c>
      <c r="P93" s="23"/>
    </row>
    <row r="94" spans="2:17" ht="48" x14ac:dyDescent="0.2">
      <c r="B94" s="143" t="s">
        <v>108</v>
      </c>
      <c r="C94" s="19" t="s">
        <v>40</v>
      </c>
      <c r="F94" s="34" t="s">
        <v>0</v>
      </c>
      <c r="G94" s="62" t="s">
        <v>41</v>
      </c>
      <c r="H94" s="61">
        <v>17786</v>
      </c>
      <c r="L94" s="62"/>
      <c r="N94" s="67" t="s">
        <v>42</v>
      </c>
      <c r="P94" s="23"/>
    </row>
    <row r="95" spans="2:17" ht="17" x14ac:dyDescent="0.2">
      <c r="B95" s="144" t="s">
        <v>96</v>
      </c>
      <c r="C95" s="19" t="s">
        <v>40</v>
      </c>
      <c r="F95" s="34" t="s">
        <v>0</v>
      </c>
      <c r="G95" s="62" t="s">
        <v>41</v>
      </c>
      <c r="H95" s="61">
        <v>17786</v>
      </c>
      <c r="L95" s="62"/>
      <c r="N95" s="67" t="s">
        <v>42</v>
      </c>
      <c r="P95" s="23"/>
    </row>
    <row r="96" spans="2:17" ht="32" x14ac:dyDescent="0.2">
      <c r="B96" s="143" t="s">
        <v>109</v>
      </c>
      <c r="C96" s="19" t="s">
        <v>40</v>
      </c>
      <c r="F96" s="34" t="s">
        <v>0</v>
      </c>
      <c r="G96" s="62" t="s">
        <v>41</v>
      </c>
      <c r="H96" s="61">
        <v>17786</v>
      </c>
      <c r="L96" s="62"/>
      <c r="N96" s="67" t="s">
        <v>42</v>
      </c>
      <c r="P96" s="23"/>
    </row>
    <row r="97" spans="2:16" ht="32" x14ac:dyDescent="0.2">
      <c r="B97" s="142" t="s">
        <v>110</v>
      </c>
      <c r="C97" s="19" t="s">
        <v>40</v>
      </c>
      <c r="F97" s="34" t="s">
        <v>0</v>
      </c>
      <c r="G97" s="62" t="s">
        <v>41</v>
      </c>
      <c r="H97" s="61">
        <v>17786</v>
      </c>
      <c r="L97" s="62"/>
      <c r="N97" s="67" t="s">
        <v>42</v>
      </c>
      <c r="P97" s="23"/>
    </row>
    <row r="98" spans="2:16" ht="17" x14ac:dyDescent="0.2">
      <c r="B98" s="144" t="s">
        <v>99</v>
      </c>
      <c r="C98" s="19" t="s">
        <v>40</v>
      </c>
      <c r="F98" s="34" t="s">
        <v>0</v>
      </c>
      <c r="G98" s="62" t="s">
        <v>41</v>
      </c>
      <c r="H98" s="61">
        <v>17786</v>
      </c>
      <c r="L98" s="69"/>
      <c r="N98" s="67" t="s">
        <v>42</v>
      </c>
      <c r="P98" s="23"/>
    </row>
    <row r="99" spans="2:16" ht="17" x14ac:dyDescent="0.2">
      <c r="B99" s="143" t="s">
        <v>111</v>
      </c>
      <c r="C99" s="19" t="s">
        <v>40</v>
      </c>
      <c r="F99" s="34" t="s">
        <v>0</v>
      </c>
      <c r="G99" s="62" t="s">
        <v>41</v>
      </c>
      <c r="H99" s="61">
        <v>17786</v>
      </c>
      <c r="L99" s="69"/>
      <c r="N99" s="67" t="s">
        <v>42</v>
      </c>
      <c r="P99" s="23"/>
    </row>
    <row r="100" spans="2:16" ht="17" x14ac:dyDescent="0.2">
      <c r="B100" s="140" t="s">
        <v>112</v>
      </c>
      <c r="G100" s="62"/>
      <c r="H100" s="61"/>
      <c r="L100" s="62"/>
      <c r="N100" s="67" t="s">
        <v>45</v>
      </c>
      <c r="P100" s="23"/>
    </row>
    <row r="101" spans="2:16" ht="17" x14ac:dyDescent="0.2">
      <c r="B101" s="141" t="s">
        <v>87</v>
      </c>
      <c r="C101" s="19" t="s">
        <v>40</v>
      </c>
      <c r="F101" s="34" t="s">
        <v>0</v>
      </c>
      <c r="G101" s="62" t="s">
        <v>41</v>
      </c>
      <c r="H101" s="61">
        <v>17786</v>
      </c>
      <c r="L101" s="62"/>
      <c r="N101" s="67" t="s">
        <v>42</v>
      </c>
      <c r="P101" s="23"/>
    </row>
    <row r="102" spans="2:16" ht="32" x14ac:dyDescent="0.2">
      <c r="B102" s="142" t="s">
        <v>102</v>
      </c>
      <c r="C102" s="19" t="s">
        <v>40</v>
      </c>
      <c r="F102" s="34" t="s">
        <v>0</v>
      </c>
      <c r="G102" s="62" t="s">
        <v>41</v>
      </c>
      <c r="H102" s="61">
        <v>17786</v>
      </c>
      <c r="L102" s="69"/>
      <c r="N102" s="67" t="s">
        <v>42</v>
      </c>
      <c r="P102" s="23"/>
    </row>
    <row r="103" spans="2:16" ht="48" x14ac:dyDescent="0.2">
      <c r="B103" s="143" t="s">
        <v>113</v>
      </c>
      <c r="C103" s="19" t="s">
        <v>40</v>
      </c>
      <c r="F103" s="34" t="s">
        <v>0</v>
      </c>
      <c r="G103" s="62" t="s">
        <v>41</v>
      </c>
      <c r="H103" s="61">
        <v>17786</v>
      </c>
      <c r="L103" s="62"/>
      <c r="N103" s="67" t="s">
        <v>42</v>
      </c>
      <c r="P103" s="23"/>
    </row>
    <row r="104" spans="2:16" ht="17" x14ac:dyDescent="0.2">
      <c r="B104" s="144" t="s">
        <v>96</v>
      </c>
      <c r="C104" s="19" t="s">
        <v>40</v>
      </c>
      <c r="F104" s="34" t="s">
        <v>0</v>
      </c>
      <c r="G104" s="62" t="s">
        <v>41</v>
      </c>
      <c r="H104" s="61">
        <v>17786</v>
      </c>
      <c r="L104" s="62"/>
      <c r="N104" s="67" t="s">
        <v>42</v>
      </c>
      <c r="P104" s="23"/>
    </row>
    <row r="105" spans="2:16" ht="32" x14ac:dyDescent="0.2">
      <c r="B105" s="143" t="s">
        <v>97</v>
      </c>
      <c r="C105" s="19" t="s">
        <v>40</v>
      </c>
      <c r="F105" s="34" t="s">
        <v>0</v>
      </c>
      <c r="G105" s="62" t="s">
        <v>41</v>
      </c>
      <c r="H105" s="61">
        <v>17786</v>
      </c>
      <c r="L105" s="69"/>
      <c r="N105" s="67" t="s">
        <v>42</v>
      </c>
      <c r="P105" s="23"/>
    </row>
    <row r="106" spans="2:16" ht="32" x14ac:dyDescent="0.2">
      <c r="B106" s="142" t="s">
        <v>114</v>
      </c>
      <c r="C106" s="19" t="s">
        <v>40</v>
      </c>
      <c r="F106" s="34" t="s">
        <v>0</v>
      </c>
      <c r="G106" s="62" t="s">
        <v>41</v>
      </c>
      <c r="H106" s="61">
        <v>17786</v>
      </c>
      <c r="L106" s="62"/>
      <c r="N106" s="67" t="s">
        <v>42</v>
      </c>
      <c r="P106" s="23"/>
    </row>
    <row r="107" spans="2:16" ht="17" x14ac:dyDescent="0.2">
      <c r="B107" s="144" t="s">
        <v>99</v>
      </c>
      <c r="C107" s="19" t="s">
        <v>40</v>
      </c>
      <c r="F107" s="34" t="s">
        <v>0</v>
      </c>
      <c r="G107" s="62" t="s">
        <v>41</v>
      </c>
      <c r="H107" s="61">
        <v>17786</v>
      </c>
      <c r="L107" s="62"/>
      <c r="N107" s="67" t="s">
        <v>42</v>
      </c>
      <c r="P107" s="23"/>
    </row>
    <row r="108" spans="2:16" ht="17" x14ac:dyDescent="0.2">
      <c r="B108" s="143" t="s">
        <v>115</v>
      </c>
      <c r="C108" s="19" t="s">
        <v>40</v>
      </c>
      <c r="G108" s="62" t="s">
        <v>41</v>
      </c>
      <c r="H108" s="61">
        <v>17786</v>
      </c>
      <c r="L108" s="69"/>
      <c r="N108" s="67" t="s">
        <v>42</v>
      </c>
      <c r="P108" s="23"/>
    </row>
    <row r="109" spans="2:16" ht="34" x14ac:dyDescent="0.2">
      <c r="B109" s="132" t="s">
        <v>116</v>
      </c>
      <c r="G109" s="62"/>
      <c r="H109" s="61"/>
      <c r="L109" s="62"/>
      <c r="N109" s="67" t="s">
        <v>45</v>
      </c>
      <c r="P109" s="23"/>
    </row>
    <row r="110" spans="2:16" ht="64" x14ac:dyDescent="0.2">
      <c r="B110" s="143" t="s">
        <v>117</v>
      </c>
      <c r="C110" s="19" t="s">
        <v>40</v>
      </c>
      <c r="F110" s="34" t="s">
        <v>92</v>
      </c>
      <c r="G110" s="62" t="s">
        <v>41</v>
      </c>
      <c r="H110" s="61">
        <v>17786</v>
      </c>
      <c r="L110" s="62"/>
      <c r="N110" s="67" t="s">
        <v>42</v>
      </c>
      <c r="P110" s="23"/>
    </row>
    <row r="111" spans="2:16" ht="64" x14ac:dyDescent="0.2">
      <c r="B111" s="143" t="s">
        <v>118</v>
      </c>
      <c r="C111" s="19" t="s">
        <v>40</v>
      </c>
      <c r="F111" s="34" t="s">
        <v>92</v>
      </c>
      <c r="G111" s="62" t="s">
        <v>41</v>
      </c>
      <c r="H111" s="61">
        <v>17786</v>
      </c>
      <c r="L111" s="69"/>
      <c r="N111" s="67" t="s">
        <v>42</v>
      </c>
      <c r="P111" s="23"/>
    </row>
    <row r="112" spans="2:16" ht="20.25" customHeight="1" x14ac:dyDescent="0.2">
      <c r="B112" s="143" t="s">
        <v>119</v>
      </c>
      <c r="C112" s="19" t="s">
        <v>40</v>
      </c>
      <c r="F112" s="34" t="s">
        <v>92</v>
      </c>
      <c r="G112" s="62" t="s">
        <v>41</v>
      </c>
      <c r="H112" s="61">
        <v>17786</v>
      </c>
      <c r="L112" s="62"/>
      <c r="N112" s="67" t="s">
        <v>42</v>
      </c>
      <c r="P112" s="23"/>
    </row>
    <row r="113" spans="2:16" ht="32" x14ac:dyDescent="0.2">
      <c r="B113" s="143" t="s">
        <v>120</v>
      </c>
      <c r="C113" s="19" t="s">
        <v>40</v>
      </c>
      <c r="F113" s="34" t="s">
        <v>92</v>
      </c>
      <c r="G113" s="62" t="s">
        <v>41</v>
      </c>
      <c r="H113" s="61">
        <v>17786</v>
      </c>
      <c r="L113" s="62"/>
      <c r="N113" s="67" t="s">
        <v>42</v>
      </c>
      <c r="P113" s="23"/>
    </row>
    <row r="114" spans="2:16" ht="17" x14ac:dyDescent="0.2">
      <c r="B114" s="128" t="s">
        <v>121</v>
      </c>
      <c r="C114" s="19"/>
      <c r="G114" s="62"/>
      <c r="H114" s="61"/>
      <c r="L114" s="69"/>
      <c r="N114" s="67" t="s">
        <v>45</v>
      </c>
      <c r="P114" s="23"/>
    </row>
    <row r="115" spans="2:16" ht="17" x14ac:dyDescent="0.2">
      <c r="B115" s="145" t="s">
        <v>122</v>
      </c>
      <c r="C115" s="19" t="s">
        <v>40</v>
      </c>
      <c r="F115" s="34" t="s">
        <v>0</v>
      </c>
      <c r="G115" s="62" t="s">
        <v>41</v>
      </c>
      <c r="H115" s="61">
        <v>17786</v>
      </c>
      <c r="L115" s="62"/>
      <c r="N115" s="67" t="s">
        <v>42</v>
      </c>
      <c r="P115" s="23"/>
    </row>
    <row r="116" spans="2:16" ht="17" x14ac:dyDescent="0.2">
      <c r="B116" s="139" t="s">
        <v>123</v>
      </c>
      <c r="C116" s="19" t="s">
        <v>40</v>
      </c>
      <c r="F116" s="34" t="s">
        <v>0</v>
      </c>
      <c r="G116" s="62" t="s">
        <v>41</v>
      </c>
      <c r="H116" s="61">
        <v>17786</v>
      </c>
      <c r="L116" s="62"/>
      <c r="N116" s="67" t="s">
        <v>42</v>
      </c>
      <c r="P116" s="23"/>
    </row>
    <row r="117" spans="2:16" ht="17" x14ac:dyDescent="0.2">
      <c r="B117" s="139" t="s">
        <v>124</v>
      </c>
      <c r="C117" s="19" t="s">
        <v>40</v>
      </c>
      <c r="F117" s="34" t="s">
        <v>0</v>
      </c>
      <c r="G117" s="62" t="s">
        <v>41</v>
      </c>
      <c r="H117" s="61">
        <v>17786</v>
      </c>
      <c r="L117" s="69"/>
      <c r="N117" s="67" t="s">
        <v>42</v>
      </c>
      <c r="P117" s="23"/>
    </row>
    <row r="118" spans="2:16" ht="17" x14ac:dyDescent="0.2">
      <c r="B118" s="139" t="s">
        <v>125</v>
      </c>
      <c r="C118" s="19" t="s">
        <v>40</v>
      </c>
      <c r="F118" s="34" t="s">
        <v>0</v>
      </c>
      <c r="G118" s="62" t="s">
        <v>41</v>
      </c>
      <c r="H118" s="61">
        <v>17786</v>
      </c>
      <c r="L118" s="62"/>
      <c r="N118" s="67" t="s">
        <v>42</v>
      </c>
      <c r="P118" s="23"/>
    </row>
    <row r="119" spans="2:16" ht="17" x14ac:dyDescent="0.2">
      <c r="B119" s="145" t="s">
        <v>126</v>
      </c>
      <c r="C119" s="19" t="s">
        <v>40</v>
      </c>
      <c r="F119" s="34" t="s">
        <v>0</v>
      </c>
      <c r="G119" s="62" t="s">
        <v>41</v>
      </c>
      <c r="H119" s="61">
        <v>17786</v>
      </c>
      <c r="L119" s="62"/>
      <c r="N119" s="67" t="s">
        <v>42</v>
      </c>
      <c r="P119" s="23"/>
    </row>
    <row r="120" spans="2:16" ht="17" x14ac:dyDescent="0.2">
      <c r="B120" s="138" t="s">
        <v>127</v>
      </c>
      <c r="C120" s="19" t="s">
        <v>40</v>
      </c>
      <c r="F120" s="34" t="s">
        <v>0</v>
      </c>
      <c r="G120" s="62" t="s">
        <v>41</v>
      </c>
      <c r="H120" s="61">
        <v>17786</v>
      </c>
      <c r="L120" s="69"/>
      <c r="N120" s="67" t="s">
        <v>42</v>
      </c>
      <c r="P120" s="23"/>
    </row>
    <row r="121" spans="2:16" ht="17" x14ac:dyDescent="0.2">
      <c r="B121" s="138" t="s">
        <v>128</v>
      </c>
      <c r="C121" s="19" t="s">
        <v>40</v>
      </c>
      <c r="F121" s="34" t="s">
        <v>0</v>
      </c>
      <c r="G121" s="62" t="s">
        <v>41</v>
      </c>
      <c r="H121" s="61">
        <v>17786</v>
      </c>
      <c r="L121" s="62"/>
      <c r="N121" s="67" t="s">
        <v>42</v>
      </c>
      <c r="P121" s="23"/>
    </row>
    <row r="122" spans="2:16" ht="17" x14ac:dyDescent="0.2">
      <c r="B122" s="146" t="s">
        <v>129</v>
      </c>
      <c r="C122" s="19" t="s">
        <v>40</v>
      </c>
      <c r="E122" s="70"/>
      <c r="F122" s="34" t="s">
        <v>0</v>
      </c>
      <c r="G122" s="62" t="s">
        <v>41</v>
      </c>
      <c r="H122" s="61">
        <v>17786</v>
      </c>
      <c r="L122" s="62"/>
      <c r="N122" s="67" t="s">
        <v>42</v>
      </c>
      <c r="P122" s="23"/>
    </row>
    <row r="123" spans="2:16" ht="17" x14ac:dyDescent="0.2">
      <c r="B123" s="138" t="s">
        <v>130</v>
      </c>
      <c r="C123" s="19" t="s">
        <v>40</v>
      </c>
      <c r="D123" s="35"/>
      <c r="F123" s="34" t="s">
        <v>0</v>
      </c>
      <c r="G123" s="62" t="s">
        <v>41</v>
      </c>
      <c r="H123" s="61">
        <v>17786</v>
      </c>
      <c r="L123" s="69"/>
      <c r="N123" s="67" t="s">
        <v>42</v>
      </c>
      <c r="P123" s="23"/>
    </row>
    <row r="124" spans="2:16" ht="17" x14ac:dyDescent="0.2">
      <c r="B124" s="147" t="s">
        <v>131</v>
      </c>
      <c r="C124" s="19" t="s">
        <v>40</v>
      </c>
      <c r="D124" s="35"/>
      <c r="E124" s="71"/>
      <c r="F124" s="34" t="s">
        <v>0</v>
      </c>
      <c r="G124" s="62" t="s">
        <v>41</v>
      </c>
      <c r="H124" s="61">
        <v>17786</v>
      </c>
      <c r="L124" s="62"/>
      <c r="N124" s="67" t="s">
        <v>42</v>
      </c>
      <c r="P124" s="23"/>
    </row>
    <row r="125" spans="2:16" ht="17" x14ac:dyDescent="0.2">
      <c r="B125" s="147" t="s">
        <v>132</v>
      </c>
      <c r="C125" s="19" t="s">
        <v>40</v>
      </c>
      <c r="D125" s="35"/>
      <c r="E125" s="71"/>
      <c r="F125" s="34" t="s">
        <v>0</v>
      </c>
      <c r="G125" s="62" t="s">
        <v>41</v>
      </c>
      <c r="H125" s="61">
        <v>17786</v>
      </c>
      <c r="L125" s="62"/>
      <c r="N125" s="67" t="s">
        <v>42</v>
      </c>
      <c r="P125" s="23"/>
    </row>
    <row r="126" spans="2:16" ht="17" x14ac:dyDescent="0.2">
      <c r="B126" s="147" t="s">
        <v>133</v>
      </c>
      <c r="C126" s="19" t="s">
        <v>40</v>
      </c>
      <c r="E126" s="73"/>
      <c r="F126" s="34" t="s">
        <v>0</v>
      </c>
      <c r="G126" s="62" t="s">
        <v>41</v>
      </c>
      <c r="H126" s="61">
        <v>17786</v>
      </c>
      <c r="L126" s="69"/>
      <c r="N126" s="67" t="s">
        <v>42</v>
      </c>
      <c r="P126" s="23"/>
    </row>
    <row r="127" spans="2:16" ht="17" x14ac:dyDescent="0.2">
      <c r="B127" s="147" t="s">
        <v>134</v>
      </c>
      <c r="C127" s="19" t="s">
        <v>40</v>
      </c>
      <c r="F127" s="34" t="s">
        <v>0</v>
      </c>
      <c r="G127" s="62" t="s">
        <v>41</v>
      </c>
      <c r="H127" s="61">
        <v>17786</v>
      </c>
      <c r="L127" s="62"/>
      <c r="N127" s="67" t="s">
        <v>42</v>
      </c>
      <c r="P127" s="23"/>
    </row>
    <row r="128" spans="2:16" ht="17" x14ac:dyDescent="0.2">
      <c r="B128" s="147" t="s">
        <v>135</v>
      </c>
      <c r="C128" s="19" t="s">
        <v>40</v>
      </c>
      <c r="F128" s="34" t="s">
        <v>0</v>
      </c>
      <c r="G128" s="62" t="s">
        <v>41</v>
      </c>
      <c r="H128" s="61">
        <v>17786</v>
      </c>
      <c r="L128" s="62"/>
      <c r="N128" s="67" t="s">
        <v>42</v>
      </c>
      <c r="P128" s="23"/>
    </row>
    <row r="129" spans="2:16" ht="17" x14ac:dyDescent="0.2">
      <c r="B129" s="147" t="s">
        <v>136</v>
      </c>
      <c r="C129" s="19" t="s">
        <v>40</v>
      </c>
      <c r="F129" s="34" t="s">
        <v>0</v>
      </c>
      <c r="G129" s="62" t="s">
        <v>41</v>
      </c>
      <c r="H129" s="61">
        <v>17786</v>
      </c>
      <c r="L129" s="69"/>
      <c r="N129" s="67" t="s">
        <v>42</v>
      </c>
      <c r="P129" s="23"/>
    </row>
    <row r="130" spans="2:16" ht="23" x14ac:dyDescent="0.3">
      <c r="B130" s="148" t="s">
        <v>137</v>
      </c>
      <c r="C130" s="19"/>
      <c r="G130" s="62"/>
      <c r="H130" s="61"/>
      <c r="L130" s="69"/>
      <c r="N130" s="67" t="s">
        <v>45</v>
      </c>
      <c r="P130" s="23"/>
    </row>
    <row r="131" spans="2:16" ht="23" x14ac:dyDescent="0.3">
      <c r="B131" s="148" t="s">
        <v>138</v>
      </c>
      <c r="C131" s="19"/>
      <c r="G131" s="62"/>
      <c r="H131" s="61"/>
      <c r="L131" s="175"/>
      <c r="N131" s="67" t="s">
        <v>45</v>
      </c>
      <c r="P131" s="23"/>
    </row>
    <row r="132" spans="2:16" ht="17" x14ac:dyDescent="0.2">
      <c r="B132" s="168" t="s">
        <v>139</v>
      </c>
      <c r="C132" s="19" t="s">
        <v>40</v>
      </c>
      <c r="F132" s="34" t="s">
        <v>0</v>
      </c>
      <c r="G132" s="62" t="s">
        <v>41</v>
      </c>
      <c r="H132" s="61">
        <v>17786</v>
      </c>
      <c r="L132" s="62"/>
      <c r="N132" s="67" t="s">
        <v>42</v>
      </c>
      <c r="P132" s="23"/>
    </row>
    <row r="133" spans="2:16" ht="17" x14ac:dyDescent="0.2">
      <c r="B133" s="147" t="s">
        <v>140</v>
      </c>
      <c r="C133" s="19" t="s">
        <v>40</v>
      </c>
      <c r="F133" s="34" t="s">
        <v>0</v>
      </c>
      <c r="G133" s="62" t="s">
        <v>41</v>
      </c>
      <c r="H133" s="61">
        <v>17786</v>
      </c>
      <c r="L133" s="69"/>
      <c r="N133" s="67" t="s">
        <v>42</v>
      </c>
      <c r="P133" s="23"/>
    </row>
    <row r="134" spans="2:16" ht="17" x14ac:dyDescent="0.2">
      <c r="B134" s="147" t="s">
        <v>141</v>
      </c>
      <c r="C134" s="19" t="s">
        <v>40</v>
      </c>
      <c r="F134" s="34" t="s">
        <v>0</v>
      </c>
      <c r="G134" s="62" t="s">
        <v>41</v>
      </c>
      <c r="H134" s="61">
        <v>17786</v>
      </c>
      <c r="L134" s="62"/>
      <c r="N134" s="67" t="s">
        <v>42</v>
      </c>
      <c r="P134" s="23"/>
    </row>
    <row r="135" spans="2:16" ht="17" x14ac:dyDescent="0.2">
      <c r="B135" s="147" t="s">
        <v>142</v>
      </c>
      <c r="C135" s="19" t="s">
        <v>40</v>
      </c>
      <c r="F135" s="34" t="s">
        <v>0</v>
      </c>
      <c r="G135" s="62" t="s">
        <v>41</v>
      </c>
      <c r="H135" s="61">
        <v>17786</v>
      </c>
      <c r="L135" s="62"/>
      <c r="N135" s="67" t="s">
        <v>42</v>
      </c>
      <c r="P135" s="23"/>
    </row>
    <row r="136" spans="2:16" ht="17" x14ac:dyDescent="0.2">
      <c r="B136" s="147" t="s">
        <v>143</v>
      </c>
      <c r="C136" s="19" t="s">
        <v>40</v>
      </c>
      <c r="F136" s="34" t="s">
        <v>0</v>
      </c>
      <c r="G136" s="62" t="s">
        <v>41</v>
      </c>
      <c r="H136" s="61">
        <v>17786</v>
      </c>
      <c r="L136" s="69"/>
      <c r="N136" s="67" t="s">
        <v>42</v>
      </c>
      <c r="P136" s="23"/>
    </row>
    <row r="137" spans="2:16" ht="23" x14ac:dyDescent="0.3">
      <c r="B137" s="148" t="s">
        <v>144</v>
      </c>
      <c r="C137" s="19"/>
      <c r="G137" s="62"/>
      <c r="H137" s="61"/>
      <c r="L137" s="175"/>
      <c r="N137" s="67" t="s">
        <v>45</v>
      </c>
      <c r="P137" s="23"/>
    </row>
    <row r="138" spans="2:16" ht="17" x14ac:dyDescent="0.2">
      <c r="B138" s="168" t="s">
        <v>145</v>
      </c>
      <c r="C138" s="19" t="s">
        <v>40</v>
      </c>
      <c r="F138" s="34" t="s">
        <v>0</v>
      </c>
      <c r="G138" s="62" t="s">
        <v>41</v>
      </c>
      <c r="H138" s="61">
        <v>17786</v>
      </c>
      <c r="L138" s="175"/>
      <c r="N138" s="67" t="s">
        <v>42</v>
      </c>
      <c r="P138" s="23"/>
    </row>
    <row r="139" spans="2:16" ht="17" x14ac:dyDescent="0.2">
      <c r="B139" s="168" t="s">
        <v>146</v>
      </c>
      <c r="C139" s="19" t="s">
        <v>40</v>
      </c>
      <c r="F139" s="34" t="s">
        <v>0</v>
      </c>
      <c r="G139" s="62" t="s">
        <v>41</v>
      </c>
      <c r="H139" s="61">
        <v>17786</v>
      </c>
      <c r="L139" s="175"/>
      <c r="N139" s="67" t="s">
        <v>42</v>
      </c>
      <c r="P139" s="23"/>
    </row>
    <row r="140" spans="2:16" ht="17" x14ac:dyDescent="0.2">
      <c r="B140" s="168" t="s">
        <v>147</v>
      </c>
      <c r="C140" s="19" t="s">
        <v>40</v>
      </c>
      <c r="F140" s="34" t="s">
        <v>0</v>
      </c>
      <c r="G140" s="62" t="s">
        <v>41</v>
      </c>
      <c r="H140" s="61">
        <v>17786</v>
      </c>
      <c r="L140" s="175"/>
      <c r="N140" s="67" t="s">
        <v>42</v>
      </c>
      <c r="P140" s="23"/>
    </row>
    <row r="141" spans="2:16" ht="17" x14ac:dyDescent="0.2">
      <c r="B141" s="168" t="s">
        <v>148</v>
      </c>
      <c r="C141" s="19" t="s">
        <v>40</v>
      </c>
      <c r="F141" s="34" t="s">
        <v>0</v>
      </c>
      <c r="G141" s="62" t="s">
        <v>41</v>
      </c>
      <c r="H141" s="61">
        <v>17786</v>
      </c>
      <c r="L141" s="175"/>
      <c r="N141" s="67" t="s">
        <v>42</v>
      </c>
      <c r="P141" s="23"/>
    </row>
    <row r="142" spans="2:16" ht="17" x14ac:dyDescent="0.2">
      <c r="B142" s="168" t="s">
        <v>149</v>
      </c>
      <c r="C142" s="19" t="s">
        <v>40</v>
      </c>
      <c r="F142" s="34" t="s">
        <v>0</v>
      </c>
      <c r="G142" s="62" t="s">
        <v>41</v>
      </c>
      <c r="H142" s="61">
        <v>17786</v>
      </c>
      <c r="L142" s="175"/>
      <c r="N142" s="67" t="s">
        <v>42</v>
      </c>
      <c r="P142" s="23"/>
    </row>
    <row r="143" spans="2:16" ht="20" x14ac:dyDescent="0.25">
      <c r="B143" s="149" t="s">
        <v>150</v>
      </c>
      <c r="C143" s="19"/>
      <c r="G143" s="62"/>
      <c r="H143" s="61"/>
      <c r="L143" s="62"/>
      <c r="N143" s="67" t="s">
        <v>45</v>
      </c>
      <c r="P143" s="23"/>
    </row>
    <row r="144" spans="2:16" ht="17" x14ac:dyDescent="0.2">
      <c r="B144" s="150" t="s">
        <v>151</v>
      </c>
      <c r="C144" s="19"/>
      <c r="G144" s="62"/>
      <c r="H144" s="61"/>
      <c r="L144" s="62"/>
      <c r="N144" s="67" t="s">
        <v>45</v>
      </c>
      <c r="P144" s="23"/>
    </row>
    <row r="145" spans="2:16" ht="17" x14ac:dyDescent="0.2">
      <c r="B145" s="151" t="s">
        <v>152</v>
      </c>
      <c r="C145" s="19" t="s">
        <v>40</v>
      </c>
      <c r="F145" s="34" t="s">
        <v>0</v>
      </c>
      <c r="G145" s="62" t="s">
        <v>41</v>
      </c>
      <c r="H145" s="61">
        <v>17786</v>
      </c>
      <c r="L145" s="62"/>
      <c r="N145" s="67" t="s">
        <v>42</v>
      </c>
      <c r="P145" s="23"/>
    </row>
    <row r="146" spans="2:16" ht="17" x14ac:dyDescent="0.2">
      <c r="B146" s="151" t="s">
        <v>153</v>
      </c>
      <c r="C146" s="19" t="s">
        <v>40</v>
      </c>
      <c r="F146" s="34" t="s">
        <v>0</v>
      </c>
      <c r="G146" s="62" t="s">
        <v>41</v>
      </c>
      <c r="H146" s="61">
        <v>17786</v>
      </c>
      <c r="L146" s="62"/>
      <c r="N146" s="67" t="s">
        <v>42</v>
      </c>
      <c r="P146" s="23"/>
    </row>
    <row r="147" spans="2:16" ht="17" x14ac:dyDescent="0.2">
      <c r="B147" s="152" t="s">
        <v>154</v>
      </c>
      <c r="C147" s="19" t="s">
        <v>40</v>
      </c>
      <c r="E147" s="74"/>
      <c r="F147" s="34" t="s">
        <v>0</v>
      </c>
      <c r="G147" s="62" t="s">
        <v>41</v>
      </c>
      <c r="H147" s="61">
        <v>17786</v>
      </c>
      <c r="L147" s="62"/>
      <c r="N147" s="67" t="s">
        <v>42</v>
      </c>
      <c r="P147" s="23"/>
    </row>
    <row r="148" spans="2:16" ht="17" x14ac:dyDescent="0.2">
      <c r="B148" s="143" t="s">
        <v>155</v>
      </c>
      <c r="C148" s="19" t="s">
        <v>40</v>
      </c>
      <c r="F148" s="34" t="s">
        <v>0</v>
      </c>
      <c r="G148" s="62" t="s">
        <v>41</v>
      </c>
      <c r="H148" s="61">
        <v>17786</v>
      </c>
      <c r="L148" s="69"/>
      <c r="N148" s="67" t="s">
        <v>42</v>
      </c>
      <c r="P148" s="23"/>
    </row>
    <row r="149" spans="2:16" ht="17" x14ac:dyDescent="0.2">
      <c r="B149" s="153" t="s">
        <v>156</v>
      </c>
      <c r="G149" s="62"/>
      <c r="H149" s="61"/>
      <c r="L149" s="69"/>
      <c r="N149" s="67" t="s">
        <v>45</v>
      </c>
      <c r="P149" s="23"/>
    </row>
    <row r="150" spans="2:16" ht="17" x14ac:dyDescent="0.2">
      <c r="B150" s="153" t="s">
        <v>157</v>
      </c>
      <c r="C150" s="19"/>
      <c r="G150" s="62"/>
      <c r="H150" s="61"/>
      <c r="L150" s="62"/>
      <c r="N150" s="67" t="s">
        <v>45</v>
      </c>
      <c r="P150" s="23"/>
    </row>
    <row r="151" spans="2:16" ht="17" x14ac:dyDescent="0.2">
      <c r="B151" s="154" t="s">
        <v>158</v>
      </c>
      <c r="C151" s="19" t="s">
        <v>40</v>
      </c>
      <c r="F151" s="34" t="s">
        <v>0</v>
      </c>
      <c r="G151" s="62" t="s">
        <v>41</v>
      </c>
      <c r="H151" s="61">
        <v>17786</v>
      </c>
      <c r="L151" s="62"/>
      <c r="N151" s="67" t="s">
        <v>42</v>
      </c>
      <c r="P151" s="23"/>
    </row>
    <row r="152" spans="2:16" ht="17" x14ac:dyDescent="0.2">
      <c r="B152" s="155" t="s">
        <v>159</v>
      </c>
      <c r="C152" s="19" t="s">
        <v>40</v>
      </c>
      <c r="F152" s="34" t="s">
        <v>0</v>
      </c>
      <c r="G152" s="62" t="s">
        <v>41</v>
      </c>
      <c r="H152" s="61">
        <v>17786</v>
      </c>
      <c r="L152" s="62"/>
      <c r="N152" s="67" t="s">
        <v>42</v>
      </c>
      <c r="P152" s="23"/>
    </row>
    <row r="153" spans="2:16" ht="17" x14ac:dyDescent="0.2">
      <c r="B153" s="151" t="s">
        <v>160</v>
      </c>
      <c r="C153" s="19" t="s">
        <v>40</v>
      </c>
      <c r="F153" s="34" t="s">
        <v>0</v>
      </c>
      <c r="G153" s="62" t="s">
        <v>41</v>
      </c>
      <c r="H153" s="61">
        <v>17786</v>
      </c>
      <c r="L153" s="62"/>
      <c r="N153" s="67" t="s">
        <v>42</v>
      </c>
      <c r="P153" s="23"/>
    </row>
    <row r="154" spans="2:16" ht="17" x14ac:dyDescent="0.2">
      <c r="B154" s="153" t="s">
        <v>161</v>
      </c>
      <c r="C154" s="19"/>
      <c r="G154" s="62"/>
      <c r="H154" s="61"/>
      <c r="L154" s="62"/>
      <c r="N154" s="67" t="s">
        <v>45</v>
      </c>
      <c r="P154" s="23"/>
    </row>
    <row r="155" spans="2:16" ht="17" x14ac:dyDescent="0.2">
      <c r="B155" s="156" t="s">
        <v>162</v>
      </c>
      <c r="C155" s="19"/>
      <c r="G155" s="62"/>
      <c r="H155" s="61"/>
      <c r="L155" s="62"/>
      <c r="N155" s="67" t="s">
        <v>45</v>
      </c>
      <c r="P155" s="23"/>
    </row>
    <row r="156" spans="2:16" ht="48" x14ac:dyDescent="0.2">
      <c r="B156" s="151" t="s">
        <v>163</v>
      </c>
      <c r="C156" s="19" t="s">
        <v>40</v>
      </c>
      <c r="F156" s="34" t="s">
        <v>0</v>
      </c>
      <c r="G156" s="62" t="s">
        <v>41</v>
      </c>
      <c r="H156" s="61">
        <v>17786</v>
      </c>
      <c r="L156" s="62"/>
      <c r="N156" s="67" t="s">
        <v>42</v>
      </c>
      <c r="P156" s="23"/>
    </row>
    <row r="157" spans="2:16" ht="17" x14ac:dyDescent="0.2">
      <c r="B157" s="138" t="s">
        <v>164</v>
      </c>
      <c r="C157" s="19" t="s">
        <v>40</v>
      </c>
      <c r="F157" s="34" t="s">
        <v>0</v>
      </c>
      <c r="G157" s="62" t="s">
        <v>41</v>
      </c>
      <c r="H157" s="61">
        <v>17786</v>
      </c>
      <c r="L157" s="69"/>
      <c r="N157" s="67" t="s">
        <v>42</v>
      </c>
      <c r="P157" s="23"/>
    </row>
    <row r="158" spans="2:16" ht="17" x14ac:dyDescent="0.2">
      <c r="B158" s="156" t="s">
        <v>165</v>
      </c>
      <c r="C158" s="19"/>
      <c r="G158" s="62"/>
      <c r="H158" s="61"/>
      <c r="L158" s="62"/>
      <c r="N158" s="67" t="s">
        <v>45</v>
      </c>
      <c r="P158" s="23"/>
    </row>
    <row r="159" spans="2:16" ht="48" x14ac:dyDescent="0.2">
      <c r="B159" s="151" t="s">
        <v>166</v>
      </c>
      <c r="C159" s="19" t="s">
        <v>40</v>
      </c>
      <c r="F159" s="34" t="s">
        <v>0</v>
      </c>
      <c r="G159" s="62" t="s">
        <v>41</v>
      </c>
      <c r="H159" s="61">
        <v>17786</v>
      </c>
      <c r="L159" s="69"/>
      <c r="N159" s="67" t="s">
        <v>42</v>
      </c>
      <c r="P159" s="23"/>
    </row>
    <row r="160" spans="2:16" ht="17" x14ac:dyDescent="0.2">
      <c r="B160" s="138" t="s">
        <v>167</v>
      </c>
      <c r="C160" s="19" t="s">
        <v>40</v>
      </c>
      <c r="F160" s="34" t="s">
        <v>0</v>
      </c>
      <c r="G160" s="62" t="s">
        <v>41</v>
      </c>
      <c r="H160" s="61">
        <v>17786</v>
      </c>
      <c r="L160" s="62"/>
      <c r="N160" s="67" t="s">
        <v>42</v>
      </c>
      <c r="P160" s="23"/>
    </row>
    <row r="161" spans="2:16" ht="17" x14ac:dyDescent="0.2">
      <c r="B161" s="157" t="s">
        <v>168</v>
      </c>
      <c r="N161" s="67" t="s">
        <v>45</v>
      </c>
      <c r="P161" s="23"/>
    </row>
    <row r="162" spans="2:16" ht="51" x14ac:dyDescent="0.2">
      <c r="B162" s="158" t="s">
        <v>169</v>
      </c>
      <c r="C162" s="19" t="s">
        <v>40</v>
      </c>
      <c r="F162" s="34" t="s">
        <v>0</v>
      </c>
      <c r="G162" s="62" t="s">
        <v>41</v>
      </c>
      <c r="H162" s="61">
        <v>17786</v>
      </c>
      <c r="M162" s="68"/>
      <c r="N162" s="67" t="s">
        <v>42</v>
      </c>
      <c r="P162" s="23"/>
    </row>
    <row r="163" spans="2:16" ht="17" x14ac:dyDescent="0.2">
      <c r="B163" s="159" t="s">
        <v>170</v>
      </c>
      <c r="C163" s="19" t="s">
        <v>40</v>
      </c>
      <c r="F163" s="34" t="s">
        <v>0</v>
      </c>
      <c r="G163" s="62" t="s">
        <v>41</v>
      </c>
      <c r="H163" s="61">
        <v>17786</v>
      </c>
      <c r="M163" s="68"/>
      <c r="N163" s="67" t="s">
        <v>42</v>
      </c>
      <c r="P163" s="23"/>
    </row>
    <row r="164" spans="2:16" ht="17" x14ac:dyDescent="0.2">
      <c r="B164" s="157" t="s">
        <v>171</v>
      </c>
      <c r="C164" s="19"/>
      <c r="G164" s="35"/>
      <c r="H164" s="69"/>
      <c r="M164" s="68"/>
      <c r="N164" s="67" t="s">
        <v>45</v>
      </c>
      <c r="P164" s="23"/>
    </row>
    <row r="165" spans="2:16" ht="48" x14ac:dyDescent="0.2">
      <c r="B165" s="144" t="s">
        <v>172</v>
      </c>
      <c r="C165" s="19" t="s">
        <v>40</v>
      </c>
      <c r="F165" s="34" t="s">
        <v>0</v>
      </c>
      <c r="G165" s="62" t="s">
        <v>41</v>
      </c>
      <c r="H165" s="61">
        <v>17786</v>
      </c>
      <c r="M165" s="68"/>
      <c r="N165" s="67" t="s">
        <v>42</v>
      </c>
      <c r="P165" s="23"/>
    </row>
    <row r="166" spans="2:16" ht="17" x14ac:dyDescent="0.2">
      <c r="B166" s="160" t="s">
        <v>173</v>
      </c>
      <c r="C166" s="19" t="s">
        <v>40</v>
      </c>
      <c r="F166" s="34" t="s">
        <v>0</v>
      </c>
      <c r="G166" s="62" t="s">
        <v>41</v>
      </c>
      <c r="H166" s="61">
        <v>17786</v>
      </c>
      <c r="N166" s="67" t="s">
        <v>42</v>
      </c>
      <c r="P166" s="23"/>
    </row>
    <row r="167" spans="2:16" ht="17" x14ac:dyDescent="0.2">
      <c r="B167" s="161" t="s">
        <v>174</v>
      </c>
      <c r="N167" s="67" t="s">
        <v>45</v>
      </c>
      <c r="P167" s="23"/>
    </row>
    <row r="168" spans="2:16" ht="51" x14ac:dyDescent="0.2">
      <c r="B168" s="161" t="s">
        <v>175</v>
      </c>
      <c r="C168" s="19"/>
      <c r="G168" s="35"/>
      <c r="H168" s="69"/>
      <c r="M168" s="68"/>
      <c r="N168" s="67" t="s">
        <v>45</v>
      </c>
      <c r="P168" s="23"/>
    </row>
    <row r="169" spans="2:16" ht="17" x14ac:dyDescent="0.2">
      <c r="B169" s="131" t="s">
        <v>176</v>
      </c>
      <c r="C169" s="19" t="s">
        <v>40</v>
      </c>
      <c r="F169" s="34" t="s">
        <v>0</v>
      </c>
      <c r="G169" s="62" t="s">
        <v>41</v>
      </c>
      <c r="H169" s="61">
        <v>17786</v>
      </c>
      <c r="M169" s="68"/>
      <c r="N169" s="67" t="s">
        <v>42</v>
      </c>
      <c r="P169" s="23"/>
    </row>
    <row r="170" spans="2:16" ht="17" x14ac:dyDescent="0.2">
      <c r="B170" s="160" t="s">
        <v>177</v>
      </c>
      <c r="C170" s="19" t="s">
        <v>40</v>
      </c>
      <c r="F170" s="34" t="s">
        <v>0</v>
      </c>
      <c r="G170" s="62" t="s">
        <v>41</v>
      </c>
      <c r="H170" s="61">
        <v>17786</v>
      </c>
      <c r="M170" s="68"/>
      <c r="N170" s="67" t="s">
        <v>42</v>
      </c>
      <c r="P170" s="23"/>
    </row>
    <row r="171" spans="2:16" ht="17" x14ac:dyDescent="0.2">
      <c r="B171" s="131" t="s">
        <v>178</v>
      </c>
      <c r="C171" s="19" t="s">
        <v>40</v>
      </c>
      <c r="F171" s="34" t="s">
        <v>0</v>
      </c>
      <c r="G171" s="62" t="s">
        <v>41</v>
      </c>
      <c r="H171" s="61">
        <v>17786</v>
      </c>
      <c r="M171" s="68"/>
      <c r="N171" s="67" t="s">
        <v>42</v>
      </c>
      <c r="P171" s="23"/>
    </row>
    <row r="172" spans="2:16" ht="68" x14ac:dyDescent="0.2">
      <c r="B172" s="131" t="s">
        <v>179</v>
      </c>
      <c r="C172" s="19" t="s">
        <v>40</v>
      </c>
      <c r="F172" s="34" t="s">
        <v>0</v>
      </c>
      <c r="G172" s="62" t="s">
        <v>41</v>
      </c>
      <c r="H172" s="61">
        <v>17786</v>
      </c>
      <c r="N172" s="67" t="s">
        <v>42</v>
      </c>
      <c r="P172" s="23"/>
    </row>
    <row r="173" spans="2:16" ht="17" x14ac:dyDescent="0.2">
      <c r="B173" s="131" t="s">
        <v>180</v>
      </c>
      <c r="C173" s="19" t="s">
        <v>40</v>
      </c>
      <c r="F173" s="34" t="s">
        <v>0</v>
      </c>
      <c r="G173" s="62" t="s">
        <v>41</v>
      </c>
      <c r="H173" s="61">
        <v>17786</v>
      </c>
      <c r="N173" s="67" t="s">
        <v>42</v>
      </c>
      <c r="P173" s="23"/>
    </row>
    <row r="174" spans="2:16" ht="68" x14ac:dyDescent="0.2">
      <c r="B174" s="131" t="s">
        <v>181</v>
      </c>
      <c r="C174" s="19" t="s">
        <v>40</v>
      </c>
      <c r="F174" s="34" t="s">
        <v>0</v>
      </c>
      <c r="G174" s="62" t="s">
        <v>41</v>
      </c>
      <c r="H174" s="61">
        <v>17786</v>
      </c>
      <c r="N174" s="67" t="s">
        <v>42</v>
      </c>
      <c r="P174" s="23"/>
    </row>
    <row r="175" spans="2:16" ht="17" x14ac:dyDescent="0.2">
      <c r="B175" s="160" t="s">
        <v>182</v>
      </c>
      <c r="C175" s="19" t="s">
        <v>40</v>
      </c>
      <c r="F175" s="34" t="s">
        <v>0</v>
      </c>
      <c r="G175" s="62" t="s">
        <v>41</v>
      </c>
      <c r="H175" s="61">
        <v>17786</v>
      </c>
      <c r="N175" s="67" t="s">
        <v>42</v>
      </c>
      <c r="P175" s="23"/>
    </row>
    <row r="176" spans="2:16" ht="68" x14ac:dyDescent="0.2">
      <c r="B176" s="160" t="s">
        <v>183</v>
      </c>
      <c r="C176" s="19" t="s">
        <v>40</v>
      </c>
      <c r="F176" s="34" t="s">
        <v>0</v>
      </c>
      <c r="G176" s="62" t="s">
        <v>41</v>
      </c>
      <c r="H176" s="61">
        <v>17786</v>
      </c>
      <c r="N176" s="67" t="s">
        <v>42</v>
      </c>
      <c r="P176" s="23"/>
    </row>
    <row r="177" spans="1:16" ht="17" x14ac:dyDescent="0.2">
      <c r="B177" s="162" t="s">
        <v>184</v>
      </c>
      <c r="C177" s="19" t="s">
        <v>40</v>
      </c>
      <c r="F177" s="34" t="s">
        <v>0</v>
      </c>
      <c r="G177" s="62" t="s">
        <v>41</v>
      </c>
      <c r="H177" s="61">
        <v>17786</v>
      </c>
      <c r="M177" s="68"/>
      <c r="N177" s="67" t="s">
        <v>42</v>
      </c>
      <c r="P177" s="23"/>
    </row>
    <row r="178" spans="1:16" ht="17" x14ac:dyDescent="0.2">
      <c r="B178" s="162" t="s">
        <v>185</v>
      </c>
      <c r="C178" s="19" t="s">
        <v>40</v>
      </c>
      <c r="F178" s="34" t="s">
        <v>0</v>
      </c>
      <c r="G178" s="62" t="s">
        <v>41</v>
      </c>
      <c r="H178" s="61">
        <v>17786</v>
      </c>
      <c r="M178" s="68"/>
      <c r="N178" s="67" t="s">
        <v>42</v>
      </c>
      <c r="P178" s="23"/>
    </row>
    <row r="179" spans="1:16" ht="17" x14ac:dyDescent="0.2">
      <c r="B179"/>
      <c r="C179" s="19"/>
      <c r="G179" s="35"/>
      <c r="H179" s="69"/>
      <c r="M179" s="68"/>
      <c r="N179" s="67" t="s">
        <v>45</v>
      </c>
      <c r="P179" s="23"/>
    </row>
    <row r="180" spans="1:16" ht="25" x14ac:dyDescent="0.3">
      <c r="B180" s="125" t="s">
        <v>186</v>
      </c>
      <c r="N180" s="67" t="s">
        <v>45</v>
      </c>
      <c r="P180" s="23"/>
    </row>
    <row r="181" spans="1:16" ht="69" x14ac:dyDescent="0.2">
      <c r="B181" s="126" t="s">
        <v>187</v>
      </c>
      <c r="N181" s="67" t="s">
        <v>45</v>
      </c>
      <c r="P181" s="23"/>
    </row>
    <row r="182" spans="1:16" ht="34" x14ac:dyDescent="0.2">
      <c r="B182" s="127" t="s">
        <v>188</v>
      </c>
      <c r="N182" s="67" t="s">
        <v>45</v>
      </c>
      <c r="P182" s="23"/>
    </row>
    <row r="183" spans="1:16" ht="17" x14ac:dyDescent="0.2">
      <c r="B183" s="129" t="s">
        <v>36</v>
      </c>
      <c r="C183" s="19"/>
      <c r="G183" s="35"/>
      <c r="H183" s="69"/>
      <c r="M183" s="68"/>
      <c r="N183" s="67" t="s">
        <v>45</v>
      </c>
      <c r="P183" s="23"/>
    </row>
    <row r="184" spans="1:16" ht="17" x14ac:dyDescent="0.2">
      <c r="B184" s="129" t="s">
        <v>37</v>
      </c>
      <c r="C184" s="19"/>
      <c r="G184" s="35"/>
      <c r="H184" s="69"/>
      <c r="M184" s="68"/>
      <c r="N184" s="67" t="s">
        <v>45</v>
      </c>
      <c r="P184" s="23"/>
    </row>
    <row r="185" spans="1:16" ht="17" x14ac:dyDescent="0.2">
      <c r="B185" s="128" t="s">
        <v>38</v>
      </c>
      <c r="N185" s="67" t="s">
        <v>45</v>
      </c>
      <c r="P185" s="23"/>
    </row>
    <row r="186" spans="1:16" ht="32" x14ac:dyDescent="0.2">
      <c r="A186" s="235"/>
      <c r="B186" s="164" t="s">
        <v>189</v>
      </c>
      <c r="C186" s="19" t="s">
        <v>40</v>
      </c>
      <c r="F186" s="34" t="s">
        <v>0</v>
      </c>
      <c r="G186" s="62" t="s">
        <v>41</v>
      </c>
      <c r="H186" s="61">
        <v>17786</v>
      </c>
      <c r="N186" s="67" t="s">
        <v>42</v>
      </c>
      <c r="P186" s="23"/>
    </row>
    <row r="187" spans="1:16" ht="32" x14ac:dyDescent="0.2">
      <c r="A187" s="235"/>
      <c r="B187" s="130" t="s">
        <v>43</v>
      </c>
      <c r="C187" s="19" t="s">
        <v>40</v>
      </c>
      <c r="F187" s="34" t="s">
        <v>0</v>
      </c>
      <c r="G187" s="62" t="s">
        <v>41</v>
      </c>
      <c r="H187" s="61">
        <v>17786</v>
      </c>
      <c r="N187" s="67" t="s">
        <v>42</v>
      </c>
      <c r="P187" s="23"/>
    </row>
    <row r="188" spans="1:16" ht="17" x14ac:dyDescent="0.2">
      <c r="A188" s="235"/>
      <c r="B188" s="128" t="s">
        <v>44</v>
      </c>
      <c r="C188" s="19"/>
      <c r="G188" s="35"/>
      <c r="H188" s="69"/>
      <c r="M188" s="68"/>
      <c r="N188" s="67" t="s">
        <v>45</v>
      </c>
      <c r="P188" s="23"/>
    </row>
    <row r="189" spans="1:16" ht="17" x14ac:dyDescent="0.2">
      <c r="A189" s="235"/>
      <c r="B189" s="130" t="s">
        <v>46</v>
      </c>
      <c r="C189" s="19" t="s">
        <v>40</v>
      </c>
      <c r="F189" s="34" t="s">
        <v>0</v>
      </c>
      <c r="G189" s="62" t="s">
        <v>41</v>
      </c>
      <c r="H189" s="61">
        <v>17786</v>
      </c>
      <c r="M189" s="68"/>
      <c r="N189" s="67" t="s">
        <v>42</v>
      </c>
      <c r="P189" s="23"/>
    </row>
    <row r="190" spans="1:16" ht="17" x14ac:dyDescent="0.2">
      <c r="A190" s="235"/>
      <c r="B190" s="128" t="s">
        <v>47</v>
      </c>
      <c r="C190" s="19"/>
      <c r="F190" s="34" t="s">
        <v>0</v>
      </c>
      <c r="G190" s="35"/>
      <c r="H190" s="69"/>
      <c r="M190" s="68"/>
      <c r="N190" s="67" t="s">
        <v>45</v>
      </c>
      <c r="P190" s="23"/>
    </row>
    <row r="191" spans="1:16" ht="17" x14ac:dyDescent="0.2">
      <c r="A191" s="235"/>
      <c r="B191" s="131" t="s">
        <v>48</v>
      </c>
      <c r="C191" s="19" t="s">
        <v>40</v>
      </c>
      <c r="F191" s="34" t="s">
        <v>0</v>
      </c>
      <c r="G191" s="62" t="s">
        <v>41</v>
      </c>
      <c r="H191" s="61">
        <v>17786</v>
      </c>
      <c r="N191" s="67" t="s">
        <v>42</v>
      </c>
      <c r="P191" s="23"/>
    </row>
    <row r="192" spans="1:16" ht="17" x14ac:dyDescent="0.2">
      <c r="A192" s="235"/>
      <c r="B192" s="131" t="s">
        <v>49</v>
      </c>
      <c r="C192" s="19" t="s">
        <v>40</v>
      </c>
      <c r="F192" s="34" t="s">
        <v>0</v>
      </c>
      <c r="G192" s="62" t="s">
        <v>41</v>
      </c>
      <c r="H192" s="61">
        <v>17786</v>
      </c>
      <c r="N192" s="67" t="s">
        <v>42</v>
      </c>
      <c r="P192" s="23"/>
    </row>
    <row r="193" spans="1:16" ht="34" x14ac:dyDescent="0.2">
      <c r="A193" s="235"/>
      <c r="B193" s="131" t="s">
        <v>50</v>
      </c>
      <c r="C193" s="19" t="s">
        <v>40</v>
      </c>
      <c r="F193" s="34" t="s">
        <v>0</v>
      </c>
      <c r="G193" s="62" t="s">
        <v>41</v>
      </c>
      <c r="H193" s="61">
        <v>17786</v>
      </c>
      <c r="M193" s="68"/>
      <c r="N193" s="67" t="s">
        <v>42</v>
      </c>
      <c r="P193" s="23"/>
    </row>
    <row r="194" spans="1:16" ht="17" x14ac:dyDescent="0.2">
      <c r="B194" s="128" t="s">
        <v>51</v>
      </c>
      <c r="C194" s="19"/>
      <c r="G194" s="35"/>
      <c r="H194" s="69"/>
      <c r="M194" s="68"/>
      <c r="N194" s="67" t="s">
        <v>45</v>
      </c>
      <c r="P194" s="23"/>
    </row>
    <row r="195" spans="1:16" ht="30" customHeight="1" x14ac:dyDescent="0.2">
      <c r="B195" s="131" t="s">
        <v>52</v>
      </c>
      <c r="C195" s="19" t="s">
        <v>40</v>
      </c>
      <c r="F195" s="34" t="s">
        <v>0</v>
      </c>
      <c r="G195" s="62" t="s">
        <v>41</v>
      </c>
      <c r="H195" s="61">
        <v>17786</v>
      </c>
      <c r="M195" s="68"/>
      <c r="N195" s="67" t="s">
        <v>42</v>
      </c>
      <c r="P195" s="23"/>
    </row>
    <row r="196" spans="1:16" ht="17" x14ac:dyDescent="0.2">
      <c r="B196" s="132" t="s">
        <v>53</v>
      </c>
      <c r="C196" s="19"/>
      <c r="G196" s="35"/>
      <c r="H196" s="69"/>
      <c r="M196" s="68"/>
      <c r="N196" s="67" t="s">
        <v>45</v>
      </c>
      <c r="P196" s="23"/>
    </row>
    <row r="197" spans="1:16" ht="51" x14ac:dyDescent="0.2">
      <c r="B197" s="133" t="s">
        <v>54</v>
      </c>
      <c r="C197" s="19" t="s">
        <v>40</v>
      </c>
      <c r="F197" s="34" t="s">
        <v>0</v>
      </c>
      <c r="G197" s="62" t="s">
        <v>41</v>
      </c>
      <c r="H197" s="61">
        <v>17786</v>
      </c>
      <c r="N197" s="67" t="s">
        <v>42</v>
      </c>
      <c r="P197" s="23"/>
    </row>
    <row r="198" spans="1:16" ht="17" x14ac:dyDescent="0.2">
      <c r="B198" s="128" t="s">
        <v>55</v>
      </c>
      <c r="C198" s="19"/>
      <c r="G198" s="35"/>
      <c r="H198" s="69"/>
      <c r="M198" s="68"/>
      <c r="N198" s="67" t="s">
        <v>45</v>
      </c>
      <c r="P198" s="23"/>
    </row>
    <row r="199" spans="1:16" ht="51" x14ac:dyDescent="0.2">
      <c r="B199" s="134" t="s">
        <v>56</v>
      </c>
      <c r="C199" s="19" t="s">
        <v>40</v>
      </c>
      <c r="F199" s="34" t="s">
        <v>0</v>
      </c>
      <c r="G199" s="62" t="s">
        <v>41</v>
      </c>
      <c r="H199" s="61">
        <v>17786</v>
      </c>
      <c r="N199" s="67" t="s">
        <v>42</v>
      </c>
      <c r="P199" s="23"/>
    </row>
    <row r="200" spans="1:16" ht="17" x14ac:dyDescent="0.2">
      <c r="B200" s="128" t="s">
        <v>58</v>
      </c>
      <c r="C200" s="19"/>
      <c r="G200" s="35"/>
      <c r="H200" s="69"/>
      <c r="M200" s="68"/>
      <c r="N200" s="67" t="s">
        <v>45</v>
      </c>
      <c r="P200" s="23"/>
    </row>
    <row r="201" spans="1:16" ht="51" x14ac:dyDescent="0.2">
      <c r="B201" s="131" t="s">
        <v>59</v>
      </c>
      <c r="C201" s="19" t="s">
        <v>40</v>
      </c>
      <c r="F201" s="34" t="s">
        <v>0</v>
      </c>
      <c r="G201" s="62" t="s">
        <v>41</v>
      </c>
      <c r="H201" s="61">
        <v>17786</v>
      </c>
      <c r="M201" s="68"/>
      <c r="N201" s="67" t="s">
        <v>42</v>
      </c>
      <c r="P201" s="23"/>
    </row>
    <row r="202" spans="1:16" ht="17" x14ac:dyDescent="0.2">
      <c r="B202" s="132" t="s">
        <v>60</v>
      </c>
      <c r="C202" s="19"/>
      <c r="G202" s="35"/>
      <c r="H202" s="69"/>
      <c r="M202" s="68"/>
      <c r="N202" s="67" t="s">
        <v>45</v>
      </c>
      <c r="P202" s="23"/>
    </row>
    <row r="203" spans="1:16" ht="17" x14ac:dyDescent="0.2">
      <c r="B203" s="135" t="s">
        <v>61</v>
      </c>
      <c r="C203" s="19" t="s">
        <v>40</v>
      </c>
      <c r="F203" s="34" t="s">
        <v>0</v>
      </c>
      <c r="G203" s="62" t="s">
        <v>41</v>
      </c>
      <c r="H203" s="61">
        <v>17786</v>
      </c>
      <c r="M203" s="68"/>
      <c r="N203" s="67" t="s">
        <v>42</v>
      </c>
      <c r="P203" s="23"/>
    </row>
    <row r="204" spans="1:16" ht="17" x14ac:dyDescent="0.2">
      <c r="B204" s="136" t="s">
        <v>62</v>
      </c>
      <c r="C204" s="19" t="s">
        <v>40</v>
      </c>
      <c r="F204" s="34" t="s">
        <v>0</v>
      </c>
      <c r="G204" s="62" t="s">
        <v>41</v>
      </c>
      <c r="H204" s="61">
        <v>17786</v>
      </c>
      <c r="M204" s="68"/>
      <c r="N204" s="67" t="s">
        <v>42</v>
      </c>
      <c r="P204" s="23"/>
    </row>
    <row r="205" spans="1:16" ht="96" x14ac:dyDescent="0.2">
      <c r="B205" s="211" t="s">
        <v>63</v>
      </c>
      <c r="C205" s="19" t="s">
        <v>40</v>
      </c>
      <c r="F205" s="34" t="s">
        <v>0</v>
      </c>
      <c r="G205" s="62" t="s">
        <v>41</v>
      </c>
      <c r="H205" s="61">
        <v>17786</v>
      </c>
      <c r="N205" s="67" t="s">
        <v>42</v>
      </c>
      <c r="P205" s="23"/>
    </row>
    <row r="206" spans="1:16" ht="17" x14ac:dyDescent="0.2">
      <c r="B206" s="136" t="s">
        <v>64</v>
      </c>
      <c r="C206" s="19" t="s">
        <v>40</v>
      </c>
      <c r="F206" s="34" t="s">
        <v>0</v>
      </c>
      <c r="G206" s="62" t="s">
        <v>41</v>
      </c>
      <c r="H206" s="61">
        <v>17786</v>
      </c>
      <c r="N206" s="67" t="s">
        <v>42</v>
      </c>
      <c r="P206" s="23"/>
    </row>
    <row r="207" spans="1:16" ht="17" x14ac:dyDescent="0.2">
      <c r="B207" s="128" t="s">
        <v>65</v>
      </c>
      <c r="N207" s="67" t="s">
        <v>45</v>
      </c>
      <c r="P207" s="23"/>
    </row>
    <row r="208" spans="1:16" ht="17" x14ac:dyDescent="0.2">
      <c r="B208" s="131" t="s">
        <v>66</v>
      </c>
      <c r="C208" s="19" t="s">
        <v>40</v>
      </c>
      <c r="F208" s="34" t="s">
        <v>0</v>
      </c>
      <c r="G208" s="62" t="s">
        <v>41</v>
      </c>
      <c r="H208" s="61">
        <v>17786</v>
      </c>
      <c r="N208" s="67" t="s">
        <v>42</v>
      </c>
      <c r="P208" s="23"/>
    </row>
    <row r="209" spans="2:16" ht="17" x14ac:dyDescent="0.2">
      <c r="B209" s="138" t="s">
        <v>67</v>
      </c>
      <c r="C209" s="19" t="s">
        <v>40</v>
      </c>
      <c r="F209" s="34" t="s">
        <v>0</v>
      </c>
      <c r="G209" s="62" t="s">
        <v>41</v>
      </c>
      <c r="H209" s="61">
        <v>17786</v>
      </c>
      <c r="N209" s="67" t="s">
        <v>42</v>
      </c>
      <c r="P209" s="23"/>
    </row>
    <row r="210" spans="2:16" ht="17" x14ac:dyDescent="0.2">
      <c r="B210" s="138" t="s">
        <v>68</v>
      </c>
      <c r="C210" s="19" t="s">
        <v>40</v>
      </c>
      <c r="F210" s="34" t="s">
        <v>0</v>
      </c>
      <c r="G210" s="62" t="s">
        <v>41</v>
      </c>
      <c r="H210" s="61">
        <v>17786</v>
      </c>
      <c r="N210" s="67" t="s">
        <v>42</v>
      </c>
      <c r="P210" s="23"/>
    </row>
    <row r="211" spans="2:16" ht="17" x14ac:dyDescent="0.2">
      <c r="B211" s="138" t="s">
        <v>69</v>
      </c>
      <c r="C211" s="19" t="s">
        <v>40</v>
      </c>
      <c r="F211" s="34" t="s">
        <v>0</v>
      </c>
      <c r="G211" s="62" t="s">
        <v>41</v>
      </c>
      <c r="H211" s="61">
        <v>17786</v>
      </c>
      <c r="M211" s="68"/>
      <c r="N211" s="67" t="s">
        <v>42</v>
      </c>
      <c r="P211" s="23"/>
    </row>
    <row r="212" spans="2:16" ht="17" x14ac:dyDescent="0.2">
      <c r="B212" s="138" t="s">
        <v>70</v>
      </c>
      <c r="C212" s="19" t="s">
        <v>40</v>
      </c>
      <c r="F212" s="34" t="s">
        <v>0</v>
      </c>
      <c r="G212" s="62" t="s">
        <v>41</v>
      </c>
      <c r="H212" s="61">
        <v>17786</v>
      </c>
      <c r="M212" s="68"/>
      <c r="N212" s="67" t="s">
        <v>42</v>
      </c>
      <c r="P212" s="23"/>
    </row>
    <row r="213" spans="2:16" ht="17" x14ac:dyDescent="0.2">
      <c r="B213" s="138" t="s">
        <v>71</v>
      </c>
      <c r="C213" s="19" t="s">
        <v>40</v>
      </c>
      <c r="F213" s="34" t="s">
        <v>0</v>
      </c>
      <c r="G213" s="62" t="s">
        <v>41</v>
      </c>
      <c r="H213" s="61">
        <v>17786</v>
      </c>
      <c r="M213" s="68"/>
      <c r="N213" s="67" t="s">
        <v>42</v>
      </c>
      <c r="P213" s="23"/>
    </row>
    <row r="214" spans="2:16" ht="17" x14ac:dyDescent="0.2">
      <c r="B214" s="139" t="s">
        <v>72</v>
      </c>
      <c r="C214" s="19" t="s">
        <v>40</v>
      </c>
      <c r="F214" s="34" t="s">
        <v>0</v>
      </c>
      <c r="G214" s="62" t="s">
        <v>41</v>
      </c>
      <c r="H214" s="61">
        <v>17786</v>
      </c>
      <c r="M214" s="68"/>
      <c r="N214" s="67" t="s">
        <v>42</v>
      </c>
      <c r="P214" s="23"/>
    </row>
    <row r="215" spans="2:16" ht="17" x14ac:dyDescent="0.2">
      <c r="B215" s="131" t="s">
        <v>73</v>
      </c>
      <c r="C215" s="19" t="s">
        <v>40</v>
      </c>
      <c r="F215" s="34" t="s">
        <v>0</v>
      </c>
      <c r="G215" s="62" t="s">
        <v>41</v>
      </c>
      <c r="H215" s="61">
        <v>17786</v>
      </c>
      <c r="M215" s="68"/>
      <c r="N215" s="67" t="s">
        <v>42</v>
      </c>
      <c r="P215" s="23"/>
    </row>
    <row r="216" spans="2:16" ht="17" x14ac:dyDescent="0.2">
      <c r="B216" s="139" t="s">
        <v>74</v>
      </c>
      <c r="C216" s="19" t="s">
        <v>40</v>
      </c>
      <c r="F216" s="34" t="s">
        <v>0</v>
      </c>
      <c r="G216" s="62" t="s">
        <v>41</v>
      </c>
      <c r="H216" s="61">
        <v>17786</v>
      </c>
      <c r="M216" s="68"/>
      <c r="N216" s="67" t="s">
        <v>42</v>
      </c>
      <c r="P216" s="23"/>
    </row>
    <row r="217" spans="2:16" ht="17" x14ac:dyDescent="0.2">
      <c r="B217" s="139" t="s">
        <v>75</v>
      </c>
      <c r="C217" s="19" t="s">
        <v>40</v>
      </c>
      <c r="F217" s="34" t="s">
        <v>0</v>
      </c>
      <c r="G217" s="62" t="s">
        <v>41</v>
      </c>
      <c r="H217" s="61">
        <v>17786</v>
      </c>
      <c r="M217" s="68"/>
      <c r="N217" s="67" t="s">
        <v>42</v>
      </c>
      <c r="P217" s="23"/>
    </row>
    <row r="218" spans="2:16" ht="17" x14ac:dyDescent="0.2">
      <c r="B218" s="138" t="s">
        <v>76</v>
      </c>
      <c r="C218" s="19" t="s">
        <v>40</v>
      </c>
      <c r="F218" s="34" t="s">
        <v>0</v>
      </c>
      <c r="G218" s="62" t="s">
        <v>41</v>
      </c>
      <c r="H218" s="61">
        <v>17786</v>
      </c>
      <c r="M218" s="68"/>
      <c r="N218" s="67" t="s">
        <v>42</v>
      </c>
      <c r="P218" s="23"/>
    </row>
    <row r="219" spans="2:16" ht="85" x14ac:dyDescent="0.2">
      <c r="B219" s="138" t="s">
        <v>77</v>
      </c>
      <c r="C219" s="19" t="s">
        <v>40</v>
      </c>
      <c r="F219" s="34" t="s">
        <v>0</v>
      </c>
      <c r="G219" s="62" t="s">
        <v>41</v>
      </c>
      <c r="H219" s="61">
        <v>17786</v>
      </c>
      <c r="N219" s="67" t="s">
        <v>42</v>
      </c>
      <c r="P219" s="23"/>
    </row>
    <row r="220" spans="2:16" ht="17" x14ac:dyDescent="0.2">
      <c r="B220" s="138" t="s">
        <v>78</v>
      </c>
      <c r="C220" s="19" t="s">
        <v>40</v>
      </c>
      <c r="F220" s="34" t="s">
        <v>0</v>
      </c>
      <c r="G220" s="62" t="s">
        <v>41</v>
      </c>
      <c r="H220" s="61">
        <v>17786</v>
      </c>
      <c r="M220" s="68"/>
      <c r="N220" s="67" t="s">
        <v>42</v>
      </c>
      <c r="P220" s="23"/>
    </row>
    <row r="221" spans="2:16" ht="17" x14ac:dyDescent="0.2">
      <c r="B221" s="138" t="s">
        <v>79</v>
      </c>
      <c r="C221" s="19" t="s">
        <v>40</v>
      </c>
      <c r="F221" s="34" t="s">
        <v>0</v>
      </c>
      <c r="G221" s="62" t="s">
        <v>41</v>
      </c>
      <c r="H221" s="61">
        <v>17786</v>
      </c>
      <c r="M221" s="68"/>
      <c r="N221" s="67" t="s">
        <v>42</v>
      </c>
      <c r="P221" s="23"/>
    </row>
    <row r="222" spans="2:16" ht="17" x14ac:dyDescent="0.2">
      <c r="B222" s="138" t="s">
        <v>80</v>
      </c>
      <c r="C222" s="19" t="s">
        <v>40</v>
      </c>
      <c r="F222" s="34" t="s">
        <v>0</v>
      </c>
      <c r="G222" s="62" t="s">
        <v>41</v>
      </c>
      <c r="H222" s="61">
        <v>17786</v>
      </c>
      <c r="M222" s="68"/>
      <c r="N222" s="67" t="s">
        <v>42</v>
      </c>
      <c r="P222" s="23"/>
    </row>
    <row r="223" spans="2:16" ht="17" x14ac:dyDescent="0.2">
      <c r="B223" s="138" t="s">
        <v>81</v>
      </c>
      <c r="C223" s="19" t="s">
        <v>40</v>
      </c>
      <c r="F223" s="34" t="s">
        <v>0</v>
      </c>
      <c r="G223" s="62" t="s">
        <v>41</v>
      </c>
      <c r="H223" s="61">
        <v>17786</v>
      </c>
      <c r="M223" s="68"/>
      <c r="N223" s="67" t="s">
        <v>42</v>
      </c>
      <c r="P223" s="23"/>
    </row>
    <row r="224" spans="2:16" ht="17" x14ac:dyDescent="0.2">
      <c r="B224" s="138" t="s">
        <v>82</v>
      </c>
      <c r="C224" s="19" t="s">
        <v>40</v>
      </c>
      <c r="F224" s="34" t="s">
        <v>0</v>
      </c>
      <c r="G224" s="62" t="s">
        <v>41</v>
      </c>
      <c r="H224" s="61">
        <v>17786</v>
      </c>
      <c r="N224" s="67" t="s">
        <v>42</v>
      </c>
      <c r="P224" s="23"/>
    </row>
    <row r="225" spans="1:16" ht="17" x14ac:dyDescent="0.2">
      <c r="B225" s="138" t="s">
        <v>83</v>
      </c>
      <c r="C225" s="19" t="s">
        <v>40</v>
      </c>
      <c r="F225" s="34" t="s">
        <v>0</v>
      </c>
      <c r="G225" s="62" t="s">
        <v>41</v>
      </c>
      <c r="H225" s="61">
        <v>17786</v>
      </c>
      <c r="M225" s="68"/>
      <c r="N225" s="67" t="s">
        <v>42</v>
      </c>
      <c r="P225" s="23"/>
    </row>
    <row r="226" spans="1:16" ht="17" x14ac:dyDescent="0.2">
      <c r="B226" s="138" t="s">
        <v>84</v>
      </c>
      <c r="C226" s="19" t="s">
        <v>40</v>
      </c>
      <c r="F226" s="34" t="s">
        <v>0</v>
      </c>
      <c r="G226" s="62" t="s">
        <v>41</v>
      </c>
      <c r="H226" s="61">
        <v>17786</v>
      </c>
      <c r="M226" s="68"/>
      <c r="N226" s="67" t="s">
        <v>42</v>
      </c>
      <c r="P226" s="23"/>
    </row>
    <row r="227" spans="1:16" ht="17" x14ac:dyDescent="0.2">
      <c r="B227" s="139" t="s">
        <v>85</v>
      </c>
      <c r="C227" s="19" t="s">
        <v>40</v>
      </c>
      <c r="F227" s="34" t="s">
        <v>0</v>
      </c>
      <c r="G227" s="62" t="s">
        <v>41</v>
      </c>
      <c r="H227" s="61">
        <v>17786</v>
      </c>
      <c r="M227" s="68"/>
      <c r="N227" s="67" t="s">
        <v>42</v>
      </c>
      <c r="P227" s="23"/>
    </row>
    <row r="228" spans="1:16" ht="17" x14ac:dyDescent="0.2">
      <c r="A228" s="235"/>
      <c r="B228" s="140" t="s">
        <v>86</v>
      </c>
      <c r="C228" s="19"/>
      <c r="G228" s="35"/>
      <c r="H228" s="69"/>
      <c r="M228" s="68"/>
      <c r="N228" s="67" t="s">
        <v>45</v>
      </c>
      <c r="P228" s="23"/>
    </row>
    <row r="229" spans="1:16" ht="17" x14ac:dyDescent="0.2">
      <c r="B229" s="141" t="s">
        <v>87</v>
      </c>
      <c r="C229" s="19" t="s">
        <v>40</v>
      </c>
      <c r="F229" s="34" t="s">
        <v>0</v>
      </c>
      <c r="G229" s="62" t="s">
        <v>41</v>
      </c>
      <c r="H229" s="61">
        <v>17786</v>
      </c>
      <c r="N229" s="67" t="s">
        <v>42</v>
      </c>
      <c r="P229" s="23"/>
    </row>
    <row r="230" spans="1:16" ht="32" x14ac:dyDescent="0.2">
      <c r="B230" s="140" t="s">
        <v>88</v>
      </c>
      <c r="C230" s="19"/>
      <c r="G230" s="35"/>
      <c r="H230" s="69"/>
      <c r="M230" s="68"/>
      <c r="N230" s="67" t="s">
        <v>45</v>
      </c>
      <c r="P230" s="23"/>
    </row>
    <row r="231" spans="1:16" ht="33.75" customHeight="1" x14ac:dyDescent="0.2">
      <c r="B231" s="142" t="s">
        <v>89</v>
      </c>
      <c r="C231" s="19" t="s">
        <v>40</v>
      </c>
      <c r="F231" s="34" t="s">
        <v>0</v>
      </c>
      <c r="G231" s="62" t="s">
        <v>41</v>
      </c>
      <c r="H231" s="61">
        <v>17786</v>
      </c>
      <c r="M231" s="68"/>
      <c r="N231" s="67" t="s">
        <v>42</v>
      </c>
      <c r="P231" s="23"/>
    </row>
    <row r="232" spans="1:16" ht="17" x14ac:dyDescent="0.2">
      <c r="B232" s="140" t="s">
        <v>90</v>
      </c>
      <c r="C232" s="19"/>
      <c r="G232" s="35"/>
      <c r="H232" s="69"/>
      <c r="M232" s="68"/>
      <c r="N232" s="67" t="s">
        <v>45</v>
      </c>
      <c r="P232" s="23"/>
    </row>
    <row r="233" spans="1:16" ht="32" x14ac:dyDescent="0.2">
      <c r="B233" s="142" t="s">
        <v>91</v>
      </c>
      <c r="C233" s="19" t="s">
        <v>40</v>
      </c>
      <c r="F233" s="34" t="s">
        <v>92</v>
      </c>
      <c r="G233" s="62" t="s">
        <v>41</v>
      </c>
      <c r="H233" s="61">
        <v>17786</v>
      </c>
      <c r="N233" s="67" t="s">
        <v>42</v>
      </c>
      <c r="P233" s="23"/>
    </row>
    <row r="234" spans="1:16" ht="17" x14ac:dyDescent="0.2">
      <c r="B234" s="140" t="s">
        <v>93</v>
      </c>
      <c r="N234" s="67" t="s">
        <v>45</v>
      </c>
      <c r="P234" s="23"/>
    </row>
    <row r="235" spans="1:16" ht="32" x14ac:dyDescent="0.2">
      <c r="B235" s="142" t="s">
        <v>94</v>
      </c>
      <c r="C235" s="19" t="s">
        <v>40</v>
      </c>
      <c r="F235" s="34" t="s">
        <v>92</v>
      </c>
      <c r="G235" s="62" t="s">
        <v>41</v>
      </c>
      <c r="H235" s="61">
        <v>17786</v>
      </c>
      <c r="N235" s="67" t="s">
        <v>42</v>
      </c>
      <c r="P235" s="23"/>
    </row>
    <row r="236" spans="1:16" ht="48" x14ac:dyDescent="0.2">
      <c r="B236" s="143" t="s">
        <v>95</v>
      </c>
      <c r="C236" s="19" t="s">
        <v>40</v>
      </c>
      <c r="F236" s="210" t="s">
        <v>92</v>
      </c>
      <c r="G236" s="62" t="s">
        <v>41</v>
      </c>
      <c r="H236" s="61">
        <v>17786</v>
      </c>
      <c r="N236" s="67" t="s">
        <v>42</v>
      </c>
      <c r="P236" s="23"/>
    </row>
    <row r="237" spans="1:16" ht="22.5" customHeight="1" x14ac:dyDescent="0.2">
      <c r="B237" s="144" t="s">
        <v>96</v>
      </c>
      <c r="C237" s="19" t="s">
        <v>40</v>
      </c>
      <c r="F237" s="210" t="s">
        <v>92</v>
      </c>
      <c r="G237" s="62" t="s">
        <v>41</v>
      </c>
      <c r="H237" s="61">
        <v>17786</v>
      </c>
      <c r="N237" s="67" t="s">
        <v>42</v>
      </c>
      <c r="P237" s="23"/>
    </row>
    <row r="238" spans="1:16" ht="32" x14ac:dyDescent="0.2">
      <c r="B238" s="143" t="s">
        <v>97</v>
      </c>
      <c r="C238" s="19" t="s">
        <v>40</v>
      </c>
      <c r="F238" s="210" t="s">
        <v>92</v>
      </c>
      <c r="G238" s="62" t="s">
        <v>41</v>
      </c>
      <c r="H238" s="61">
        <v>17786</v>
      </c>
      <c r="M238" s="68"/>
      <c r="N238" s="67" t="s">
        <v>42</v>
      </c>
      <c r="P238" s="23"/>
    </row>
    <row r="239" spans="1:16" ht="20.25" customHeight="1" x14ac:dyDescent="0.2">
      <c r="B239" s="142" t="s">
        <v>98</v>
      </c>
      <c r="C239" s="19" t="s">
        <v>40</v>
      </c>
      <c r="F239" s="210" t="s">
        <v>92</v>
      </c>
      <c r="G239" s="62" t="s">
        <v>41</v>
      </c>
      <c r="H239" s="61">
        <v>17786</v>
      </c>
      <c r="M239" s="68"/>
      <c r="N239" s="67" t="s">
        <v>42</v>
      </c>
      <c r="P239" s="23"/>
    </row>
    <row r="240" spans="1:16" ht="17" x14ac:dyDescent="0.2">
      <c r="B240" s="144" t="s">
        <v>99</v>
      </c>
      <c r="C240" s="19" t="s">
        <v>40</v>
      </c>
      <c r="F240" s="210" t="s">
        <v>92</v>
      </c>
      <c r="G240" s="62" t="s">
        <v>41</v>
      </c>
      <c r="H240" s="61">
        <v>17786</v>
      </c>
      <c r="M240" s="68"/>
      <c r="N240" s="67" t="s">
        <v>42</v>
      </c>
      <c r="P240" s="23"/>
    </row>
    <row r="241" spans="1:17" ht="17" x14ac:dyDescent="0.2">
      <c r="B241" s="143" t="s">
        <v>100</v>
      </c>
      <c r="C241" s="19" t="s">
        <v>40</v>
      </c>
      <c r="F241" s="210" t="s">
        <v>92</v>
      </c>
      <c r="G241" s="62" t="s">
        <v>41</v>
      </c>
      <c r="H241" s="61">
        <v>17786</v>
      </c>
      <c r="M241" s="68"/>
      <c r="N241" s="67" t="s">
        <v>42</v>
      </c>
      <c r="P241" s="23"/>
    </row>
    <row r="242" spans="1:17" ht="17" x14ac:dyDescent="0.2">
      <c r="B242" s="140" t="s">
        <v>101</v>
      </c>
      <c r="C242" s="19"/>
      <c r="F242" s="210"/>
      <c r="G242" s="35"/>
      <c r="H242" s="69"/>
      <c r="M242" s="68"/>
      <c r="N242" s="67" t="s">
        <v>45</v>
      </c>
      <c r="P242" s="23"/>
    </row>
    <row r="243" spans="1:17" ht="17" x14ac:dyDescent="0.2">
      <c r="B243" s="141" t="s">
        <v>87</v>
      </c>
      <c r="C243" s="19" t="s">
        <v>40</v>
      </c>
      <c r="F243" s="34" t="s">
        <v>0</v>
      </c>
      <c r="G243" s="62" t="s">
        <v>41</v>
      </c>
      <c r="H243" s="61">
        <v>17786</v>
      </c>
      <c r="M243" s="68"/>
      <c r="N243" s="67" t="s">
        <v>42</v>
      </c>
      <c r="P243" s="23"/>
    </row>
    <row r="244" spans="1:17" ht="32" x14ac:dyDescent="0.2">
      <c r="B244" s="142" t="s">
        <v>102</v>
      </c>
      <c r="C244" s="19" t="s">
        <v>40</v>
      </c>
      <c r="F244" s="34" t="s">
        <v>0</v>
      </c>
      <c r="G244" s="62" t="s">
        <v>41</v>
      </c>
      <c r="H244" s="61">
        <v>17786</v>
      </c>
      <c r="M244" s="68"/>
      <c r="N244" s="67" t="s">
        <v>42</v>
      </c>
      <c r="P244" s="23"/>
    </row>
    <row r="245" spans="1:17" ht="48" x14ac:dyDescent="0.2">
      <c r="B245" s="143" t="s">
        <v>113</v>
      </c>
      <c r="C245" s="19" t="s">
        <v>40</v>
      </c>
      <c r="F245" s="34" t="s">
        <v>0</v>
      </c>
      <c r="G245" s="62" t="s">
        <v>41</v>
      </c>
      <c r="H245" s="61">
        <v>17786</v>
      </c>
      <c r="M245" s="68"/>
      <c r="N245" s="67" t="s">
        <v>42</v>
      </c>
      <c r="P245" s="23"/>
    </row>
    <row r="246" spans="1:17" ht="17" x14ac:dyDescent="0.2">
      <c r="B246" s="144" t="s">
        <v>96</v>
      </c>
      <c r="C246" s="19" t="s">
        <v>40</v>
      </c>
      <c r="F246" s="34" t="s">
        <v>0</v>
      </c>
      <c r="G246" s="62" t="s">
        <v>41</v>
      </c>
      <c r="H246" s="61">
        <v>17786</v>
      </c>
      <c r="M246" s="68"/>
      <c r="N246" s="67" t="s">
        <v>42</v>
      </c>
      <c r="P246" s="23"/>
    </row>
    <row r="247" spans="1:17" ht="32" x14ac:dyDescent="0.2">
      <c r="B247" s="143" t="s">
        <v>97</v>
      </c>
      <c r="C247" s="19" t="s">
        <v>40</v>
      </c>
      <c r="F247" s="34" t="s">
        <v>0</v>
      </c>
      <c r="G247" s="62" t="s">
        <v>41</v>
      </c>
      <c r="H247" s="61">
        <v>17786</v>
      </c>
      <c r="N247" s="67" t="s">
        <v>42</v>
      </c>
      <c r="P247" s="23"/>
    </row>
    <row r="248" spans="1:17" ht="32" x14ac:dyDescent="0.2">
      <c r="B248" s="142" t="s">
        <v>114</v>
      </c>
      <c r="C248" s="19" t="s">
        <v>40</v>
      </c>
      <c r="F248" s="34" t="s">
        <v>0</v>
      </c>
      <c r="G248" s="62" t="s">
        <v>41</v>
      </c>
      <c r="H248" s="61">
        <v>17786</v>
      </c>
      <c r="N248" s="67" t="s">
        <v>42</v>
      </c>
      <c r="P248" s="23"/>
    </row>
    <row r="249" spans="1:17" ht="17" x14ac:dyDescent="0.2">
      <c r="B249" s="144" t="s">
        <v>99</v>
      </c>
      <c r="C249" s="19" t="s">
        <v>40</v>
      </c>
      <c r="F249" s="34" t="s">
        <v>0</v>
      </c>
      <c r="G249" s="62" t="s">
        <v>41</v>
      </c>
      <c r="H249" s="61">
        <v>17786</v>
      </c>
      <c r="N249" s="67" t="s">
        <v>42</v>
      </c>
      <c r="P249" s="23"/>
    </row>
    <row r="250" spans="1:17" ht="17" x14ac:dyDescent="0.2">
      <c r="A250" s="171"/>
      <c r="B250" s="143" t="s">
        <v>115</v>
      </c>
      <c r="C250" s="19" t="s">
        <v>40</v>
      </c>
      <c r="F250" s="34" t="s">
        <v>0</v>
      </c>
      <c r="G250" s="62" t="s">
        <v>41</v>
      </c>
      <c r="H250" s="61">
        <v>17786</v>
      </c>
      <c r="N250" s="67" t="s">
        <v>42</v>
      </c>
      <c r="P250" s="23"/>
    </row>
    <row r="251" spans="1:17" ht="49.5" customHeight="1" x14ac:dyDescent="0.2">
      <c r="B251" s="132" t="s">
        <v>190</v>
      </c>
      <c r="C251" s="75"/>
      <c r="D251" s="76"/>
      <c r="E251" s="76"/>
      <c r="F251" s="61" t="s">
        <v>92</v>
      </c>
      <c r="G251" s="77"/>
      <c r="H251" s="76"/>
      <c r="I251" s="78"/>
      <c r="J251" s="60"/>
      <c r="K251" s="79"/>
      <c r="L251" s="62"/>
      <c r="M251" s="76"/>
      <c r="N251" s="67" t="s">
        <v>45</v>
      </c>
      <c r="O251" s="81"/>
      <c r="P251" s="82"/>
    </row>
    <row r="252" spans="1:17" ht="64" x14ac:dyDescent="0.2">
      <c r="B252" s="143" t="s">
        <v>117</v>
      </c>
      <c r="C252" s="19" t="s">
        <v>40</v>
      </c>
      <c r="D252" s="76"/>
      <c r="E252" s="76"/>
      <c r="F252" s="61" t="s">
        <v>92</v>
      </c>
      <c r="G252" s="62" t="s">
        <v>41</v>
      </c>
      <c r="H252" s="61">
        <v>17786</v>
      </c>
      <c r="I252" s="78"/>
      <c r="J252" s="60"/>
      <c r="K252" s="79"/>
      <c r="L252" s="62"/>
      <c r="M252" s="76"/>
      <c r="N252" s="67" t="s">
        <v>42</v>
      </c>
      <c r="O252" s="61"/>
      <c r="P252" s="82"/>
      <c r="Q252" s="83"/>
    </row>
    <row r="253" spans="1:17" ht="64" x14ac:dyDescent="0.2">
      <c r="B253" s="143" t="s">
        <v>118</v>
      </c>
      <c r="C253" s="19" t="s">
        <v>40</v>
      </c>
      <c r="D253" s="76"/>
      <c r="E253" s="76"/>
      <c r="F253" s="61" t="s">
        <v>92</v>
      </c>
      <c r="G253" s="62" t="s">
        <v>41</v>
      </c>
      <c r="H253" s="61">
        <v>17786</v>
      </c>
      <c r="I253" s="78"/>
      <c r="J253" s="60"/>
      <c r="K253" s="79"/>
      <c r="L253" s="62"/>
      <c r="M253" s="76"/>
      <c r="N253" s="67" t="s">
        <v>42</v>
      </c>
      <c r="O253" s="61"/>
      <c r="P253" s="82"/>
      <c r="Q253" s="83"/>
    </row>
    <row r="254" spans="1:17" ht="19.5" customHeight="1" x14ac:dyDescent="0.2">
      <c r="B254" s="143" t="s">
        <v>119</v>
      </c>
      <c r="C254" s="19" t="s">
        <v>40</v>
      </c>
      <c r="D254" s="76"/>
      <c r="E254" s="76"/>
      <c r="F254" s="209" t="s">
        <v>92</v>
      </c>
      <c r="G254" s="62" t="s">
        <v>41</v>
      </c>
      <c r="H254" s="61">
        <v>17786</v>
      </c>
      <c r="I254" s="78"/>
      <c r="J254" s="60"/>
      <c r="K254" s="79"/>
      <c r="L254" s="62"/>
      <c r="M254" s="76"/>
      <c r="N254" s="67" t="s">
        <v>42</v>
      </c>
      <c r="O254" s="61"/>
      <c r="P254" s="84"/>
      <c r="Q254" s="83"/>
    </row>
    <row r="255" spans="1:17" ht="32" x14ac:dyDescent="0.2">
      <c r="B255" s="143" t="s">
        <v>120</v>
      </c>
      <c r="C255" s="19" t="s">
        <v>40</v>
      </c>
      <c r="D255" s="76"/>
      <c r="E255" s="76"/>
      <c r="F255" s="61" t="s">
        <v>92</v>
      </c>
      <c r="G255" s="62" t="s">
        <v>41</v>
      </c>
      <c r="H255" s="61">
        <v>17786</v>
      </c>
      <c r="I255" s="78"/>
      <c r="J255" s="60"/>
      <c r="K255" s="79"/>
      <c r="L255" s="62"/>
      <c r="M255" s="76"/>
      <c r="N255" s="67" t="s">
        <v>42</v>
      </c>
      <c r="O255" s="61"/>
      <c r="P255" s="82"/>
      <c r="Q255" s="85"/>
    </row>
    <row r="256" spans="1:17" ht="17" x14ac:dyDescent="0.2">
      <c r="B256" s="128" t="s">
        <v>121</v>
      </c>
      <c r="C256" s="75"/>
      <c r="D256" s="76"/>
      <c r="E256" s="76"/>
      <c r="F256" s="61"/>
      <c r="G256" s="77"/>
      <c r="H256" s="76"/>
      <c r="I256" s="78"/>
      <c r="J256" s="60"/>
      <c r="K256" s="79"/>
      <c r="L256" s="86"/>
      <c r="M256" s="76"/>
      <c r="N256" s="67" t="s">
        <v>45</v>
      </c>
      <c r="O256" s="87"/>
      <c r="P256" s="82"/>
      <c r="Q256" s="83"/>
    </row>
    <row r="257" spans="2:17" ht="17" x14ac:dyDescent="0.2">
      <c r="B257" s="145" t="s">
        <v>122</v>
      </c>
      <c r="C257" s="19" t="s">
        <v>40</v>
      </c>
      <c r="D257" s="76"/>
      <c r="E257" s="76"/>
      <c r="F257" s="34" t="s">
        <v>0</v>
      </c>
      <c r="G257" s="62" t="s">
        <v>41</v>
      </c>
      <c r="H257" s="61">
        <v>17786</v>
      </c>
      <c r="I257" s="78"/>
      <c r="J257" s="60"/>
      <c r="K257" s="79"/>
      <c r="L257" s="86"/>
      <c r="M257" s="76"/>
      <c r="N257" s="67" t="s">
        <v>42</v>
      </c>
      <c r="O257" s="87"/>
      <c r="P257" s="82"/>
      <c r="Q257" s="83"/>
    </row>
    <row r="258" spans="2:17" ht="17" x14ac:dyDescent="0.2">
      <c r="B258" s="139" t="s">
        <v>123</v>
      </c>
      <c r="C258" s="19" t="s">
        <v>40</v>
      </c>
      <c r="D258" s="76"/>
      <c r="E258" s="76"/>
      <c r="F258" s="34" t="s">
        <v>0</v>
      </c>
      <c r="G258" s="62" t="s">
        <v>41</v>
      </c>
      <c r="H258" s="61">
        <v>17786</v>
      </c>
      <c r="I258" s="78"/>
      <c r="J258" s="60"/>
      <c r="K258" s="79"/>
      <c r="L258" s="88"/>
      <c r="M258" s="76"/>
      <c r="N258" s="67" t="s">
        <v>42</v>
      </c>
      <c r="O258" s="89"/>
      <c r="P258" s="82"/>
      <c r="Q258" s="83"/>
    </row>
    <row r="259" spans="2:17" ht="17" x14ac:dyDescent="0.2">
      <c r="B259" s="139" t="s">
        <v>124</v>
      </c>
      <c r="C259" s="19" t="s">
        <v>40</v>
      </c>
      <c r="D259" s="76"/>
      <c r="E259" s="76"/>
      <c r="F259" s="34" t="s">
        <v>0</v>
      </c>
      <c r="G259" s="62" t="s">
        <v>41</v>
      </c>
      <c r="H259" s="61">
        <v>17786</v>
      </c>
      <c r="I259" s="78"/>
      <c r="J259" s="60"/>
      <c r="K259" s="79"/>
      <c r="L259" s="88"/>
      <c r="M259" s="76"/>
      <c r="N259" s="67" t="s">
        <v>42</v>
      </c>
      <c r="O259" s="89"/>
      <c r="P259" s="82"/>
      <c r="Q259" s="83"/>
    </row>
    <row r="260" spans="2:17" ht="17" x14ac:dyDescent="0.2">
      <c r="B260" s="139" t="s">
        <v>125</v>
      </c>
      <c r="C260" s="19" t="s">
        <v>40</v>
      </c>
      <c r="D260" s="76"/>
      <c r="E260" s="76"/>
      <c r="F260" s="34" t="s">
        <v>0</v>
      </c>
      <c r="G260" s="62" t="s">
        <v>41</v>
      </c>
      <c r="H260" s="61">
        <v>17786</v>
      </c>
      <c r="I260" s="78"/>
      <c r="J260" s="60"/>
      <c r="K260" s="79"/>
      <c r="L260" s="88"/>
      <c r="M260" s="76"/>
      <c r="N260" s="67" t="s">
        <v>42</v>
      </c>
      <c r="O260" s="89"/>
      <c r="P260" s="82"/>
      <c r="Q260" s="83"/>
    </row>
    <row r="261" spans="2:17" ht="17" x14ac:dyDescent="0.2">
      <c r="B261" s="145" t="s">
        <v>126</v>
      </c>
      <c r="C261" s="19" t="s">
        <v>40</v>
      </c>
      <c r="D261" s="76"/>
      <c r="E261" s="76"/>
      <c r="F261" s="34" t="s">
        <v>0</v>
      </c>
      <c r="G261" s="62" t="s">
        <v>41</v>
      </c>
      <c r="H261" s="61">
        <v>17786</v>
      </c>
      <c r="I261" s="78"/>
      <c r="J261" s="60"/>
      <c r="K261" s="79"/>
      <c r="L261" s="88"/>
      <c r="M261" s="76"/>
      <c r="N261" s="67" t="s">
        <v>42</v>
      </c>
      <c r="O261" s="89"/>
      <c r="P261" s="82"/>
      <c r="Q261" s="83"/>
    </row>
    <row r="262" spans="2:17" ht="17" x14ac:dyDescent="0.2">
      <c r="B262" s="138" t="s">
        <v>127</v>
      </c>
      <c r="C262" s="19" t="s">
        <v>40</v>
      </c>
      <c r="D262" s="76"/>
      <c r="E262" s="76"/>
      <c r="F262" s="34" t="s">
        <v>0</v>
      </c>
      <c r="G262" s="62" t="s">
        <v>41</v>
      </c>
      <c r="H262" s="61">
        <v>17786</v>
      </c>
      <c r="I262" s="78"/>
      <c r="J262" s="60"/>
      <c r="K262" s="79"/>
      <c r="L262" s="88"/>
      <c r="M262" s="76"/>
      <c r="N262" s="67" t="s">
        <v>42</v>
      </c>
      <c r="O262" s="89"/>
      <c r="P262" s="82"/>
      <c r="Q262" s="83"/>
    </row>
    <row r="263" spans="2:17" ht="17" x14ac:dyDescent="0.2">
      <c r="B263" s="138" t="s">
        <v>128</v>
      </c>
      <c r="C263" s="19" t="s">
        <v>40</v>
      </c>
      <c r="D263" s="76"/>
      <c r="E263" s="76"/>
      <c r="F263" s="34" t="s">
        <v>0</v>
      </c>
      <c r="G263" s="62" t="s">
        <v>41</v>
      </c>
      <c r="H263" s="61">
        <v>17786</v>
      </c>
      <c r="I263" s="78"/>
      <c r="J263" s="60"/>
      <c r="K263" s="79"/>
      <c r="L263" s="88"/>
      <c r="M263" s="76"/>
      <c r="N263" s="67" t="s">
        <v>42</v>
      </c>
      <c r="O263" s="89"/>
      <c r="P263" s="82"/>
      <c r="Q263" s="83"/>
    </row>
    <row r="264" spans="2:17" ht="17" x14ac:dyDescent="0.2">
      <c r="B264" s="146" t="s">
        <v>129</v>
      </c>
      <c r="C264" s="19" t="s">
        <v>40</v>
      </c>
      <c r="D264" s="76"/>
      <c r="E264" s="76"/>
      <c r="F264" s="34" t="s">
        <v>0</v>
      </c>
      <c r="G264" s="62" t="s">
        <v>41</v>
      </c>
      <c r="H264" s="61">
        <v>17786</v>
      </c>
      <c r="I264" s="78"/>
      <c r="J264" s="60"/>
      <c r="K264" s="79"/>
      <c r="L264" s="88"/>
      <c r="M264" s="76"/>
      <c r="N264" s="67" t="s">
        <v>42</v>
      </c>
      <c r="O264" s="89"/>
      <c r="P264" s="82"/>
      <c r="Q264" s="83"/>
    </row>
    <row r="265" spans="2:17" ht="17" x14ac:dyDescent="0.2">
      <c r="B265" s="138" t="s">
        <v>130</v>
      </c>
      <c r="C265" s="19" t="s">
        <v>40</v>
      </c>
      <c r="D265" s="76"/>
      <c r="E265" s="76"/>
      <c r="F265" s="34" t="s">
        <v>0</v>
      </c>
      <c r="G265" s="62" t="s">
        <v>41</v>
      </c>
      <c r="H265" s="61">
        <v>17786</v>
      </c>
      <c r="I265" s="78"/>
      <c r="J265" s="60"/>
      <c r="K265" s="79"/>
      <c r="L265" s="88"/>
      <c r="M265" s="76"/>
      <c r="N265" s="67" t="s">
        <v>42</v>
      </c>
      <c r="O265" s="89"/>
      <c r="P265" s="82"/>
      <c r="Q265" s="83"/>
    </row>
    <row r="266" spans="2:17" ht="17" x14ac:dyDescent="0.2">
      <c r="B266" s="147" t="s">
        <v>131</v>
      </c>
      <c r="C266" s="19" t="s">
        <v>40</v>
      </c>
      <c r="D266" s="76"/>
      <c r="E266" s="76"/>
      <c r="F266" s="34" t="s">
        <v>0</v>
      </c>
      <c r="G266" s="62" t="s">
        <v>41</v>
      </c>
      <c r="H266" s="61">
        <v>17786</v>
      </c>
      <c r="I266" s="78"/>
      <c r="J266" s="60"/>
      <c r="K266" s="79"/>
      <c r="L266" s="88"/>
      <c r="M266" s="76"/>
      <c r="N266" s="67" t="s">
        <v>42</v>
      </c>
      <c r="O266" s="89"/>
      <c r="P266" s="82"/>
      <c r="Q266" s="83"/>
    </row>
    <row r="267" spans="2:17" ht="17" x14ac:dyDescent="0.2">
      <c r="B267" s="147" t="s">
        <v>132</v>
      </c>
      <c r="C267" s="19" t="s">
        <v>40</v>
      </c>
      <c r="D267" s="60"/>
      <c r="E267" s="76"/>
      <c r="F267" s="34" t="s">
        <v>0</v>
      </c>
      <c r="G267" s="62" t="s">
        <v>41</v>
      </c>
      <c r="H267" s="61">
        <v>17786</v>
      </c>
      <c r="I267" s="78"/>
      <c r="J267" s="60"/>
      <c r="K267" s="79"/>
      <c r="L267" s="88"/>
      <c r="M267" s="76"/>
      <c r="N267" s="67" t="s">
        <v>42</v>
      </c>
      <c r="O267" s="89"/>
      <c r="P267" s="82"/>
      <c r="Q267" s="83"/>
    </row>
    <row r="268" spans="2:17" ht="17" x14ac:dyDescent="0.2">
      <c r="B268" s="147" t="s">
        <v>134</v>
      </c>
      <c r="C268" s="19" t="s">
        <v>40</v>
      </c>
      <c r="D268" s="91"/>
      <c r="E268" s="91"/>
      <c r="F268" s="34" t="s">
        <v>0</v>
      </c>
      <c r="G268" s="62" t="s">
        <v>41</v>
      </c>
      <c r="H268" s="61">
        <v>17786</v>
      </c>
      <c r="I268" s="92"/>
      <c r="J268" s="93"/>
      <c r="K268" s="94"/>
      <c r="L268" s="95"/>
      <c r="M268" s="76"/>
      <c r="N268" s="67" t="s">
        <v>42</v>
      </c>
      <c r="O268" s="96"/>
      <c r="P268" s="83"/>
      <c r="Q268" s="85"/>
    </row>
    <row r="269" spans="2:17" ht="17" x14ac:dyDescent="0.2">
      <c r="B269" s="147" t="s">
        <v>136</v>
      </c>
      <c r="C269" s="19" t="s">
        <v>40</v>
      </c>
      <c r="D269" s="97"/>
      <c r="E269" s="97"/>
      <c r="F269" s="34" t="s">
        <v>0</v>
      </c>
      <c r="G269" s="62" t="s">
        <v>41</v>
      </c>
      <c r="H269" s="61">
        <v>17786</v>
      </c>
      <c r="I269" s="100"/>
      <c r="J269" s="98"/>
      <c r="K269" s="98"/>
      <c r="L269" s="103"/>
      <c r="M269" s="61"/>
      <c r="N269" s="67" t="s">
        <v>42</v>
      </c>
      <c r="O269" s="105"/>
      <c r="P269" s="83"/>
      <c r="Q269" s="85"/>
    </row>
    <row r="270" spans="2:17" ht="23" x14ac:dyDescent="0.3">
      <c r="B270" s="148" t="s">
        <v>137</v>
      </c>
      <c r="C270" s="7"/>
      <c r="D270" s="97"/>
      <c r="E270" s="97"/>
      <c r="F270" s="98"/>
      <c r="G270" s="106"/>
      <c r="H270" s="76"/>
      <c r="I270" s="100"/>
      <c r="J270" s="98"/>
      <c r="K270" s="98"/>
      <c r="L270" s="107"/>
      <c r="M270" s="61"/>
      <c r="N270" s="67" t="s">
        <v>45</v>
      </c>
      <c r="O270" s="83"/>
      <c r="P270" s="85"/>
      <c r="Q270" s="83"/>
    </row>
    <row r="271" spans="2:17" ht="17" x14ac:dyDescent="0.2">
      <c r="B271" s="147" t="s">
        <v>139</v>
      </c>
      <c r="C271" s="19" t="s">
        <v>40</v>
      </c>
      <c r="D271" s="97"/>
      <c r="E271" s="97"/>
      <c r="F271" s="34" t="s">
        <v>0</v>
      </c>
      <c r="G271" s="62" t="s">
        <v>41</v>
      </c>
      <c r="H271" s="61">
        <v>17786</v>
      </c>
      <c r="I271" s="100"/>
      <c r="J271" s="98"/>
      <c r="K271" s="98"/>
      <c r="L271" s="107"/>
      <c r="M271" s="61"/>
      <c r="N271" s="67" t="s">
        <v>42</v>
      </c>
      <c r="O271" s="83"/>
      <c r="P271" s="83"/>
      <c r="Q271" s="85"/>
    </row>
    <row r="272" spans="2:17" ht="17" x14ac:dyDescent="0.2">
      <c r="B272" s="147" t="s">
        <v>140</v>
      </c>
      <c r="C272" s="19" t="s">
        <v>40</v>
      </c>
      <c r="D272" s="97"/>
      <c r="E272" s="97"/>
      <c r="F272" s="34" t="s">
        <v>0</v>
      </c>
      <c r="G272" s="62" t="s">
        <v>41</v>
      </c>
      <c r="H272" s="61">
        <v>17786</v>
      </c>
      <c r="I272" s="100"/>
      <c r="J272" s="101"/>
      <c r="K272" s="102"/>
      <c r="L272" s="108"/>
      <c r="M272" s="61"/>
      <c r="N272" s="67" t="s">
        <v>42</v>
      </c>
      <c r="O272" s="98"/>
      <c r="P272" s="105"/>
      <c r="Q272" s="83"/>
    </row>
    <row r="273" spans="2:17" ht="17" x14ac:dyDescent="0.2">
      <c r="B273" s="147" t="s">
        <v>141</v>
      </c>
      <c r="C273" s="19" t="s">
        <v>40</v>
      </c>
      <c r="D273" s="97"/>
      <c r="E273" s="97"/>
      <c r="F273" s="34" t="s">
        <v>0</v>
      </c>
      <c r="G273" s="62" t="s">
        <v>41</v>
      </c>
      <c r="H273" s="61">
        <v>17786</v>
      </c>
      <c r="I273" s="100"/>
      <c r="J273" s="101"/>
      <c r="K273" s="102"/>
      <c r="L273" s="108"/>
      <c r="M273" s="61"/>
      <c r="N273" s="67" t="s">
        <v>42</v>
      </c>
      <c r="O273" s="98"/>
      <c r="P273" s="105"/>
      <c r="Q273" s="105"/>
    </row>
    <row r="274" spans="2:17" ht="17" x14ac:dyDescent="0.2">
      <c r="B274" s="147" t="s">
        <v>142</v>
      </c>
      <c r="C274" s="19" t="s">
        <v>40</v>
      </c>
      <c r="D274" s="97"/>
      <c r="E274" s="97"/>
      <c r="F274" s="34" t="s">
        <v>0</v>
      </c>
      <c r="G274" s="62" t="s">
        <v>41</v>
      </c>
      <c r="H274" s="61">
        <v>17786</v>
      </c>
      <c r="I274" s="100"/>
      <c r="J274" s="101"/>
      <c r="K274" s="102"/>
      <c r="L274" s="108"/>
      <c r="M274" s="61"/>
      <c r="N274" s="67" t="s">
        <v>42</v>
      </c>
      <c r="O274" s="98"/>
      <c r="P274" s="105"/>
      <c r="Q274" s="105"/>
    </row>
    <row r="275" spans="2:17" ht="17" x14ac:dyDescent="0.2">
      <c r="B275" s="147" t="s">
        <v>143</v>
      </c>
      <c r="C275" s="19" t="s">
        <v>40</v>
      </c>
      <c r="D275" s="97"/>
      <c r="E275" s="97"/>
      <c r="F275" s="34" t="s">
        <v>0</v>
      </c>
      <c r="G275" s="205" t="s">
        <v>41</v>
      </c>
      <c r="H275" s="206">
        <v>17786</v>
      </c>
      <c r="I275" s="100"/>
      <c r="J275" s="101"/>
      <c r="K275" s="102"/>
      <c r="L275" s="108"/>
      <c r="M275" s="61"/>
      <c r="N275" s="67" t="s">
        <v>42</v>
      </c>
      <c r="O275" s="98"/>
      <c r="P275" s="85"/>
      <c r="Q275" s="105"/>
    </row>
    <row r="276" spans="2:17" ht="23" x14ac:dyDescent="0.3">
      <c r="B276" s="148" t="s">
        <v>144</v>
      </c>
      <c r="C276" s="19"/>
      <c r="D276" s="97"/>
      <c r="E276" s="204"/>
      <c r="F276" s="61"/>
      <c r="G276" s="61"/>
      <c r="H276" s="61"/>
      <c r="I276" s="100"/>
      <c r="J276" s="101"/>
      <c r="K276" s="102"/>
      <c r="L276" s="108"/>
      <c r="M276" s="61"/>
      <c r="N276" s="67" t="s">
        <v>45</v>
      </c>
      <c r="O276" s="98"/>
      <c r="P276" s="85"/>
      <c r="Q276" s="105"/>
    </row>
    <row r="277" spans="2:17" ht="17" x14ac:dyDescent="0.2">
      <c r="B277" s="147" t="s">
        <v>145</v>
      </c>
      <c r="C277" s="19" t="s">
        <v>40</v>
      </c>
      <c r="D277" s="97"/>
      <c r="E277" s="204"/>
      <c r="F277" s="34" t="s">
        <v>0</v>
      </c>
      <c r="G277" s="205" t="s">
        <v>41</v>
      </c>
      <c r="H277" s="206">
        <v>17786</v>
      </c>
      <c r="I277" s="100"/>
      <c r="J277" s="101"/>
      <c r="K277" s="102"/>
      <c r="L277" s="108"/>
      <c r="M277" s="61"/>
      <c r="N277" s="67" t="s">
        <v>42</v>
      </c>
      <c r="O277" s="98"/>
      <c r="P277" s="85"/>
      <c r="Q277" s="105"/>
    </row>
    <row r="278" spans="2:17" ht="17" x14ac:dyDescent="0.2">
      <c r="B278" s="147" t="s">
        <v>146</v>
      </c>
      <c r="C278" s="19" t="s">
        <v>40</v>
      </c>
      <c r="D278" s="97"/>
      <c r="E278" s="204"/>
      <c r="F278" s="34" t="s">
        <v>0</v>
      </c>
      <c r="G278" s="205" t="s">
        <v>41</v>
      </c>
      <c r="H278" s="206">
        <v>17786</v>
      </c>
      <c r="I278" s="100"/>
      <c r="J278" s="101"/>
      <c r="K278" s="102"/>
      <c r="L278" s="108"/>
      <c r="M278" s="61"/>
      <c r="N278" s="67" t="s">
        <v>42</v>
      </c>
      <c r="O278" s="98"/>
      <c r="P278" s="85"/>
      <c r="Q278" s="105"/>
    </row>
    <row r="279" spans="2:17" ht="17" x14ac:dyDescent="0.2">
      <c r="B279" s="147" t="s">
        <v>147</v>
      </c>
      <c r="C279" s="19" t="s">
        <v>40</v>
      </c>
      <c r="D279" s="97"/>
      <c r="E279" s="204"/>
      <c r="F279" s="34" t="s">
        <v>0</v>
      </c>
      <c r="G279" s="61" t="s">
        <v>41</v>
      </c>
      <c r="H279" s="61">
        <v>17786</v>
      </c>
      <c r="I279" s="100"/>
      <c r="J279" s="101"/>
      <c r="K279" s="102"/>
      <c r="L279" s="108"/>
      <c r="M279" s="61"/>
      <c r="N279" s="67" t="s">
        <v>42</v>
      </c>
      <c r="O279" s="98"/>
      <c r="P279" s="85"/>
      <c r="Q279" s="105"/>
    </row>
    <row r="280" spans="2:17" ht="17" x14ac:dyDescent="0.2">
      <c r="B280" s="147" t="s">
        <v>148</v>
      </c>
      <c r="C280" s="19" t="s">
        <v>40</v>
      </c>
      <c r="D280" s="97"/>
      <c r="E280" s="204"/>
      <c r="F280" s="34" t="s">
        <v>0</v>
      </c>
      <c r="G280" s="61" t="s">
        <v>41</v>
      </c>
      <c r="H280" s="61">
        <v>17786</v>
      </c>
      <c r="I280" s="100"/>
      <c r="J280" s="101"/>
      <c r="K280" s="102"/>
      <c r="L280" s="108"/>
      <c r="M280" s="61"/>
      <c r="N280" s="67" t="s">
        <v>42</v>
      </c>
      <c r="O280" s="98"/>
      <c r="P280" s="85"/>
      <c r="Q280" s="105"/>
    </row>
    <row r="281" spans="2:17" ht="17" x14ac:dyDescent="0.2">
      <c r="B281" s="147" t="s">
        <v>149</v>
      </c>
      <c r="C281" s="19" t="s">
        <v>40</v>
      </c>
      <c r="D281" s="97"/>
      <c r="E281" s="204"/>
      <c r="F281" s="34" t="s">
        <v>0</v>
      </c>
      <c r="G281" s="61" t="s">
        <v>41</v>
      </c>
      <c r="H281" s="61">
        <v>17786</v>
      </c>
      <c r="I281" s="100"/>
      <c r="J281" s="101"/>
      <c r="K281" s="102"/>
      <c r="L281" s="108"/>
      <c r="M281" s="61"/>
      <c r="N281" s="67" t="s">
        <v>42</v>
      </c>
      <c r="O281" s="98"/>
      <c r="P281" s="85"/>
      <c r="Q281" s="105"/>
    </row>
    <row r="282" spans="2:17" ht="20" x14ac:dyDescent="0.25">
      <c r="B282" s="149" t="s">
        <v>150</v>
      </c>
      <c r="C282" s="90"/>
      <c r="D282" s="97"/>
      <c r="E282" s="204"/>
      <c r="F282" s="61"/>
      <c r="G282" s="79"/>
      <c r="H282" s="76"/>
      <c r="I282" s="100"/>
      <c r="J282" s="101"/>
      <c r="K282" s="102"/>
      <c r="L282" s="108"/>
      <c r="M282" s="61"/>
      <c r="N282" s="67" t="s">
        <v>45</v>
      </c>
      <c r="O282" s="98"/>
      <c r="P282" s="83"/>
      <c r="Q282" s="85"/>
    </row>
    <row r="283" spans="2:17" ht="17" x14ac:dyDescent="0.2">
      <c r="B283" s="150" t="s">
        <v>151</v>
      </c>
      <c r="C283" s="90"/>
      <c r="D283" s="97"/>
      <c r="E283" s="204"/>
      <c r="F283" s="61"/>
      <c r="G283" s="79"/>
      <c r="H283" s="60"/>
      <c r="I283" s="100"/>
      <c r="J283" s="101"/>
      <c r="K283" s="102"/>
      <c r="L283" s="108"/>
      <c r="M283" s="61"/>
      <c r="N283" s="67" t="s">
        <v>45</v>
      </c>
      <c r="O283" s="98"/>
      <c r="P283" s="105"/>
      <c r="Q283" s="83"/>
    </row>
    <row r="284" spans="2:17" ht="17" x14ac:dyDescent="0.2">
      <c r="B284" s="151" t="s">
        <v>152</v>
      </c>
      <c r="C284" s="19" t="s">
        <v>40</v>
      </c>
      <c r="D284" s="97"/>
      <c r="E284" s="204"/>
      <c r="F284" s="34" t="s">
        <v>0</v>
      </c>
      <c r="G284" s="61" t="s">
        <v>41</v>
      </c>
      <c r="H284" s="61">
        <v>17786</v>
      </c>
      <c r="I284" s="100"/>
      <c r="J284" s="98"/>
      <c r="K284" s="98"/>
      <c r="L284" s="108"/>
      <c r="M284" s="61"/>
      <c r="N284" s="67" t="s">
        <v>42</v>
      </c>
      <c r="O284" s="98"/>
      <c r="P284" s="105"/>
      <c r="Q284" s="105"/>
    </row>
    <row r="285" spans="2:17" ht="17" x14ac:dyDescent="0.2">
      <c r="B285" s="151" t="s">
        <v>153</v>
      </c>
      <c r="C285" s="19" t="s">
        <v>40</v>
      </c>
      <c r="D285" s="97"/>
      <c r="E285" s="97"/>
      <c r="F285" s="34" t="s">
        <v>0</v>
      </c>
      <c r="G285" s="207" t="s">
        <v>41</v>
      </c>
      <c r="H285" s="208">
        <v>17786</v>
      </c>
      <c r="I285" s="100"/>
      <c r="J285" s="98"/>
      <c r="K285" s="98"/>
      <c r="L285" s="108"/>
      <c r="M285" s="61"/>
      <c r="N285" s="67" t="s">
        <v>42</v>
      </c>
      <c r="O285" s="98"/>
      <c r="P285" s="105"/>
      <c r="Q285" s="105"/>
    </row>
    <row r="286" spans="2:17" ht="17" x14ac:dyDescent="0.2">
      <c r="B286" s="152" t="s">
        <v>154</v>
      </c>
      <c r="C286" s="19" t="s">
        <v>40</v>
      </c>
      <c r="D286" s="97"/>
      <c r="E286" s="97"/>
      <c r="F286" s="34" t="s">
        <v>0</v>
      </c>
      <c r="G286" s="62" t="s">
        <v>41</v>
      </c>
      <c r="H286" s="61">
        <v>17786</v>
      </c>
      <c r="I286" s="100"/>
      <c r="J286" s="98"/>
      <c r="K286" s="98"/>
      <c r="L286" s="108"/>
      <c r="M286" s="61"/>
      <c r="N286" s="67" t="s">
        <v>42</v>
      </c>
      <c r="O286" s="98"/>
      <c r="P286" s="83"/>
      <c r="Q286" s="105"/>
    </row>
    <row r="287" spans="2:17" ht="17" x14ac:dyDescent="0.2">
      <c r="B287" s="143" t="s">
        <v>155</v>
      </c>
      <c r="C287" s="19" t="s">
        <v>40</v>
      </c>
      <c r="D287" s="97"/>
      <c r="E287" s="97"/>
      <c r="F287" s="34" t="s">
        <v>0</v>
      </c>
      <c r="G287" s="62" t="s">
        <v>41</v>
      </c>
      <c r="H287" s="61">
        <v>17786</v>
      </c>
      <c r="I287" s="100"/>
      <c r="J287" s="101"/>
      <c r="K287" s="102"/>
      <c r="L287" s="108"/>
      <c r="M287" s="61"/>
      <c r="N287" s="67" t="s">
        <v>42</v>
      </c>
      <c r="O287" s="98"/>
      <c r="P287" s="111"/>
      <c r="Q287" s="83"/>
    </row>
    <row r="288" spans="2:17" ht="17" x14ac:dyDescent="0.2">
      <c r="B288" s="153" t="s">
        <v>156</v>
      </c>
      <c r="C288" s="90"/>
      <c r="D288" s="97"/>
      <c r="E288" s="97"/>
      <c r="F288" s="98"/>
      <c r="G288" s="99"/>
      <c r="H288" s="76"/>
      <c r="I288" s="100"/>
      <c r="J288" s="101"/>
      <c r="K288" s="102"/>
      <c r="L288" s="108"/>
      <c r="M288" s="61"/>
      <c r="N288" s="67" t="s">
        <v>45</v>
      </c>
      <c r="O288" s="98"/>
      <c r="P288" s="111"/>
      <c r="Q288" s="111"/>
    </row>
    <row r="289" spans="2:17" ht="17" x14ac:dyDescent="0.2">
      <c r="B289" s="153" t="s">
        <v>157</v>
      </c>
      <c r="C289" s="90"/>
      <c r="D289" s="97"/>
      <c r="E289" s="97"/>
      <c r="F289" s="98"/>
      <c r="G289" s="99"/>
      <c r="H289" s="63"/>
      <c r="I289" s="100"/>
      <c r="J289" s="101"/>
      <c r="K289" s="102"/>
      <c r="L289" s="112"/>
      <c r="M289" s="87"/>
      <c r="N289" s="67" t="s">
        <v>45</v>
      </c>
      <c r="O289" s="114"/>
      <c r="P289" s="83"/>
      <c r="Q289" s="111"/>
    </row>
    <row r="290" spans="2:17" ht="17" x14ac:dyDescent="0.2">
      <c r="B290" s="154" t="s">
        <v>158</v>
      </c>
      <c r="C290" s="19" t="s">
        <v>40</v>
      </c>
      <c r="D290" s="97"/>
      <c r="E290" s="97"/>
      <c r="F290" s="34" t="s">
        <v>0</v>
      </c>
      <c r="G290" s="62" t="s">
        <v>41</v>
      </c>
      <c r="H290" s="61">
        <v>17786</v>
      </c>
      <c r="I290" s="100"/>
      <c r="J290" s="101"/>
      <c r="K290" s="102"/>
      <c r="L290" s="112"/>
      <c r="M290" s="87"/>
      <c r="N290" s="67" t="s">
        <v>42</v>
      </c>
      <c r="O290" s="114"/>
      <c r="P290" s="85"/>
      <c r="Q290" s="83"/>
    </row>
    <row r="291" spans="2:17" ht="17" x14ac:dyDescent="0.2">
      <c r="B291" s="155" t="s">
        <v>159</v>
      </c>
      <c r="C291" s="19" t="s">
        <v>40</v>
      </c>
      <c r="D291" s="97"/>
      <c r="E291" s="97"/>
      <c r="F291" s="34" t="s">
        <v>0</v>
      </c>
      <c r="G291" s="62" t="s">
        <v>41</v>
      </c>
      <c r="H291" s="61">
        <v>17786</v>
      </c>
      <c r="I291" s="100"/>
      <c r="J291" s="101"/>
      <c r="K291" s="102"/>
      <c r="L291" s="103"/>
      <c r="M291" s="89"/>
      <c r="N291" s="67" t="s">
        <v>42</v>
      </c>
      <c r="O291" s="105"/>
      <c r="P291" s="85"/>
      <c r="Q291" s="85"/>
    </row>
    <row r="292" spans="2:17" ht="17" x14ac:dyDescent="0.2">
      <c r="B292" s="151" t="s">
        <v>160</v>
      </c>
      <c r="C292" s="19" t="s">
        <v>40</v>
      </c>
      <c r="D292" s="97"/>
      <c r="E292" s="97"/>
      <c r="F292" s="34" t="s">
        <v>0</v>
      </c>
      <c r="G292" s="62" t="s">
        <v>41</v>
      </c>
      <c r="H292" s="61">
        <v>17786</v>
      </c>
      <c r="I292" s="100"/>
      <c r="J292" s="101"/>
      <c r="K292" s="102"/>
      <c r="L292" s="103"/>
      <c r="M292" s="89"/>
      <c r="N292" s="67" t="s">
        <v>42</v>
      </c>
      <c r="O292" s="105"/>
      <c r="P292" s="85"/>
      <c r="Q292" s="85"/>
    </row>
    <row r="293" spans="2:17" ht="17" x14ac:dyDescent="0.2">
      <c r="B293" s="153" t="s">
        <v>161</v>
      </c>
      <c r="C293" s="7"/>
      <c r="D293" s="97"/>
      <c r="E293" s="97"/>
      <c r="F293" s="98"/>
      <c r="G293" s="106"/>
      <c r="H293" s="76"/>
      <c r="I293" s="100"/>
      <c r="J293" s="98"/>
      <c r="K293" s="98"/>
      <c r="L293" s="103"/>
      <c r="M293" s="89"/>
      <c r="N293" s="67" t="s">
        <v>45</v>
      </c>
      <c r="O293" s="105"/>
      <c r="P293" s="85"/>
      <c r="Q293" s="85"/>
    </row>
    <row r="294" spans="2:17" ht="17" x14ac:dyDescent="0.2">
      <c r="B294" s="157" t="s">
        <v>168</v>
      </c>
      <c r="C294" s="7"/>
      <c r="D294" s="100"/>
      <c r="E294" s="97"/>
      <c r="F294" s="98"/>
      <c r="G294" s="106"/>
      <c r="H294" s="76"/>
      <c r="I294" s="100"/>
      <c r="J294" s="98"/>
      <c r="K294" s="98"/>
      <c r="L294" s="107"/>
      <c r="M294" s="6"/>
      <c r="N294" s="67" t="s">
        <v>45</v>
      </c>
      <c r="O294" s="83"/>
      <c r="P294" s="83"/>
      <c r="Q294" s="85"/>
    </row>
    <row r="295" spans="2:17" ht="51" x14ac:dyDescent="0.2">
      <c r="B295" s="158" t="s">
        <v>169</v>
      </c>
      <c r="C295" s="19" t="s">
        <v>40</v>
      </c>
      <c r="D295" s="100"/>
      <c r="E295" s="97"/>
      <c r="F295" s="34" t="s">
        <v>0</v>
      </c>
      <c r="G295" s="62" t="s">
        <v>41</v>
      </c>
      <c r="H295" s="61">
        <v>17786</v>
      </c>
      <c r="I295" s="100"/>
      <c r="J295" s="98"/>
      <c r="K295" s="98"/>
      <c r="L295" s="107"/>
      <c r="M295" s="6"/>
      <c r="N295" s="67" t="s">
        <v>42</v>
      </c>
      <c r="O295" s="83"/>
      <c r="P295" s="85"/>
      <c r="Q295" s="83"/>
    </row>
    <row r="296" spans="2:17" ht="17" x14ac:dyDescent="0.2">
      <c r="B296" s="159" t="s">
        <v>170</v>
      </c>
      <c r="C296" s="19" t="s">
        <v>40</v>
      </c>
      <c r="D296" s="100"/>
      <c r="E296" s="97"/>
      <c r="F296" s="34" t="s">
        <v>0</v>
      </c>
      <c r="G296" s="62" t="s">
        <v>41</v>
      </c>
      <c r="H296" s="61">
        <v>17786</v>
      </c>
      <c r="I296" s="100"/>
      <c r="J296" s="98"/>
      <c r="K296" s="102"/>
      <c r="L296" s="108"/>
      <c r="M296" s="61"/>
      <c r="N296" s="67" t="s">
        <v>42</v>
      </c>
      <c r="O296" s="98"/>
      <c r="P296" s="83"/>
      <c r="Q296" s="85"/>
    </row>
    <row r="297" spans="2:17" ht="17" x14ac:dyDescent="0.2">
      <c r="B297" s="157" t="s">
        <v>171</v>
      </c>
      <c r="C297" s="90"/>
      <c r="D297" s="100"/>
      <c r="E297" s="97"/>
      <c r="F297" s="98"/>
      <c r="G297" s="99"/>
      <c r="H297" s="76"/>
      <c r="I297" s="100"/>
      <c r="J297" s="98"/>
      <c r="K297" s="102"/>
      <c r="L297" s="108"/>
      <c r="M297" s="61"/>
      <c r="N297" s="67" t="s">
        <v>45</v>
      </c>
      <c r="O297" s="98"/>
      <c r="P297" s="83"/>
      <c r="Q297" s="83"/>
    </row>
    <row r="298" spans="2:17" ht="48" x14ac:dyDescent="0.2">
      <c r="B298" s="144" t="s">
        <v>172</v>
      </c>
      <c r="C298" s="19" t="s">
        <v>40</v>
      </c>
      <c r="D298" s="100"/>
      <c r="E298" s="97"/>
      <c r="F298" s="34" t="s">
        <v>0</v>
      </c>
      <c r="G298" s="62" t="s">
        <v>41</v>
      </c>
      <c r="H298" s="61">
        <v>17786</v>
      </c>
      <c r="I298" s="100"/>
      <c r="J298" s="98"/>
      <c r="K298" s="102"/>
      <c r="L298" s="108"/>
      <c r="M298" s="61"/>
      <c r="N298" s="67" t="s">
        <v>42</v>
      </c>
      <c r="O298" s="98"/>
      <c r="P298" s="83"/>
      <c r="Q298" s="83"/>
    </row>
    <row r="299" spans="2:17" ht="17" x14ac:dyDescent="0.2">
      <c r="B299" s="160" t="s">
        <v>173</v>
      </c>
      <c r="C299" s="90" t="s">
        <v>40</v>
      </c>
      <c r="D299" s="100"/>
      <c r="E299" s="97"/>
      <c r="F299" s="34" t="s">
        <v>0</v>
      </c>
      <c r="G299" s="62" t="s">
        <v>41</v>
      </c>
      <c r="H299" s="61">
        <v>17786</v>
      </c>
      <c r="I299" s="100"/>
      <c r="J299" s="98"/>
      <c r="K299" s="102"/>
      <c r="L299" s="108"/>
      <c r="M299" s="61"/>
      <c r="N299" s="67" t="s">
        <v>45</v>
      </c>
      <c r="O299" s="98"/>
      <c r="P299" s="85"/>
      <c r="Q299" s="83"/>
    </row>
    <row r="300" spans="2:17" ht="17" x14ac:dyDescent="0.2">
      <c r="B300" s="161" t="s">
        <v>174</v>
      </c>
      <c r="C300" s="7"/>
      <c r="D300" s="100"/>
      <c r="E300" s="97"/>
      <c r="F300" s="98"/>
      <c r="G300" s="106"/>
      <c r="H300" s="34"/>
      <c r="I300" s="100"/>
      <c r="J300" s="98"/>
      <c r="K300" s="98"/>
      <c r="L300" s="103"/>
      <c r="M300" s="89"/>
      <c r="N300" s="67" t="s">
        <v>45</v>
      </c>
      <c r="O300" s="105"/>
      <c r="P300" s="83"/>
      <c r="Q300" s="83"/>
    </row>
    <row r="301" spans="2:17" ht="51" x14ac:dyDescent="0.2">
      <c r="B301" s="161" t="s">
        <v>175</v>
      </c>
      <c r="C301" s="7"/>
      <c r="D301" s="100"/>
      <c r="E301" s="97"/>
      <c r="F301" s="98"/>
      <c r="G301" s="106"/>
      <c r="H301" s="60"/>
      <c r="I301" s="100"/>
      <c r="J301" s="98"/>
      <c r="K301" s="98"/>
      <c r="L301" s="107"/>
      <c r="M301" s="6"/>
      <c r="N301" s="67" t="s">
        <v>45</v>
      </c>
      <c r="O301" s="83"/>
      <c r="P301" s="83"/>
      <c r="Q301" s="83"/>
    </row>
    <row r="302" spans="2:17" ht="17" x14ac:dyDescent="0.2">
      <c r="B302" s="131" t="s">
        <v>176</v>
      </c>
      <c r="C302" s="19" t="s">
        <v>40</v>
      </c>
      <c r="D302" s="100"/>
      <c r="E302" s="97"/>
      <c r="F302" s="34" t="s">
        <v>0</v>
      </c>
      <c r="G302" s="62" t="s">
        <v>41</v>
      </c>
      <c r="H302" s="61">
        <v>17786</v>
      </c>
      <c r="I302" s="100"/>
      <c r="J302" s="98"/>
      <c r="K302" s="98"/>
      <c r="L302" s="107"/>
      <c r="M302" s="6"/>
      <c r="N302" s="67" t="s">
        <v>42</v>
      </c>
      <c r="O302" s="83"/>
      <c r="P302" s="83"/>
      <c r="Q302" s="83"/>
    </row>
    <row r="303" spans="2:17" ht="17" x14ac:dyDescent="0.2">
      <c r="B303" s="160" t="s">
        <v>177</v>
      </c>
      <c r="C303" s="19" t="s">
        <v>40</v>
      </c>
      <c r="D303" s="100"/>
      <c r="E303" s="97"/>
      <c r="F303" s="34" t="s">
        <v>0</v>
      </c>
      <c r="G303" s="62" t="s">
        <v>41</v>
      </c>
      <c r="H303" s="61">
        <v>17786</v>
      </c>
      <c r="I303" s="100"/>
      <c r="J303" s="98"/>
      <c r="K303" s="98"/>
      <c r="L303" s="108"/>
      <c r="M303" s="61"/>
      <c r="N303" s="67" t="s">
        <v>42</v>
      </c>
      <c r="O303" s="98"/>
      <c r="P303" s="105"/>
      <c r="Q303" s="83"/>
    </row>
    <row r="304" spans="2:17" ht="17" x14ac:dyDescent="0.2">
      <c r="B304" s="160" t="s">
        <v>182</v>
      </c>
      <c r="C304" s="19" t="s">
        <v>40</v>
      </c>
      <c r="D304" s="100"/>
      <c r="E304" s="97"/>
      <c r="F304" s="34" t="s">
        <v>0</v>
      </c>
      <c r="G304" s="62" t="s">
        <v>41</v>
      </c>
      <c r="H304" s="61">
        <v>17786</v>
      </c>
      <c r="I304" s="109"/>
      <c r="J304" s="98"/>
      <c r="K304" s="98"/>
      <c r="L304" s="108"/>
      <c r="M304" s="61"/>
      <c r="N304" s="67" t="s">
        <v>42</v>
      </c>
      <c r="O304" s="98"/>
      <c r="P304" s="83"/>
      <c r="Q304" s="105"/>
    </row>
    <row r="305" spans="2:17" ht="68" x14ac:dyDescent="0.2">
      <c r="B305" s="160" t="s">
        <v>183</v>
      </c>
      <c r="C305" s="19" t="s">
        <v>40</v>
      </c>
      <c r="D305" s="100"/>
      <c r="E305" s="97"/>
      <c r="F305" s="34" t="s">
        <v>0</v>
      </c>
      <c r="G305" s="62" t="s">
        <v>41</v>
      </c>
      <c r="H305" s="61">
        <v>17786</v>
      </c>
      <c r="I305" s="100"/>
      <c r="J305" s="98"/>
      <c r="K305" s="98"/>
      <c r="L305" s="108"/>
      <c r="M305" s="61"/>
      <c r="N305" s="67" t="s">
        <v>42</v>
      </c>
      <c r="O305" s="98"/>
      <c r="P305" s="83"/>
      <c r="Q305" s="83"/>
    </row>
    <row r="306" spans="2:17" ht="17" x14ac:dyDescent="0.2">
      <c r="B306" s="162" t="s">
        <v>184</v>
      </c>
      <c r="C306" s="19" t="s">
        <v>40</v>
      </c>
      <c r="D306" s="100"/>
      <c r="E306" s="97"/>
      <c r="F306" s="34" t="s">
        <v>0</v>
      </c>
      <c r="G306" s="62" t="s">
        <v>41</v>
      </c>
      <c r="H306" s="61"/>
      <c r="I306" s="100"/>
      <c r="J306" s="98"/>
      <c r="K306" s="98"/>
      <c r="L306" s="108"/>
      <c r="M306" s="61"/>
      <c r="N306" s="67" t="s">
        <v>42</v>
      </c>
      <c r="O306" s="98"/>
      <c r="P306" s="83"/>
      <c r="Q306" s="83"/>
    </row>
    <row r="307" spans="2:17" ht="17" x14ac:dyDescent="0.2">
      <c r="B307" s="162" t="s">
        <v>185</v>
      </c>
      <c r="C307" s="19" t="s">
        <v>40</v>
      </c>
      <c r="D307" s="97"/>
      <c r="E307" s="97"/>
      <c r="F307" s="34" t="s">
        <v>0</v>
      </c>
      <c r="G307" s="62" t="s">
        <v>41</v>
      </c>
      <c r="H307" s="61">
        <v>17786</v>
      </c>
      <c r="I307" s="100"/>
      <c r="J307" s="98"/>
      <c r="K307" s="98"/>
      <c r="L307" s="108"/>
      <c r="M307" s="61"/>
      <c r="N307" s="67" t="s">
        <v>42</v>
      </c>
      <c r="O307" s="98"/>
      <c r="P307" s="83"/>
      <c r="Q307" s="83"/>
    </row>
    <row r="308" spans="2:17" ht="17" x14ac:dyDescent="0.2">
      <c r="B308" s="110"/>
      <c r="C308" s="90"/>
      <c r="D308" s="97"/>
      <c r="E308" s="97"/>
      <c r="F308" s="98"/>
      <c r="G308" s="115"/>
      <c r="H308" s="61"/>
      <c r="I308" s="100"/>
      <c r="J308" s="98"/>
      <c r="K308" s="98"/>
      <c r="L308" s="108"/>
      <c r="M308" s="61"/>
      <c r="N308" s="67" t="s">
        <v>45</v>
      </c>
      <c r="O308" s="98"/>
      <c r="P308" s="83"/>
      <c r="Q308" s="83"/>
    </row>
    <row r="309" spans="2:17" ht="17" x14ac:dyDescent="0.2">
      <c r="B309" s="110"/>
      <c r="C309" s="90"/>
      <c r="D309" s="97"/>
      <c r="E309" s="97"/>
      <c r="F309" s="98"/>
      <c r="G309" s="115"/>
      <c r="H309" s="61"/>
      <c r="I309" s="100"/>
      <c r="J309" s="98"/>
      <c r="K309" s="98"/>
      <c r="L309" s="108"/>
      <c r="M309" s="61"/>
      <c r="N309" s="67" t="s">
        <v>45</v>
      </c>
      <c r="O309" s="98"/>
      <c r="P309" s="83"/>
      <c r="Q309" s="83"/>
    </row>
    <row r="310" spans="2:17" ht="25" x14ac:dyDescent="0.3">
      <c r="B310" s="125" t="s">
        <v>191</v>
      </c>
      <c r="C310" s="59"/>
      <c r="D310" s="97"/>
      <c r="E310" s="97"/>
      <c r="F310" s="98"/>
      <c r="G310" s="115"/>
      <c r="H310" s="61"/>
      <c r="I310" s="100"/>
      <c r="J310" s="98"/>
      <c r="K310" s="98"/>
      <c r="L310" s="108"/>
      <c r="M310" s="61"/>
      <c r="N310" s="67" t="s">
        <v>45</v>
      </c>
      <c r="O310" s="98"/>
      <c r="P310" s="83"/>
      <c r="Q310" s="83"/>
    </row>
    <row r="311" spans="2:17" ht="105.75" customHeight="1" x14ac:dyDescent="0.2">
      <c r="B311" s="170" t="s">
        <v>192</v>
      </c>
      <c r="C311" s="19"/>
      <c r="D311" s="97"/>
      <c r="E311" s="97"/>
      <c r="F311" s="98"/>
      <c r="G311" s="115"/>
      <c r="H311" s="61"/>
      <c r="I311" s="100"/>
      <c r="J311" s="98"/>
      <c r="K311" s="98"/>
      <c r="L311" s="112"/>
      <c r="M311" s="87"/>
      <c r="N311" s="67" t="s">
        <v>45</v>
      </c>
      <c r="O311" s="114"/>
      <c r="P311" s="83"/>
      <c r="Q311" s="83"/>
    </row>
    <row r="312" spans="2:17" ht="17" x14ac:dyDescent="0.2">
      <c r="B312" s="127" t="s">
        <v>31</v>
      </c>
      <c r="C312" s="19"/>
      <c r="D312" s="100"/>
      <c r="E312" s="97"/>
      <c r="F312" s="98"/>
      <c r="G312" s="115"/>
      <c r="H312" s="61"/>
      <c r="I312" s="100"/>
      <c r="J312" s="98"/>
      <c r="K312" s="98"/>
      <c r="L312" s="112"/>
      <c r="M312" s="87"/>
      <c r="N312" s="67" t="s">
        <v>45</v>
      </c>
      <c r="O312" s="114"/>
      <c r="P312" s="83"/>
      <c r="Q312" s="83"/>
    </row>
    <row r="313" spans="2:17" ht="17" x14ac:dyDescent="0.2">
      <c r="B313" s="127" t="s">
        <v>32</v>
      </c>
      <c r="D313" s="100"/>
      <c r="E313" s="97"/>
      <c r="F313" s="98"/>
      <c r="G313" s="115"/>
      <c r="H313" s="61"/>
      <c r="I313" s="100"/>
      <c r="J313" s="98"/>
      <c r="K313" s="98"/>
      <c r="L313" s="112"/>
      <c r="M313" s="87"/>
      <c r="N313" s="67" t="s">
        <v>45</v>
      </c>
      <c r="O313" s="114"/>
      <c r="P313" s="83"/>
      <c r="Q313" s="83"/>
    </row>
    <row r="314" spans="2:17" ht="17" x14ac:dyDescent="0.2">
      <c r="B314" s="128" t="s">
        <v>33</v>
      </c>
      <c r="D314" s="100"/>
      <c r="E314" s="97"/>
      <c r="F314" s="98"/>
      <c r="G314" s="115"/>
      <c r="H314" s="61"/>
      <c r="I314" s="100"/>
      <c r="J314" s="98"/>
      <c r="K314" s="98"/>
      <c r="L314" s="112"/>
      <c r="M314" s="87"/>
      <c r="N314" s="67" t="s">
        <v>45</v>
      </c>
      <c r="O314" s="114"/>
      <c r="P314" s="83"/>
      <c r="Q314" s="83"/>
    </row>
    <row r="315" spans="2:17" ht="17" x14ac:dyDescent="0.2">
      <c r="B315" s="127" t="s">
        <v>34</v>
      </c>
      <c r="C315" s="19"/>
      <c r="D315" s="100"/>
      <c r="E315" s="97"/>
      <c r="F315" s="98"/>
      <c r="G315" s="115"/>
      <c r="H315" s="61"/>
      <c r="I315" s="100"/>
      <c r="J315" s="98"/>
      <c r="K315" s="98"/>
      <c r="L315" s="103"/>
      <c r="M315" s="89"/>
      <c r="N315" s="67" t="s">
        <v>45</v>
      </c>
      <c r="O315" s="105"/>
      <c r="P315" s="111"/>
      <c r="Q315" s="83"/>
    </row>
    <row r="316" spans="2:17" ht="51" x14ac:dyDescent="0.2">
      <c r="B316" s="163" t="s">
        <v>193</v>
      </c>
      <c r="C316" s="19"/>
      <c r="D316" s="100"/>
      <c r="E316" s="97"/>
      <c r="F316" s="98"/>
      <c r="G316" s="115"/>
      <c r="H316" s="61"/>
      <c r="I316" s="100"/>
      <c r="J316" s="98"/>
      <c r="K316" s="98"/>
      <c r="L316" s="107"/>
      <c r="M316" s="6"/>
      <c r="N316" s="67" t="s">
        <v>45</v>
      </c>
      <c r="O316" s="83"/>
      <c r="P316" s="83"/>
      <c r="Q316" s="111"/>
    </row>
    <row r="317" spans="2:17" ht="17" x14ac:dyDescent="0.2">
      <c r="B317" s="129" t="s">
        <v>36</v>
      </c>
      <c r="C317" s="19"/>
      <c r="D317" s="100"/>
      <c r="E317" s="97"/>
      <c r="F317" s="98"/>
      <c r="G317" s="115"/>
      <c r="H317" s="61"/>
      <c r="I317" s="100"/>
      <c r="J317" s="98"/>
      <c r="K317" s="98"/>
      <c r="L317" s="107"/>
      <c r="M317" s="6"/>
      <c r="N317" s="67" t="s">
        <v>45</v>
      </c>
      <c r="O317" s="83"/>
      <c r="P317" s="83"/>
      <c r="Q317" s="83"/>
    </row>
    <row r="318" spans="2:17" ht="17" x14ac:dyDescent="0.2">
      <c r="B318" s="129" t="s">
        <v>37</v>
      </c>
      <c r="C318" s="19"/>
      <c r="D318" s="100"/>
      <c r="E318" s="97"/>
      <c r="F318" s="98"/>
      <c r="G318" s="115"/>
      <c r="H318" s="61"/>
      <c r="I318" s="100"/>
      <c r="J318" s="98"/>
      <c r="K318" s="98"/>
      <c r="L318" s="108"/>
      <c r="M318" s="61"/>
      <c r="N318" s="67" t="s">
        <v>45</v>
      </c>
      <c r="O318" s="98"/>
      <c r="P318" s="83"/>
      <c r="Q318" s="83"/>
    </row>
    <row r="319" spans="2:17" ht="17" x14ac:dyDescent="0.2">
      <c r="B319" s="128" t="s">
        <v>38</v>
      </c>
      <c r="C319" s="19"/>
      <c r="D319" s="100"/>
      <c r="E319" s="97"/>
      <c r="F319" s="98"/>
      <c r="G319" s="115"/>
      <c r="H319" s="61"/>
      <c r="I319" s="100"/>
      <c r="J319" s="98"/>
      <c r="K319" s="98"/>
      <c r="L319" s="108"/>
      <c r="M319" s="61"/>
      <c r="N319" s="67" t="s">
        <v>45</v>
      </c>
      <c r="O319" s="98"/>
      <c r="P319" s="83"/>
      <c r="Q319" s="83"/>
    </row>
    <row r="320" spans="2:17" ht="32" x14ac:dyDescent="0.2">
      <c r="B320" s="164" t="s">
        <v>39</v>
      </c>
      <c r="C320" s="19" t="s">
        <v>40</v>
      </c>
      <c r="D320" s="100"/>
      <c r="E320" s="97"/>
      <c r="F320" s="34" t="s">
        <v>0</v>
      </c>
      <c r="G320" s="62" t="s">
        <v>41</v>
      </c>
      <c r="H320" s="61">
        <v>17786</v>
      </c>
      <c r="I320" s="100"/>
      <c r="J320" s="98"/>
      <c r="K320" s="98"/>
      <c r="L320" s="108"/>
      <c r="M320" s="61"/>
      <c r="N320" s="67" t="s">
        <v>42</v>
      </c>
      <c r="O320" s="98"/>
      <c r="P320" s="111"/>
      <c r="Q320" s="83"/>
    </row>
    <row r="321" spans="1:17" ht="32" x14ac:dyDescent="0.2">
      <c r="B321" s="130" t="s">
        <v>43</v>
      </c>
      <c r="C321" s="19" t="s">
        <v>40</v>
      </c>
      <c r="D321" s="100"/>
      <c r="E321" s="97"/>
      <c r="F321" s="34" t="s">
        <v>0</v>
      </c>
      <c r="G321" s="62" t="s">
        <v>41</v>
      </c>
      <c r="H321" s="61">
        <v>17786</v>
      </c>
      <c r="I321" s="100"/>
      <c r="J321" s="98"/>
      <c r="K321" s="98"/>
      <c r="L321" s="108"/>
      <c r="M321" s="61"/>
      <c r="N321" s="67" t="s">
        <v>42</v>
      </c>
      <c r="O321" s="98"/>
      <c r="P321" s="83"/>
      <c r="Q321" s="111"/>
    </row>
    <row r="322" spans="1:17" ht="17" x14ac:dyDescent="0.2">
      <c r="B322" s="128" t="s">
        <v>44</v>
      </c>
      <c r="C322" s="19"/>
      <c r="D322" s="100"/>
      <c r="E322" s="97"/>
      <c r="F322" s="98"/>
      <c r="G322" s="115"/>
      <c r="H322" s="61"/>
      <c r="I322" s="100"/>
      <c r="J322" s="98"/>
      <c r="K322" s="98"/>
      <c r="L322" s="108"/>
      <c r="M322" s="61"/>
      <c r="N322" s="67" t="s">
        <v>45</v>
      </c>
      <c r="O322" s="98"/>
      <c r="P322" s="83"/>
      <c r="Q322" s="83"/>
    </row>
    <row r="323" spans="1:17" ht="17" x14ac:dyDescent="0.2">
      <c r="B323" s="130" t="s">
        <v>46</v>
      </c>
      <c r="C323" s="19" t="s">
        <v>40</v>
      </c>
      <c r="D323" s="100"/>
      <c r="E323" s="97"/>
      <c r="F323" s="34" t="s">
        <v>0</v>
      </c>
      <c r="G323" s="62" t="s">
        <v>41</v>
      </c>
      <c r="H323" s="61">
        <v>17786</v>
      </c>
      <c r="I323" s="100"/>
      <c r="J323" s="98"/>
      <c r="K323" s="98"/>
      <c r="L323" s="108"/>
      <c r="M323" s="61"/>
      <c r="N323" s="67" t="s">
        <v>42</v>
      </c>
      <c r="O323" s="98"/>
      <c r="P323" s="83"/>
      <c r="Q323" s="83"/>
    </row>
    <row r="324" spans="1:17" ht="17" x14ac:dyDescent="0.2">
      <c r="B324" s="128" t="s">
        <v>47</v>
      </c>
      <c r="D324" s="100"/>
      <c r="E324" s="97"/>
      <c r="F324" s="98"/>
      <c r="G324" s="115"/>
      <c r="H324" s="61"/>
      <c r="I324" s="100"/>
      <c r="J324" s="98"/>
      <c r="K324" s="98"/>
      <c r="L324" s="108"/>
      <c r="M324" s="61"/>
      <c r="N324" s="67" t="s">
        <v>45</v>
      </c>
      <c r="O324" s="98"/>
      <c r="P324" s="85"/>
      <c r="Q324" s="83"/>
    </row>
    <row r="325" spans="1:17" ht="17" x14ac:dyDescent="0.2">
      <c r="B325" s="131" t="s">
        <v>48</v>
      </c>
      <c r="C325" s="19" t="s">
        <v>40</v>
      </c>
      <c r="D325" s="100"/>
      <c r="E325" s="97"/>
      <c r="F325" s="34" t="s">
        <v>0</v>
      </c>
      <c r="G325" s="62" t="s">
        <v>41</v>
      </c>
      <c r="H325" s="61">
        <v>17786</v>
      </c>
      <c r="I325" s="100"/>
      <c r="J325" s="98"/>
      <c r="K325" s="98"/>
      <c r="L325" s="108"/>
      <c r="M325" s="61"/>
      <c r="N325" s="67" t="s">
        <v>42</v>
      </c>
      <c r="O325" s="98"/>
      <c r="P325" s="85"/>
      <c r="Q325" s="85"/>
    </row>
    <row r="326" spans="1:17" ht="17" x14ac:dyDescent="0.2">
      <c r="B326" s="131" t="s">
        <v>49</v>
      </c>
      <c r="C326" s="19" t="s">
        <v>40</v>
      </c>
      <c r="D326" s="100"/>
      <c r="E326" s="97"/>
      <c r="F326" s="34" t="s">
        <v>0</v>
      </c>
      <c r="G326" s="62" t="s">
        <v>41</v>
      </c>
      <c r="H326" s="61">
        <v>17786</v>
      </c>
      <c r="I326" s="100"/>
      <c r="J326" s="98"/>
      <c r="K326" s="98"/>
      <c r="L326" s="108"/>
      <c r="M326" s="61"/>
      <c r="N326" s="67" t="s">
        <v>42</v>
      </c>
      <c r="O326" s="98"/>
      <c r="P326" s="85"/>
      <c r="Q326" s="85"/>
    </row>
    <row r="327" spans="1:17" ht="34" x14ac:dyDescent="0.2">
      <c r="B327" s="131" t="s">
        <v>50</v>
      </c>
      <c r="C327" s="19" t="s">
        <v>40</v>
      </c>
      <c r="D327" s="101"/>
      <c r="E327" s="97"/>
      <c r="F327" s="34" t="s">
        <v>0</v>
      </c>
      <c r="G327" s="62" t="s">
        <v>41</v>
      </c>
      <c r="H327" s="61">
        <v>17786</v>
      </c>
      <c r="I327" s="100"/>
      <c r="J327" s="98"/>
      <c r="K327" s="98"/>
      <c r="L327" s="108"/>
      <c r="M327" s="61"/>
      <c r="N327" s="67" t="s">
        <v>42</v>
      </c>
      <c r="O327" s="98"/>
      <c r="P327" s="85"/>
      <c r="Q327" s="85"/>
    </row>
    <row r="328" spans="1:17" ht="17" x14ac:dyDescent="0.2">
      <c r="B328" s="128" t="s">
        <v>51</v>
      </c>
      <c r="C328" s="19"/>
      <c r="D328" s="101"/>
      <c r="E328" s="97"/>
      <c r="F328" s="98"/>
      <c r="G328" s="115"/>
      <c r="H328" s="61"/>
      <c r="I328" s="100"/>
      <c r="J328" s="98"/>
      <c r="K328" s="98"/>
      <c r="L328" s="108"/>
      <c r="M328" s="61"/>
      <c r="N328" s="67" t="s">
        <v>45</v>
      </c>
      <c r="O328" s="98"/>
      <c r="P328" s="85"/>
      <c r="Q328" s="85"/>
    </row>
    <row r="329" spans="1:17" ht="27.75" customHeight="1" x14ac:dyDescent="0.2">
      <c r="B329" s="131" t="s">
        <v>52</v>
      </c>
      <c r="C329" s="19" t="s">
        <v>40</v>
      </c>
      <c r="D329" s="101"/>
      <c r="E329" s="97"/>
      <c r="F329" s="34" t="s">
        <v>0</v>
      </c>
      <c r="G329" s="62" t="s">
        <v>41</v>
      </c>
      <c r="H329" s="61">
        <v>17786</v>
      </c>
      <c r="I329" s="100"/>
      <c r="J329" s="98"/>
      <c r="K329" s="98"/>
      <c r="L329" s="108"/>
      <c r="M329" s="61"/>
      <c r="N329" s="67" t="s">
        <v>42</v>
      </c>
      <c r="O329" s="98"/>
      <c r="P329" s="85"/>
      <c r="Q329" s="85"/>
    </row>
    <row r="330" spans="1:17" ht="17" x14ac:dyDescent="0.2">
      <c r="B330" s="132" t="s">
        <v>53</v>
      </c>
      <c r="C330" s="19"/>
      <c r="D330" s="101"/>
      <c r="E330" s="97"/>
      <c r="F330" s="98"/>
      <c r="G330" s="115"/>
      <c r="H330" s="61"/>
      <c r="I330" s="100"/>
      <c r="J330" s="98"/>
      <c r="K330" s="98"/>
      <c r="L330" s="108"/>
      <c r="M330" s="61"/>
      <c r="N330" s="67" t="s">
        <v>45</v>
      </c>
      <c r="O330" s="98"/>
      <c r="P330" s="83"/>
      <c r="Q330" s="85"/>
    </row>
    <row r="331" spans="1:17" ht="51" x14ac:dyDescent="0.2">
      <c r="B331" s="133" t="s">
        <v>54</v>
      </c>
      <c r="C331" s="19" t="s">
        <v>40</v>
      </c>
      <c r="D331" s="101"/>
      <c r="E331" s="97"/>
      <c r="F331" s="34" t="s">
        <v>0</v>
      </c>
      <c r="G331" s="62" t="s">
        <v>41</v>
      </c>
      <c r="H331" s="61">
        <v>17786</v>
      </c>
      <c r="I331" s="100"/>
      <c r="J331" s="109"/>
      <c r="K331" s="98"/>
      <c r="L331" s="108"/>
      <c r="M331" s="61"/>
      <c r="N331" s="67" t="s">
        <v>42</v>
      </c>
      <c r="O331" s="98"/>
      <c r="P331" s="83"/>
      <c r="Q331" s="83"/>
    </row>
    <row r="332" spans="1:17" ht="17" x14ac:dyDescent="0.2">
      <c r="B332" s="128" t="s">
        <v>55</v>
      </c>
      <c r="C332" s="19"/>
      <c r="D332" s="101"/>
      <c r="E332" s="97"/>
      <c r="F332" s="98"/>
      <c r="G332" s="115"/>
      <c r="H332" s="61"/>
      <c r="I332" s="100"/>
      <c r="J332" s="98"/>
      <c r="K332" s="98"/>
      <c r="L332" s="112"/>
      <c r="M332" s="87"/>
      <c r="N332" s="67" t="s">
        <v>45</v>
      </c>
      <c r="O332" s="114"/>
      <c r="P332" s="83"/>
      <c r="Q332" s="83"/>
    </row>
    <row r="333" spans="1:17" ht="51" x14ac:dyDescent="0.2">
      <c r="B333" s="134" t="s">
        <v>56</v>
      </c>
      <c r="C333" s="19" t="s">
        <v>57</v>
      </c>
      <c r="D333" s="101"/>
      <c r="E333" s="97"/>
      <c r="F333" s="34" t="s">
        <v>0</v>
      </c>
      <c r="G333" s="62" t="s">
        <v>41</v>
      </c>
      <c r="H333" s="61">
        <v>17786</v>
      </c>
      <c r="I333" s="100"/>
      <c r="J333" s="98"/>
      <c r="K333" s="98"/>
      <c r="L333" s="112"/>
      <c r="M333" s="87"/>
      <c r="N333" s="67" t="s">
        <v>42</v>
      </c>
      <c r="O333" s="114"/>
      <c r="P333" s="83"/>
      <c r="Q333" s="83"/>
    </row>
    <row r="334" spans="1:17" ht="17" x14ac:dyDescent="0.2">
      <c r="B334" s="128" t="s">
        <v>58</v>
      </c>
      <c r="D334" s="101"/>
      <c r="E334" s="97"/>
      <c r="F334" s="98"/>
      <c r="G334" s="115"/>
      <c r="H334" s="61"/>
      <c r="I334" s="100"/>
      <c r="J334" s="98"/>
      <c r="K334" s="98"/>
      <c r="L334" s="103"/>
      <c r="M334" s="89"/>
      <c r="N334" s="67" t="s">
        <v>45</v>
      </c>
      <c r="O334" s="105"/>
      <c r="P334" s="83"/>
      <c r="Q334" s="83"/>
    </row>
    <row r="335" spans="1:17" ht="53.25" customHeight="1" x14ac:dyDescent="0.2">
      <c r="A335" s="52"/>
      <c r="B335" s="226" t="s">
        <v>59</v>
      </c>
      <c r="C335" s="19" t="s">
        <v>40</v>
      </c>
      <c r="D335" s="101"/>
      <c r="E335" s="97"/>
      <c r="F335" s="34" t="s">
        <v>0</v>
      </c>
      <c r="G335" s="62" t="s">
        <v>41</v>
      </c>
      <c r="H335" s="61">
        <v>17786</v>
      </c>
      <c r="I335" s="100"/>
      <c r="J335" s="98"/>
      <c r="K335" s="98"/>
      <c r="L335" s="107"/>
      <c r="M335" s="6"/>
      <c r="N335" s="67" t="s">
        <v>42</v>
      </c>
      <c r="O335" s="83"/>
      <c r="P335" s="83"/>
      <c r="Q335" s="83"/>
    </row>
    <row r="336" spans="1:17" ht="17" x14ac:dyDescent="0.2">
      <c r="B336" s="132" t="s">
        <v>60</v>
      </c>
      <c r="C336" s="19"/>
      <c r="D336" s="101"/>
      <c r="E336" s="97"/>
      <c r="F336" s="98"/>
      <c r="G336" s="115"/>
      <c r="H336" s="61"/>
      <c r="I336" s="100"/>
      <c r="J336" s="109"/>
      <c r="K336" s="98"/>
      <c r="L336" s="107"/>
      <c r="M336" s="6"/>
      <c r="N336" s="67" t="s">
        <v>45</v>
      </c>
      <c r="O336" s="83"/>
      <c r="P336" s="83"/>
      <c r="Q336" s="83"/>
    </row>
    <row r="337" spans="2:17" ht="17" x14ac:dyDescent="0.2">
      <c r="B337" s="135" t="s">
        <v>61</v>
      </c>
      <c r="C337" s="19" t="s">
        <v>40</v>
      </c>
      <c r="D337" s="101"/>
      <c r="E337" s="97"/>
      <c r="F337" s="34" t="s">
        <v>0</v>
      </c>
      <c r="G337" s="62" t="s">
        <v>41</v>
      </c>
      <c r="H337" s="61">
        <v>17786</v>
      </c>
      <c r="I337" s="100"/>
      <c r="J337" s="98"/>
      <c r="K337" s="98"/>
      <c r="L337" s="107"/>
      <c r="M337" s="6"/>
      <c r="N337" s="67" t="s">
        <v>42</v>
      </c>
      <c r="O337" s="83"/>
      <c r="P337" s="83"/>
      <c r="Q337" s="83"/>
    </row>
    <row r="338" spans="2:17" ht="17" x14ac:dyDescent="0.2">
      <c r="B338" s="136" t="s">
        <v>62</v>
      </c>
      <c r="C338" s="19" t="s">
        <v>40</v>
      </c>
      <c r="D338" s="101"/>
      <c r="E338" s="97"/>
      <c r="F338" s="34" t="s">
        <v>0</v>
      </c>
      <c r="G338" s="62" t="s">
        <v>41</v>
      </c>
      <c r="H338" s="61">
        <v>17786</v>
      </c>
      <c r="I338" s="100"/>
      <c r="J338" s="98"/>
      <c r="K338" s="98"/>
      <c r="L338" s="107"/>
      <c r="M338" s="6"/>
      <c r="N338" s="67" t="s">
        <v>42</v>
      </c>
      <c r="O338" s="83"/>
      <c r="P338" s="83"/>
      <c r="Q338" s="83"/>
    </row>
    <row r="339" spans="2:17" ht="96" x14ac:dyDescent="0.2">
      <c r="B339" s="211" t="s">
        <v>63</v>
      </c>
      <c r="C339" s="19" t="s">
        <v>40</v>
      </c>
      <c r="D339" s="101"/>
      <c r="E339" s="97"/>
      <c r="F339" s="34" t="s">
        <v>0</v>
      </c>
      <c r="G339" s="62" t="s">
        <v>41</v>
      </c>
      <c r="H339" s="61">
        <v>17786</v>
      </c>
      <c r="I339" s="100"/>
      <c r="J339" s="98"/>
      <c r="K339" s="98"/>
      <c r="L339" s="107"/>
      <c r="M339" s="6"/>
      <c r="N339" s="67" t="s">
        <v>42</v>
      </c>
      <c r="O339" s="83"/>
      <c r="P339" s="83"/>
      <c r="Q339" s="83"/>
    </row>
    <row r="340" spans="2:17" ht="17" x14ac:dyDescent="0.2">
      <c r="B340" s="136" t="s">
        <v>64</v>
      </c>
      <c r="C340" s="19" t="s">
        <v>40</v>
      </c>
      <c r="D340" s="101"/>
      <c r="E340" s="97"/>
      <c r="F340" s="34" t="s">
        <v>0</v>
      </c>
      <c r="G340" s="62" t="s">
        <v>41</v>
      </c>
      <c r="H340" s="61">
        <v>17786</v>
      </c>
      <c r="I340" s="100"/>
      <c r="J340" s="116"/>
      <c r="K340" s="98"/>
      <c r="L340" s="107"/>
      <c r="M340" s="6"/>
      <c r="N340" s="67" t="s">
        <v>42</v>
      </c>
      <c r="O340" s="83"/>
      <c r="P340" s="83"/>
      <c r="Q340" s="83"/>
    </row>
    <row r="341" spans="2:17" ht="17" x14ac:dyDescent="0.2">
      <c r="B341" s="128" t="s">
        <v>65</v>
      </c>
      <c r="D341" s="101"/>
      <c r="E341" s="97"/>
      <c r="F341" s="98"/>
      <c r="G341" s="115"/>
      <c r="H341" s="61"/>
      <c r="I341" s="100"/>
      <c r="J341" s="116"/>
      <c r="K341" s="98"/>
      <c r="L341" s="108"/>
      <c r="M341" s="61"/>
      <c r="N341" s="67" t="s">
        <v>45</v>
      </c>
      <c r="O341" s="98"/>
      <c r="P341" s="105"/>
      <c r="Q341" s="83"/>
    </row>
    <row r="342" spans="2:17" ht="17" x14ac:dyDescent="0.2">
      <c r="B342" s="174" t="s">
        <v>66</v>
      </c>
      <c r="C342" s="19" t="s">
        <v>40</v>
      </c>
      <c r="D342" s="101"/>
      <c r="E342" s="97"/>
      <c r="F342" s="34" t="s">
        <v>0</v>
      </c>
      <c r="G342" s="62" t="s">
        <v>41</v>
      </c>
      <c r="H342" s="61">
        <v>17786</v>
      </c>
      <c r="I342" s="100"/>
      <c r="J342" s="116"/>
      <c r="K342" s="98"/>
      <c r="L342" s="108"/>
      <c r="M342" s="61"/>
      <c r="N342" s="67" t="s">
        <v>42</v>
      </c>
      <c r="O342" s="98"/>
      <c r="P342" s="105"/>
      <c r="Q342" s="105"/>
    </row>
    <row r="343" spans="2:17" ht="17" x14ac:dyDescent="0.2">
      <c r="B343" s="166" t="s">
        <v>67</v>
      </c>
      <c r="C343" s="19" t="s">
        <v>40</v>
      </c>
      <c r="D343" s="101"/>
      <c r="E343" s="97"/>
      <c r="F343" s="34" t="s">
        <v>0</v>
      </c>
      <c r="G343" s="62" t="s">
        <v>41</v>
      </c>
      <c r="H343" s="61">
        <v>17786</v>
      </c>
      <c r="I343" s="100"/>
      <c r="J343" s="116"/>
      <c r="K343" s="98"/>
      <c r="L343" s="108"/>
      <c r="M343" s="61"/>
      <c r="N343" s="67" t="s">
        <v>42</v>
      </c>
      <c r="O343" s="98"/>
      <c r="P343" s="83"/>
      <c r="Q343" s="105"/>
    </row>
    <row r="344" spans="2:17" ht="17" x14ac:dyDescent="0.2">
      <c r="B344" s="166" t="s">
        <v>68</v>
      </c>
      <c r="C344" s="19" t="s">
        <v>40</v>
      </c>
      <c r="D344" s="101"/>
      <c r="E344" s="97"/>
      <c r="F344" s="34" t="s">
        <v>0</v>
      </c>
      <c r="G344" s="62" t="s">
        <v>41</v>
      </c>
      <c r="H344" s="61">
        <v>17786</v>
      </c>
      <c r="I344" s="100"/>
      <c r="J344" s="116"/>
      <c r="K344" s="98"/>
      <c r="L344" s="108"/>
      <c r="M344" s="61"/>
      <c r="N344" s="67" t="s">
        <v>42</v>
      </c>
      <c r="O344" s="98"/>
      <c r="P344" s="83"/>
      <c r="Q344" s="83"/>
    </row>
    <row r="345" spans="2:17" ht="17" x14ac:dyDescent="0.2">
      <c r="B345" s="166" t="s">
        <v>69</v>
      </c>
      <c r="C345" s="19" t="s">
        <v>40</v>
      </c>
      <c r="D345" s="101"/>
      <c r="E345" s="97"/>
      <c r="F345" s="34" t="s">
        <v>0</v>
      </c>
      <c r="G345" s="62" t="s">
        <v>41</v>
      </c>
      <c r="H345" s="61">
        <v>17786</v>
      </c>
      <c r="I345" s="100"/>
      <c r="J345" s="98"/>
      <c r="K345" s="98"/>
      <c r="L345" s="108"/>
      <c r="M345" s="61"/>
      <c r="N345" s="67" t="s">
        <v>42</v>
      </c>
      <c r="O345" s="98"/>
      <c r="P345" s="83"/>
      <c r="Q345" s="83"/>
    </row>
    <row r="346" spans="2:17" ht="17" x14ac:dyDescent="0.2">
      <c r="B346" s="166" t="s">
        <v>70</v>
      </c>
      <c r="C346" s="19" t="s">
        <v>40</v>
      </c>
      <c r="D346" s="101"/>
      <c r="E346" s="97"/>
      <c r="F346" s="34" t="s">
        <v>0</v>
      </c>
      <c r="G346" s="62" t="s">
        <v>41</v>
      </c>
      <c r="H346" s="61">
        <v>17786</v>
      </c>
      <c r="I346" s="100"/>
      <c r="J346" s="109"/>
      <c r="K346" s="98"/>
      <c r="L346" s="108"/>
      <c r="M346" s="61"/>
      <c r="N346" s="67" t="s">
        <v>42</v>
      </c>
      <c r="O346" s="98"/>
      <c r="P346" s="83"/>
      <c r="Q346" s="83"/>
    </row>
    <row r="347" spans="2:17" ht="17" x14ac:dyDescent="0.2">
      <c r="B347" s="138" t="s">
        <v>71</v>
      </c>
      <c r="C347" s="19" t="s">
        <v>40</v>
      </c>
      <c r="D347" s="101"/>
      <c r="E347" s="97"/>
      <c r="F347" s="34" t="s">
        <v>0</v>
      </c>
      <c r="G347" s="62" t="s">
        <v>41</v>
      </c>
      <c r="H347" s="61">
        <v>17786</v>
      </c>
      <c r="I347" s="100"/>
      <c r="J347" s="98"/>
      <c r="K347" s="98"/>
      <c r="L347" s="108"/>
      <c r="M347" s="61"/>
      <c r="N347" s="67" t="s">
        <v>42</v>
      </c>
      <c r="O347" s="98"/>
      <c r="P347" s="83"/>
      <c r="Q347" s="83"/>
    </row>
    <row r="348" spans="2:17" ht="17" x14ac:dyDescent="0.2">
      <c r="B348" s="139" t="s">
        <v>72</v>
      </c>
      <c r="C348" s="19" t="s">
        <v>40</v>
      </c>
      <c r="D348" s="101"/>
      <c r="E348" s="97"/>
      <c r="F348" s="34" t="s">
        <v>0</v>
      </c>
      <c r="G348" s="62" t="s">
        <v>41</v>
      </c>
      <c r="H348" s="61">
        <v>17786</v>
      </c>
      <c r="I348" s="100"/>
      <c r="J348" s="98"/>
      <c r="K348" s="98"/>
      <c r="L348" s="108"/>
      <c r="M348" s="61"/>
      <c r="N348" s="67" t="s">
        <v>42</v>
      </c>
      <c r="O348" s="98"/>
      <c r="P348" s="83"/>
      <c r="Q348" s="83"/>
    </row>
    <row r="349" spans="2:17" ht="17" x14ac:dyDescent="0.2">
      <c r="B349" s="174" t="s">
        <v>73</v>
      </c>
      <c r="C349" s="19" t="s">
        <v>40</v>
      </c>
      <c r="D349" s="101"/>
      <c r="E349" s="97"/>
      <c r="F349" s="34" t="s">
        <v>0</v>
      </c>
      <c r="G349" s="62" t="s">
        <v>41</v>
      </c>
      <c r="H349" s="61">
        <v>17786</v>
      </c>
      <c r="I349" s="100"/>
      <c r="J349" s="109"/>
      <c r="K349" s="98"/>
      <c r="L349" s="108"/>
      <c r="M349" s="61"/>
      <c r="N349" s="67" t="s">
        <v>42</v>
      </c>
      <c r="O349" s="98"/>
      <c r="P349" s="85"/>
      <c r="Q349" s="83"/>
    </row>
    <row r="350" spans="2:17" ht="17" x14ac:dyDescent="0.2">
      <c r="B350" s="139" t="s">
        <v>74</v>
      </c>
      <c r="C350" s="19" t="s">
        <v>40</v>
      </c>
      <c r="D350" s="101"/>
      <c r="E350" s="97"/>
      <c r="F350" s="34" t="s">
        <v>0</v>
      </c>
      <c r="G350" s="62" t="s">
        <v>41</v>
      </c>
      <c r="H350" s="61">
        <v>17786</v>
      </c>
      <c r="I350" s="100"/>
      <c r="J350" s="109"/>
      <c r="K350" s="98"/>
      <c r="L350" s="112"/>
      <c r="M350" s="87"/>
      <c r="N350" s="67" t="s">
        <v>42</v>
      </c>
      <c r="O350" s="114"/>
      <c r="P350" s="85"/>
      <c r="Q350" s="85"/>
    </row>
    <row r="351" spans="2:17" ht="17" x14ac:dyDescent="0.2">
      <c r="B351" s="139" t="s">
        <v>75</v>
      </c>
      <c r="C351" s="19" t="s">
        <v>40</v>
      </c>
      <c r="D351" s="97"/>
      <c r="E351" s="97"/>
      <c r="F351" s="34" t="s">
        <v>0</v>
      </c>
      <c r="G351" s="62" t="s">
        <v>41</v>
      </c>
      <c r="H351" s="61">
        <v>17786</v>
      </c>
      <c r="I351" s="100"/>
      <c r="J351" s="109"/>
      <c r="K351" s="98"/>
      <c r="L351" s="112"/>
      <c r="M351" s="87"/>
      <c r="N351" s="67" t="s">
        <v>42</v>
      </c>
      <c r="O351" s="114"/>
      <c r="P351" s="85"/>
      <c r="Q351" s="85"/>
    </row>
    <row r="352" spans="2:17" ht="17" x14ac:dyDescent="0.2">
      <c r="B352" s="138" t="s">
        <v>76</v>
      </c>
      <c r="C352" s="19" t="s">
        <v>40</v>
      </c>
      <c r="D352" s="97"/>
      <c r="E352" s="97"/>
      <c r="F352" s="34" t="s">
        <v>0</v>
      </c>
      <c r="G352" s="62" t="s">
        <v>41</v>
      </c>
      <c r="H352" s="61">
        <v>17786</v>
      </c>
      <c r="I352" s="100"/>
      <c r="J352" s="109"/>
      <c r="K352" s="98"/>
      <c r="L352" s="112"/>
      <c r="M352" s="87"/>
      <c r="N352" s="67" t="s">
        <v>42</v>
      </c>
      <c r="O352" s="114"/>
      <c r="P352" s="85"/>
      <c r="Q352" s="85"/>
    </row>
    <row r="353" spans="2:17" ht="68" x14ac:dyDescent="0.2">
      <c r="B353" s="166" t="s">
        <v>194</v>
      </c>
      <c r="C353" s="19" t="s">
        <v>40</v>
      </c>
      <c r="D353" s="97"/>
      <c r="E353" s="97"/>
      <c r="F353" s="34" t="s">
        <v>0</v>
      </c>
      <c r="G353" s="62" t="s">
        <v>41</v>
      </c>
      <c r="H353" s="61">
        <v>17786</v>
      </c>
      <c r="I353" s="100"/>
      <c r="J353" s="109"/>
      <c r="K353" s="98"/>
      <c r="L353" s="112"/>
      <c r="M353" s="87"/>
      <c r="N353" s="67" t="s">
        <v>42</v>
      </c>
      <c r="O353" s="114"/>
      <c r="P353" s="85"/>
      <c r="Q353" s="85"/>
    </row>
    <row r="354" spans="2:17" ht="17" x14ac:dyDescent="0.2">
      <c r="B354" s="166" t="s">
        <v>78</v>
      </c>
      <c r="C354" s="19" t="s">
        <v>40</v>
      </c>
      <c r="D354" s="97"/>
      <c r="E354" s="97"/>
      <c r="F354" s="34" t="s">
        <v>0</v>
      </c>
      <c r="G354" s="62" t="s">
        <v>41</v>
      </c>
      <c r="H354" s="61">
        <v>17786</v>
      </c>
      <c r="I354" s="100"/>
      <c r="J354" s="98"/>
      <c r="K354" s="98"/>
      <c r="L354" s="112"/>
      <c r="M354" s="87"/>
      <c r="N354" s="67" t="s">
        <v>42</v>
      </c>
      <c r="O354" s="114"/>
      <c r="P354" s="85"/>
      <c r="Q354" s="85"/>
    </row>
    <row r="355" spans="2:17" ht="17" x14ac:dyDescent="0.2">
      <c r="B355" s="138" t="s">
        <v>79</v>
      </c>
      <c r="C355" s="19" t="s">
        <v>40</v>
      </c>
      <c r="D355" s="97"/>
      <c r="E355" s="97"/>
      <c r="F355" s="34" t="s">
        <v>0</v>
      </c>
      <c r="G355" s="62" t="s">
        <v>41</v>
      </c>
      <c r="H355" s="61">
        <v>17786</v>
      </c>
      <c r="I355" s="100"/>
      <c r="J355" s="98"/>
      <c r="K355" s="98"/>
      <c r="L355" s="112"/>
      <c r="M355" s="87"/>
      <c r="N355" s="67" t="s">
        <v>42</v>
      </c>
      <c r="O355" s="114"/>
      <c r="P355" s="85"/>
      <c r="Q355" s="85"/>
    </row>
    <row r="356" spans="2:17" ht="17" x14ac:dyDescent="0.2">
      <c r="B356" s="138" t="s">
        <v>80</v>
      </c>
      <c r="C356" s="19" t="s">
        <v>40</v>
      </c>
      <c r="D356" s="97"/>
      <c r="E356" s="97"/>
      <c r="F356" s="34" t="s">
        <v>0</v>
      </c>
      <c r="G356" s="62" t="s">
        <v>41</v>
      </c>
      <c r="H356" s="61">
        <v>17786</v>
      </c>
      <c r="I356" s="100"/>
      <c r="J356" s="98"/>
      <c r="K356" s="98"/>
      <c r="L356" s="103"/>
      <c r="M356" s="89"/>
      <c r="N356" s="67" t="s">
        <v>42</v>
      </c>
      <c r="O356" s="105"/>
      <c r="P356" s="85"/>
      <c r="Q356" s="85"/>
    </row>
    <row r="357" spans="2:17" ht="17" x14ac:dyDescent="0.2">
      <c r="B357" s="138" t="s">
        <v>81</v>
      </c>
      <c r="C357" s="19" t="s">
        <v>40</v>
      </c>
      <c r="D357" s="101"/>
      <c r="E357" s="97"/>
      <c r="F357" s="34" t="s">
        <v>0</v>
      </c>
      <c r="G357" s="62" t="s">
        <v>41</v>
      </c>
      <c r="H357" s="61">
        <v>17786</v>
      </c>
      <c r="I357" s="100"/>
      <c r="J357" s="98"/>
      <c r="K357" s="98"/>
      <c r="L357" s="107"/>
      <c r="M357" s="6"/>
      <c r="N357" s="67" t="s">
        <v>42</v>
      </c>
      <c r="O357" s="83"/>
      <c r="P357" s="83"/>
      <c r="Q357" s="85"/>
    </row>
    <row r="358" spans="2:17" ht="17" x14ac:dyDescent="0.2">
      <c r="B358" s="138" t="s">
        <v>82</v>
      </c>
      <c r="C358" s="19" t="s">
        <v>40</v>
      </c>
      <c r="D358" s="101"/>
      <c r="E358" s="97"/>
      <c r="F358" s="34" t="s">
        <v>0</v>
      </c>
      <c r="G358" s="62" t="s">
        <v>41</v>
      </c>
      <c r="H358" s="61">
        <v>17786</v>
      </c>
      <c r="I358" s="100"/>
      <c r="J358" s="98"/>
      <c r="K358" s="98"/>
      <c r="L358" s="108"/>
      <c r="M358" s="61"/>
      <c r="N358" s="67" t="s">
        <v>42</v>
      </c>
      <c r="O358" s="98"/>
      <c r="P358" s="83"/>
      <c r="Q358" s="83"/>
    </row>
    <row r="359" spans="2:17" ht="17" x14ac:dyDescent="0.2">
      <c r="B359" s="138" t="s">
        <v>83</v>
      </c>
      <c r="C359" s="19" t="s">
        <v>40</v>
      </c>
      <c r="D359" s="101"/>
      <c r="E359" s="97"/>
      <c r="F359" s="34" t="s">
        <v>0</v>
      </c>
      <c r="G359" s="62" t="s">
        <v>41</v>
      </c>
      <c r="H359" s="61">
        <v>17786</v>
      </c>
      <c r="I359" s="100"/>
      <c r="J359" s="98"/>
      <c r="K359" s="98"/>
      <c r="L359" s="108"/>
      <c r="M359" s="61"/>
      <c r="N359" s="67" t="s">
        <v>42</v>
      </c>
      <c r="O359" s="98"/>
      <c r="P359" s="83"/>
      <c r="Q359" s="83"/>
    </row>
    <row r="360" spans="2:17" ht="17" x14ac:dyDescent="0.2">
      <c r="B360" s="138" t="s">
        <v>84</v>
      </c>
      <c r="C360" s="19" t="s">
        <v>40</v>
      </c>
      <c r="D360" s="101"/>
      <c r="E360" s="97"/>
      <c r="F360" s="34" t="s">
        <v>0</v>
      </c>
      <c r="G360" s="62" t="s">
        <v>41</v>
      </c>
      <c r="H360" s="61">
        <v>17786</v>
      </c>
      <c r="I360" s="100"/>
      <c r="J360" s="98"/>
      <c r="K360" s="98"/>
      <c r="L360" s="108"/>
      <c r="M360" s="61"/>
      <c r="N360" s="67" t="s">
        <v>42</v>
      </c>
      <c r="O360" s="98"/>
      <c r="P360" s="83"/>
      <c r="Q360" s="83"/>
    </row>
    <row r="361" spans="2:17" ht="17" x14ac:dyDescent="0.2">
      <c r="B361" s="139" t="s">
        <v>85</v>
      </c>
      <c r="C361" s="19" t="s">
        <v>40</v>
      </c>
      <c r="D361" s="101"/>
      <c r="E361" s="97"/>
      <c r="F361" s="34" t="s">
        <v>0</v>
      </c>
      <c r="G361" s="62" t="s">
        <v>41</v>
      </c>
      <c r="H361" s="61">
        <v>17786</v>
      </c>
      <c r="I361" s="100"/>
      <c r="J361" s="98"/>
      <c r="K361" s="98"/>
      <c r="L361" s="108"/>
      <c r="M361" s="61"/>
      <c r="N361" s="67" t="s">
        <v>42</v>
      </c>
      <c r="O361" s="98"/>
      <c r="P361" s="83"/>
      <c r="Q361" s="83"/>
    </row>
    <row r="362" spans="2:17" ht="17" x14ac:dyDescent="0.2">
      <c r="B362" s="140" t="s">
        <v>86</v>
      </c>
      <c r="D362" s="101"/>
      <c r="E362" s="97"/>
      <c r="F362" s="98"/>
      <c r="G362" s="117"/>
      <c r="H362" s="61"/>
      <c r="I362" s="100"/>
      <c r="J362" s="98"/>
      <c r="K362" s="98"/>
      <c r="L362" s="108"/>
      <c r="M362" s="61"/>
      <c r="N362" s="67" t="s">
        <v>45</v>
      </c>
      <c r="O362" s="98"/>
      <c r="P362" s="83"/>
      <c r="Q362" s="83"/>
    </row>
    <row r="363" spans="2:17" ht="17" x14ac:dyDescent="0.2">
      <c r="B363" s="141" t="s">
        <v>87</v>
      </c>
      <c r="C363" s="19" t="s">
        <v>40</v>
      </c>
      <c r="D363" s="101"/>
      <c r="E363" s="97"/>
      <c r="F363" s="34" t="s">
        <v>0</v>
      </c>
      <c r="G363" s="62" t="s">
        <v>41</v>
      </c>
      <c r="H363" s="61">
        <v>17786</v>
      </c>
      <c r="I363" s="100"/>
      <c r="J363" s="98"/>
      <c r="K363" s="98"/>
      <c r="L363" s="108"/>
      <c r="M363" s="61"/>
      <c r="N363" s="67" t="s">
        <v>42</v>
      </c>
      <c r="O363" s="98"/>
      <c r="P363" s="83"/>
      <c r="Q363" s="83"/>
    </row>
    <row r="364" spans="2:17" ht="32" x14ac:dyDescent="0.2">
      <c r="B364" s="140" t="s">
        <v>88</v>
      </c>
      <c r="C364" s="19"/>
      <c r="D364" s="101"/>
      <c r="E364" s="97"/>
      <c r="F364" s="98"/>
      <c r="G364" s="117"/>
      <c r="H364" s="61"/>
      <c r="I364" s="100"/>
      <c r="J364" s="98"/>
      <c r="K364" s="98"/>
      <c r="L364" s="108"/>
      <c r="M364" s="61"/>
      <c r="N364" s="67" t="s">
        <v>45</v>
      </c>
      <c r="O364" s="98"/>
      <c r="P364" s="83"/>
      <c r="Q364" s="83"/>
    </row>
    <row r="365" spans="2:17" ht="32" x14ac:dyDescent="0.2">
      <c r="B365" s="142" t="s">
        <v>89</v>
      </c>
      <c r="C365" s="19" t="s">
        <v>40</v>
      </c>
      <c r="D365" s="101"/>
      <c r="E365" s="97"/>
      <c r="F365" s="34" t="s">
        <v>0</v>
      </c>
      <c r="G365" s="62" t="s">
        <v>41</v>
      </c>
      <c r="H365" s="61">
        <v>17786</v>
      </c>
      <c r="I365" s="100"/>
      <c r="J365" s="98"/>
      <c r="K365" s="98"/>
      <c r="L365" s="108"/>
      <c r="M365" s="61"/>
      <c r="N365" s="67" t="s">
        <v>42</v>
      </c>
      <c r="O365" s="98"/>
      <c r="P365" s="83"/>
      <c r="Q365" s="83"/>
    </row>
    <row r="366" spans="2:17" ht="17" x14ac:dyDescent="0.2">
      <c r="B366" s="140" t="s">
        <v>90</v>
      </c>
      <c r="C366" s="19"/>
      <c r="D366" s="101"/>
      <c r="E366" s="97"/>
      <c r="F366" s="98"/>
      <c r="G366" s="117"/>
      <c r="H366" s="61"/>
      <c r="I366" s="100"/>
      <c r="J366" s="98"/>
      <c r="K366" s="98"/>
      <c r="L366" s="108"/>
      <c r="M366" s="61"/>
      <c r="N366" s="67" t="s">
        <v>45</v>
      </c>
      <c r="O366" s="98"/>
      <c r="P366" s="83"/>
      <c r="Q366" s="83"/>
    </row>
    <row r="367" spans="2:17" ht="32" x14ac:dyDescent="0.2">
      <c r="B367" s="142" t="s">
        <v>91</v>
      </c>
      <c r="C367" s="19" t="s">
        <v>40</v>
      </c>
      <c r="D367" s="101"/>
      <c r="E367" s="97"/>
      <c r="F367" s="98"/>
      <c r="G367" s="62" t="s">
        <v>41</v>
      </c>
      <c r="H367" s="61">
        <v>17786</v>
      </c>
      <c r="I367" s="100"/>
      <c r="J367" s="98"/>
      <c r="K367" s="98"/>
      <c r="L367" s="108"/>
      <c r="M367" s="61"/>
      <c r="N367" s="67" t="s">
        <v>42</v>
      </c>
      <c r="O367" s="98"/>
      <c r="P367" s="83"/>
      <c r="Q367" s="83"/>
    </row>
    <row r="368" spans="2:17" ht="17" x14ac:dyDescent="0.2">
      <c r="B368" s="140" t="s">
        <v>93</v>
      </c>
      <c r="C368" s="19"/>
      <c r="D368" s="101"/>
      <c r="E368" s="97"/>
      <c r="F368" s="98"/>
      <c r="G368" s="117"/>
      <c r="H368" s="61"/>
      <c r="I368" s="100"/>
      <c r="J368" s="98"/>
      <c r="K368" s="98"/>
      <c r="L368" s="112"/>
      <c r="M368" s="87"/>
      <c r="N368" s="67" t="s">
        <v>45</v>
      </c>
      <c r="O368" s="114"/>
      <c r="P368" s="83"/>
      <c r="Q368" s="83"/>
    </row>
    <row r="369" spans="2:17" ht="32" x14ac:dyDescent="0.2">
      <c r="B369" s="142" t="s">
        <v>94</v>
      </c>
      <c r="C369" s="19" t="s">
        <v>40</v>
      </c>
      <c r="D369" s="101"/>
      <c r="E369" s="97"/>
      <c r="F369" s="98" t="s">
        <v>92</v>
      </c>
      <c r="G369" s="62" t="s">
        <v>41</v>
      </c>
      <c r="H369" s="61">
        <v>17786</v>
      </c>
      <c r="I369" s="100"/>
      <c r="J369" s="98"/>
      <c r="K369" s="98"/>
      <c r="L369" s="112"/>
      <c r="M369" s="87"/>
      <c r="N369" s="67" t="s">
        <v>42</v>
      </c>
      <c r="O369" s="114"/>
      <c r="P369" s="83"/>
      <c r="Q369" s="83"/>
    </row>
    <row r="370" spans="2:17" ht="48" x14ac:dyDescent="0.2">
      <c r="B370" s="143" t="s">
        <v>95</v>
      </c>
      <c r="C370" s="19" t="s">
        <v>40</v>
      </c>
      <c r="D370" s="101"/>
      <c r="E370" s="97"/>
      <c r="F370" s="98" t="s">
        <v>92</v>
      </c>
      <c r="G370" s="62" t="s">
        <v>41</v>
      </c>
      <c r="H370" s="61">
        <v>17786</v>
      </c>
      <c r="I370" s="100"/>
      <c r="J370" s="98"/>
      <c r="K370" s="98"/>
      <c r="L370" s="103"/>
      <c r="M370" s="89"/>
      <c r="N370" s="67" t="s">
        <v>42</v>
      </c>
      <c r="O370" s="105"/>
      <c r="P370" s="83"/>
      <c r="Q370" s="83"/>
    </row>
    <row r="371" spans="2:17" ht="17" x14ac:dyDescent="0.2">
      <c r="B371" s="144" t="s">
        <v>96</v>
      </c>
      <c r="C371" s="19" t="s">
        <v>40</v>
      </c>
      <c r="D371" s="101"/>
      <c r="E371" s="97"/>
      <c r="F371" s="98" t="s">
        <v>92</v>
      </c>
      <c r="G371" s="62" t="s">
        <v>41</v>
      </c>
      <c r="H371" s="61">
        <v>17786</v>
      </c>
      <c r="I371" s="100"/>
      <c r="J371" s="98"/>
      <c r="K371" s="98"/>
      <c r="L371" s="103"/>
      <c r="M371" s="89"/>
      <c r="N371" s="67" t="s">
        <v>42</v>
      </c>
      <c r="O371" s="105"/>
      <c r="P371" s="83"/>
      <c r="Q371" s="83"/>
    </row>
    <row r="372" spans="2:17" ht="32" x14ac:dyDescent="0.2">
      <c r="B372" s="143" t="s">
        <v>97</v>
      </c>
      <c r="C372" s="19" t="s">
        <v>40</v>
      </c>
      <c r="D372" s="101"/>
      <c r="E372" s="97"/>
      <c r="F372" s="98" t="s">
        <v>92</v>
      </c>
      <c r="G372" s="62" t="s">
        <v>41</v>
      </c>
      <c r="H372" s="61">
        <v>17786</v>
      </c>
      <c r="I372" s="100"/>
      <c r="J372" s="98"/>
      <c r="K372" s="98"/>
      <c r="L372" s="107"/>
      <c r="M372" s="6"/>
      <c r="N372" s="67" t="s">
        <v>42</v>
      </c>
      <c r="O372" s="83"/>
      <c r="P372" s="83"/>
      <c r="Q372" s="83"/>
    </row>
    <row r="373" spans="2:17" ht="17" x14ac:dyDescent="0.2">
      <c r="B373" s="142" t="s">
        <v>98</v>
      </c>
      <c r="C373" s="19" t="s">
        <v>40</v>
      </c>
      <c r="D373" s="101"/>
      <c r="E373" s="97"/>
      <c r="F373" s="98" t="s">
        <v>92</v>
      </c>
      <c r="G373" s="62" t="s">
        <v>41</v>
      </c>
      <c r="H373" s="61">
        <v>17786</v>
      </c>
      <c r="I373" s="100"/>
      <c r="J373" s="98"/>
      <c r="K373" s="98"/>
      <c r="L373" s="107"/>
      <c r="M373" s="6"/>
      <c r="N373" s="67" t="s">
        <v>42</v>
      </c>
      <c r="O373" s="83"/>
      <c r="P373" s="83"/>
      <c r="Q373" s="83"/>
    </row>
    <row r="374" spans="2:17" ht="17" x14ac:dyDescent="0.2">
      <c r="B374" s="144" t="s">
        <v>99</v>
      </c>
      <c r="C374" s="19" t="s">
        <v>40</v>
      </c>
      <c r="D374" s="101"/>
      <c r="E374" s="97"/>
      <c r="F374" s="98" t="s">
        <v>92</v>
      </c>
      <c r="G374" s="62" t="s">
        <v>41</v>
      </c>
      <c r="H374" s="61">
        <v>17786</v>
      </c>
      <c r="I374" s="100"/>
      <c r="J374" s="98"/>
      <c r="K374" s="98"/>
      <c r="L374" s="108"/>
      <c r="M374" s="61"/>
      <c r="N374" s="67" t="s">
        <v>42</v>
      </c>
      <c r="O374" s="98"/>
      <c r="P374" s="83"/>
      <c r="Q374" s="83"/>
    </row>
    <row r="375" spans="2:17" ht="17" x14ac:dyDescent="0.2">
      <c r="B375" s="143" t="s">
        <v>100</v>
      </c>
      <c r="C375" s="19" t="s">
        <v>40</v>
      </c>
      <c r="D375" s="101"/>
      <c r="E375" s="97"/>
      <c r="F375" s="98" t="s">
        <v>92</v>
      </c>
      <c r="G375" s="62" t="s">
        <v>41</v>
      </c>
      <c r="H375" s="61">
        <v>17786</v>
      </c>
      <c r="I375" s="100"/>
      <c r="J375" s="98"/>
      <c r="K375" s="98"/>
      <c r="L375" s="108"/>
      <c r="M375" s="61"/>
      <c r="N375" s="67" t="s">
        <v>42</v>
      </c>
      <c r="O375" s="98"/>
      <c r="P375" s="83"/>
      <c r="Q375" s="83"/>
    </row>
    <row r="376" spans="2:17" ht="17" x14ac:dyDescent="0.2">
      <c r="B376" s="140" t="s">
        <v>101</v>
      </c>
      <c r="D376" s="101"/>
      <c r="E376" s="97"/>
      <c r="F376" s="98"/>
      <c r="G376" s="115"/>
      <c r="H376" s="61"/>
      <c r="I376" s="100"/>
      <c r="J376" s="98"/>
      <c r="K376" s="98"/>
      <c r="L376" s="108"/>
      <c r="M376" s="61"/>
      <c r="N376" s="67" t="s">
        <v>45</v>
      </c>
      <c r="O376" s="98"/>
      <c r="P376" s="83"/>
      <c r="Q376" s="83"/>
    </row>
    <row r="377" spans="2:17" ht="17" x14ac:dyDescent="0.2">
      <c r="B377" s="141" t="s">
        <v>87</v>
      </c>
      <c r="C377" s="19" t="s">
        <v>40</v>
      </c>
      <c r="D377" s="101"/>
      <c r="E377" s="97"/>
      <c r="F377" s="34" t="s">
        <v>0</v>
      </c>
      <c r="G377" s="62" t="s">
        <v>41</v>
      </c>
      <c r="H377" s="61">
        <v>17786</v>
      </c>
      <c r="I377" s="100"/>
      <c r="J377" s="98"/>
      <c r="K377" s="98"/>
      <c r="L377" s="108"/>
      <c r="M377" s="61"/>
      <c r="N377" s="67" t="s">
        <v>42</v>
      </c>
      <c r="O377" s="98"/>
      <c r="P377" s="83"/>
      <c r="Q377" s="83"/>
    </row>
    <row r="378" spans="2:17" ht="32" x14ac:dyDescent="0.2">
      <c r="B378" s="142" t="s">
        <v>102</v>
      </c>
      <c r="C378" s="19" t="s">
        <v>40</v>
      </c>
      <c r="D378" s="101"/>
      <c r="E378" s="97"/>
      <c r="F378" s="34" t="s">
        <v>0</v>
      </c>
      <c r="G378" s="62" t="s">
        <v>41</v>
      </c>
      <c r="H378" s="61">
        <v>17786</v>
      </c>
      <c r="I378" s="100"/>
      <c r="J378" s="98"/>
      <c r="K378" s="98"/>
      <c r="L378" s="108"/>
      <c r="M378" s="61"/>
      <c r="N378" s="67" t="s">
        <v>42</v>
      </c>
      <c r="O378" s="98"/>
      <c r="P378" s="83"/>
      <c r="Q378" s="83"/>
    </row>
    <row r="379" spans="2:17" ht="48" x14ac:dyDescent="0.2">
      <c r="B379" s="143" t="s">
        <v>103</v>
      </c>
      <c r="C379" s="19" t="s">
        <v>40</v>
      </c>
      <c r="D379" s="101"/>
      <c r="E379" s="97"/>
      <c r="F379" s="34" t="s">
        <v>0</v>
      </c>
      <c r="G379" s="62" t="s">
        <v>41</v>
      </c>
      <c r="H379" s="61">
        <v>17786</v>
      </c>
      <c r="I379" s="100"/>
      <c r="J379" s="98"/>
      <c r="K379" s="98"/>
      <c r="L379" s="108"/>
      <c r="M379" s="61"/>
      <c r="N379" s="67" t="s">
        <v>42</v>
      </c>
      <c r="O379" s="98"/>
      <c r="P379" s="83"/>
      <c r="Q379" s="83"/>
    </row>
    <row r="380" spans="2:17" ht="17" x14ac:dyDescent="0.2">
      <c r="B380" s="144" t="s">
        <v>96</v>
      </c>
      <c r="C380" s="19" t="s">
        <v>40</v>
      </c>
      <c r="D380" s="101"/>
      <c r="E380" s="97"/>
      <c r="F380" s="34" t="s">
        <v>0</v>
      </c>
      <c r="G380" s="62" t="s">
        <v>41</v>
      </c>
      <c r="H380" s="61">
        <v>17786</v>
      </c>
      <c r="I380" s="100"/>
      <c r="J380" s="98"/>
      <c r="K380" s="98"/>
      <c r="L380" s="108"/>
      <c r="M380" s="61"/>
      <c r="N380" s="67" t="s">
        <v>42</v>
      </c>
      <c r="O380" s="98"/>
      <c r="P380" s="83"/>
      <c r="Q380" s="83"/>
    </row>
    <row r="381" spans="2:17" ht="32" x14ac:dyDescent="0.2">
      <c r="B381" s="143" t="s">
        <v>104</v>
      </c>
      <c r="C381" s="19" t="s">
        <v>40</v>
      </c>
      <c r="D381" s="101"/>
      <c r="E381" s="97"/>
      <c r="F381" s="34" t="s">
        <v>0</v>
      </c>
      <c r="G381" s="62" t="s">
        <v>41</v>
      </c>
      <c r="H381" s="61">
        <v>17786</v>
      </c>
      <c r="I381" s="100"/>
      <c r="J381" s="98"/>
      <c r="K381" s="98"/>
      <c r="L381" s="108"/>
      <c r="M381" s="61"/>
      <c r="N381" s="67" t="s">
        <v>42</v>
      </c>
      <c r="O381" s="98"/>
      <c r="P381" s="83"/>
      <c r="Q381" s="83"/>
    </row>
    <row r="382" spans="2:17" ht="32" x14ac:dyDescent="0.2">
      <c r="B382" s="142" t="s">
        <v>105</v>
      </c>
      <c r="C382" s="19" t="s">
        <v>40</v>
      </c>
      <c r="D382" s="101"/>
      <c r="E382" s="97"/>
      <c r="F382" s="34" t="s">
        <v>0</v>
      </c>
      <c r="G382" s="62" t="s">
        <v>41</v>
      </c>
      <c r="H382" s="61">
        <v>17786</v>
      </c>
      <c r="I382" s="100"/>
      <c r="J382" s="98"/>
      <c r="K382" s="98"/>
      <c r="L382" s="108"/>
      <c r="M382" s="61"/>
      <c r="N382" s="67" t="s">
        <v>42</v>
      </c>
      <c r="O382" s="98"/>
      <c r="P382" s="83"/>
      <c r="Q382" s="83"/>
    </row>
    <row r="383" spans="2:17" ht="17" x14ac:dyDescent="0.2">
      <c r="B383" s="144" t="s">
        <v>99</v>
      </c>
      <c r="C383" s="19" t="s">
        <v>40</v>
      </c>
      <c r="D383" s="101"/>
      <c r="E383" s="97"/>
      <c r="F383" s="34" t="s">
        <v>0</v>
      </c>
      <c r="G383" s="62" t="s">
        <v>41</v>
      </c>
      <c r="H383" s="61">
        <v>17786</v>
      </c>
      <c r="I383" s="100"/>
      <c r="J383" s="109"/>
      <c r="K383" s="109"/>
      <c r="L383" s="108"/>
      <c r="M383" s="61"/>
      <c r="N383" s="67" t="s">
        <v>42</v>
      </c>
      <c r="O383" s="98"/>
      <c r="P383" s="83"/>
      <c r="Q383" s="83"/>
    </row>
    <row r="384" spans="2:17" ht="17" x14ac:dyDescent="0.2">
      <c r="B384" s="143" t="s">
        <v>106</v>
      </c>
      <c r="C384" s="19" t="s">
        <v>40</v>
      </c>
      <c r="D384" s="101"/>
      <c r="E384" s="97"/>
      <c r="F384" s="34" t="s">
        <v>0</v>
      </c>
      <c r="G384" s="62" t="s">
        <v>41</v>
      </c>
      <c r="H384" s="61">
        <v>17786</v>
      </c>
      <c r="I384" s="100"/>
      <c r="J384" s="109"/>
      <c r="K384" s="109"/>
      <c r="L384" s="108"/>
      <c r="M384" s="61"/>
      <c r="N384" s="67" t="s">
        <v>42</v>
      </c>
      <c r="O384" s="98"/>
      <c r="P384" s="83"/>
      <c r="Q384" s="83"/>
    </row>
    <row r="385" spans="2:17" ht="17" x14ac:dyDescent="0.2">
      <c r="B385" s="140" t="s">
        <v>107</v>
      </c>
      <c r="D385" s="101"/>
      <c r="E385" s="97"/>
      <c r="F385" s="98"/>
      <c r="G385" s="115"/>
      <c r="H385" s="61"/>
      <c r="I385" s="100"/>
      <c r="J385" s="109"/>
      <c r="K385" s="98"/>
      <c r="L385" s="108"/>
      <c r="M385" s="61"/>
      <c r="N385" s="67" t="s">
        <v>45</v>
      </c>
      <c r="O385" s="98"/>
      <c r="P385" s="118"/>
      <c r="Q385" s="83"/>
    </row>
    <row r="386" spans="2:17" ht="17" x14ac:dyDescent="0.2">
      <c r="B386" s="141" t="s">
        <v>87</v>
      </c>
      <c r="C386" s="19" t="s">
        <v>40</v>
      </c>
      <c r="D386" s="101"/>
      <c r="E386" s="97"/>
      <c r="F386" s="34" t="s">
        <v>0</v>
      </c>
      <c r="G386" s="62" t="s">
        <v>41</v>
      </c>
      <c r="H386" s="61">
        <v>17786</v>
      </c>
      <c r="I386" s="100"/>
      <c r="J386" s="109"/>
      <c r="K386" s="109"/>
      <c r="L386" s="112"/>
      <c r="M386" s="87"/>
      <c r="N386" s="67" t="s">
        <v>42</v>
      </c>
      <c r="O386" s="114"/>
      <c r="P386" s="119"/>
      <c r="Q386" s="118"/>
    </row>
    <row r="387" spans="2:17" ht="32" x14ac:dyDescent="0.2">
      <c r="B387" s="142" t="s">
        <v>102</v>
      </c>
      <c r="C387" s="19" t="s">
        <v>40</v>
      </c>
      <c r="D387" s="101"/>
      <c r="E387" s="97"/>
      <c r="F387" s="34" t="s">
        <v>0</v>
      </c>
      <c r="G387" s="62" t="s">
        <v>41</v>
      </c>
      <c r="H387" s="61">
        <v>17786</v>
      </c>
      <c r="I387" s="100"/>
      <c r="J387" s="109"/>
      <c r="K387" s="109"/>
      <c r="L387" s="103"/>
      <c r="M387" s="89"/>
      <c r="N387" s="67" t="s">
        <v>42</v>
      </c>
      <c r="O387" s="105"/>
      <c r="P387" s="83"/>
      <c r="Q387" s="119"/>
    </row>
    <row r="388" spans="2:17" ht="48" x14ac:dyDescent="0.2">
      <c r="B388" s="143" t="s">
        <v>108</v>
      </c>
      <c r="C388" s="19" t="s">
        <v>40</v>
      </c>
      <c r="D388" s="101"/>
      <c r="E388" s="97"/>
      <c r="F388" s="34" t="s">
        <v>0</v>
      </c>
      <c r="G388" s="62" t="s">
        <v>41</v>
      </c>
      <c r="H388" s="61">
        <v>17786</v>
      </c>
      <c r="I388" s="100"/>
      <c r="J388" s="109"/>
      <c r="K388" s="109"/>
      <c r="L388" s="107"/>
      <c r="M388" s="6"/>
      <c r="N388" s="67" t="s">
        <v>42</v>
      </c>
      <c r="O388" s="83"/>
      <c r="P388" s="83"/>
      <c r="Q388" s="83"/>
    </row>
    <row r="389" spans="2:17" ht="17" x14ac:dyDescent="0.2">
      <c r="B389" s="144" t="s">
        <v>96</v>
      </c>
      <c r="C389" s="19" t="s">
        <v>40</v>
      </c>
      <c r="D389" s="101"/>
      <c r="E389" s="97"/>
      <c r="F389" s="34" t="s">
        <v>0</v>
      </c>
      <c r="G389" s="62" t="s">
        <v>41</v>
      </c>
      <c r="H389" s="61">
        <v>17786</v>
      </c>
      <c r="I389" s="100"/>
      <c r="J389" s="109"/>
      <c r="K389" s="98"/>
      <c r="L389" s="107"/>
      <c r="M389" s="6"/>
      <c r="N389" s="67" t="s">
        <v>42</v>
      </c>
      <c r="O389" s="83"/>
      <c r="P389" s="83"/>
      <c r="Q389" s="83"/>
    </row>
    <row r="390" spans="2:17" ht="32" x14ac:dyDescent="0.2">
      <c r="B390" s="143" t="s">
        <v>109</v>
      </c>
      <c r="C390" s="19" t="s">
        <v>40</v>
      </c>
      <c r="D390" s="101"/>
      <c r="E390" s="97"/>
      <c r="F390" s="34" t="s">
        <v>0</v>
      </c>
      <c r="G390" s="62" t="s">
        <v>41</v>
      </c>
      <c r="H390" s="61">
        <v>17786</v>
      </c>
      <c r="I390" s="100"/>
      <c r="J390" s="109"/>
      <c r="K390" s="109"/>
      <c r="L390" s="107"/>
      <c r="M390" s="6"/>
      <c r="N390" s="67" t="s">
        <v>42</v>
      </c>
      <c r="O390" s="83"/>
      <c r="P390" s="111"/>
      <c r="Q390" s="83"/>
    </row>
    <row r="391" spans="2:17" ht="32" x14ac:dyDescent="0.2">
      <c r="B391" s="142" t="s">
        <v>110</v>
      </c>
      <c r="C391" s="19" t="s">
        <v>40</v>
      </c>
      <c r="D391" s="101"/>
      <c r="E391" s="97"/>
      <c r="F391" s="34" t="s">
        <v>0</v>
      </c>
      <c r="G391" s="62" t="s">
        <v>41</v>
      </c>
      <c r="H391" s="61">
        <v>17786</v>
      </c>
      <c r="I391" s="100"/>
      <c r="J391" s="109"/>
      <c r="K391" s="109"/>
      <c r="L391" s="108"/>
      <c r="M391" s="61"/>
      <c r="N391" s="67" t="s">
        <v>42</v>
      </c>
      <c r="O391" s="98"/>
      <c r="P391" s="83"/>
      <c r="Q391" s="111"/>
    </row>
    <row r="392" spans="2:17" ht="17" x14ac:dyDescent="0.2">
      <c r="B392" s="144" t="s">
        <v>99</v>
      </c>
      <c r="C392" s="19" t="s">
        <v>40</v>
      </c>
      <c r="D392" s="101"/>
      <c r="E392" s="97"/>
      <c r="F392" s="34" t="s">
        <v>0</v>
      </c>
      <c r="G392" s="62" t="s">
        <v>41</v>
      </c>
      <c r="H392" s="61">
        <v>17786</v>
      </c>
      <c r="I392" s="100"/>
      <c r="J392" s="109"/>
      <c r="K392" s="109"/>
      <c r="L392" s="108"/>
      <c r="M392" s="61"/>
      <c r="N392" s="67" t="s">
        <v>42</v>
      </c>
      <c r="O392" s="98"/>
      <c r="P392" s="83"/>
      <c r="Q392" s="83"/>
    </row>
    <row r="393" spans="2:17" ht="17" x14ac:dyDescent="0.2">
      <c r="B393" s="143" t="s">
        <v>111</v>
      </c>
      <c r="C393" s="19" t="s">
        <v>40</v>
      </c>
      <c r="D393" s="101"/>
      <c r="E393" s="97"/>
      <c r="F393" s="34" t="s">
        <v>0</v>
      </c>
      <c r="G393" s="62" t="s">
        <v>41</v>
      </c>
      <c r="H393" s="61">
        <v>17786</v>
      </c>
      <c r="I393" s="100"/>
      <c r="J393" s="109"/>
      <c r="K393" s="109"/>
      <c r="L393" s="108"/>
      <c r="M393" s="61"/>
      <c r="N393" s="67" t="s">
        <v>42</v>
      </c>
      <c r="O393" s="98"/>
      <c r="P393" s="83"/>
      <c r="Q393" s="83"/>
    </row>
    <row r="394" spans="2:17" ht="17" x14ac:dyDescent="0.2">
      <c r="B394" s="140" t="s">
        <v>112</v>
      </c>
      <c r="D394" s="101"/>
      <c r="E394" s="97"/>
      <c r="F394" s="98"/>
      <c r="G394" s="115"/>
      <c r="H394" s="61"/>
      <c r="I394" s="100"/>
      <c r="J394" s="109"/>
      <c r="K394" s="109"/>
      <c r="L394" s="108"/>
      <c r="M394" s="61"/>
      <c r="N394" s="67" t="s">
        <v>45</v>
      </c>
      <c r="O394" s="98"/>
      <c r="P394" s="83"/>
      <c r="Q394" s="83"/>
    </row>
    <row r="395" spans="2:17" ht="17" x14ac:dyDescent="0.2">
      <c r="B395" s="141" t="s">
        <v>87</v>
      </c>
      <c r="C395" s="19" t="s">
        <v>40</v>
      </c>
      <c r="D395" s="101"/>
      <c r="E395" s="97"/>
      <c r="F395" s="34" t="s">
        <v>0</v>
      </c>
      <c r="G395" s="62" t="s">
        <v>41</v>
      </c>
      <c r="H395" s="61">
        <v>17786</v>
      </c>
      <c r="I395" s="100"/>
      <c r="J395" s="109"/>
      <c r="K395" s="109"/>
      <c r="L395" s="108"/>
      <c r="M395" s="61"/>
      <c r="N395" s="67" t="s">
        <v>42</v>
      </c>
      <c r="O395" s="98"/>
      <c r="P395" s="83"/>
      <c r="Q395" s="83"/>
    </row>
    <row r="396" spans="2:17" ht="32" x14ac:dyDescent="0.2">
      <c r="B396" s="142" t="s">
        <v>102</v>
      </c>
      <c r="C396" s="19" t="s">
        <v>40</v>
      </c>
      <c r="D396" s="101"/>
      <c r="E396" s="97"/>
      <c r="F396" s="34" t="s">
        <v>0</v>
      </c>
      <c r="G396" s="62" t="s">
        <v>41</v>
      </c>
      <c r="H396" s="61">
        <v>17786</v>
      </c>
      <c r="I396" s="100"/>
      <c r="J396" s="109"/>
      <c r="K396" s="109"/>
      <c r="L396" s="108"/>
      <c r="M396" s="61"/>
      <c r="N396" s="67" t="s">
        <v>42</v>
      </c>
      <c r="O396" s="98"/>
      <c r="P396" s="85"/>
      <c r="Q396" s="83"/>
    </row>
    <row r="397" spans="2:17" ht="48" x14ac:dyDescent="0.2">
      <c r="B397" s="143" t="s">
        <v>113</v>
      </c>
      <c r="C397" s="19" t="s">
        <v>40</v>
      </c>
      <c r="D397" s="101"/>
      <c r="E397" s="97"/>
      <c r="F397" s="34" t="s">
        <v>0</v>
      </c>
      <c r="G397" s="62" t="s">
        <v>41</v>
      </c>
      <c r="H397" s="61">
        <v>17786</v>
      </c>
      <c r="I397" s="100"/>
      <c r="J397" s="109"/>
      <c r="K397" s="109"/>
      <c r="L397" s="108"/>
      <c r="M397" s="61"/>
      <c r="N397" s="67" t="s">
        <v>42</v>
      </c>
      <c r="O397" s="98"/>
      <c r="P397" s="83"/>
      <c r="Q397" s="85"/>
    </row>
    <row r="398" spans="2:17" ht="17" x14ac:dyDescent="0.2">
      <c r="B398" s="144" t="s">
        <v>96</v>
      </c>
      <c r="C398" s="19" t="s">
        <v>40</v>
      </c>
      <c r="D398" s="101"/>
      <c r="E398" s="97"/>
      <c r="F398" s="34" t="s">
        <v>0</v>
      </c>
      <c r="G398" s="62" t="s">
        <v>41</v>
      </c>
      <c r="H398" s="61">
        <v>17786</v>
      </c>
      <c r="I398" s="100"/>
      <c r="J398" s="109"/>
      <c r="K398" s="109"/>
      <c r="L398" s="112"/>
      <c r="M398" s="87"/>
      <c r="N398" s="67" t="s">
        <v>42</v>
      </c>
      <c r="O398" s="114"/>
      <c r="P398" s="83"/>
      <c r="Q398" s="83"/>
    </row>
    <row r="399" spans="2:17" ht="32" x14ac:dyDescent="0.2">
      <c r="B399" s="143" t="s">
        <v>97</v>
      </c>
      <c r="C399" s="19" t="s">
        <v>40</v>
      </c>
      <c r="D399" s="101"/>
      <c r="E399" s="97"/>
      <c r="F399" s="34" t="s">
        <v>0</v>
      </c>
      <c r="G399" s="62" t="s">
        <v>41</v>
      </c>
      <c r="H399" s="61">
        <v>17786</v>
      </c>
      <c r="I399" s="100"/>
      <c r="J399" s="109"/>
      <c r="K399" s="109"/>
      <c r="L399" s="112"/>
      <c r="M399" s="87"/>
      <c r="N399" s="67" t="s">
        <v>42</v>
      </c>
      <c r="O399" s="114"/>
      <c r="P399" s="83"/>
      <c r="Q399" s="83"/>
    </row>
    <row r="400" spans="2:17" ht="32" x14ac:dyDescent="0.2">
      <c r="B400" s="142" t="s">
        <v>114</v>
      </c>
      <c r="C400" s="19" t="s">
        <v>40</v>
      </c>
      <c r="D400" s="101"/>
      <c r="E400" s="97"/>
      <c r="F400" s="34" t="s">
        <v>0</v>
      </c>
      <c r="G400" s="62" t="s">
        <v>41</v>
      </c>
      <c r="H400" s="61">
        <v>17786</v>
      </c>
      <c r="I400" s="100"/>
      <c r="J400" s="109"/>
      <c r="K400" s="98"/>
      <c r="L400" s="112"/>
      <c r="M400" s="87"/>
      <c r="N400" s="67" t="s">
        <v>42</v>
      </c>
      <c r="O400" s="114"/>
      <c r="P400" s="83"/>
      <c r="Q400" s="83"/>
    </row>
    <row r="401" spans="2:17" ht="17" x14ac:dyDescent="0.2">
      <c r="B401" s="144" t="s">
        <v>99</v>
      </c>
      <c r="C401" s="19" t="s">
        <v>40</v>
      </c>
      <c r="D401" s="101"/>
      <c r="E401" s="97"/>
      <c r="F401" s="34" t="s">
        <v>0</v>
      </c>
      <c r="G401" s="62" t="s">
        <v>41</v>
      </c>
      <c r="H401" s="61">
        <v>17786</v>
      </c>
      <c r="I401" s="100"/>
      <c r="J401" s="109"/>
      <c r="K401" s="109"/>
      <c r="L401" s="103"/>
      <c r="M401" s="89"/>
      <c r="N401" s="67" t="s">
        <v>42</v>
      </c>
      <c r="O401" s="105"/>
      <c r="P401" s="83"/>
      <c r="Q401" s="83"/>
    </row>
    <row r="402" spans="2:17" ht="17" x14ac:dyDescent="0.2">
      <c r="B402" s="143" t="s">
        <v>115</v>
      </c>
      <c r="C402" s="19" t="s">
        <v>40</v>
      </c>
      <c r="D402" s="101"/>
      <c r="E402" s="97"/>
      <c r="F402" s="34" t="s">
        <v>0</v>
      </c>
      <c r="G402" s="62" t="s">
        <v>41</v>
      </c>
      <c r="H402" s="61">
        <v>17786</v>
      </c>
      <c r="I402" s="100"/>
      <c r="J402" s="109"/>
      <c r="K402" s="98"/>
      <c r="L402" s="107"/>
      <c r="M402" s="6"/>
      <c r="N402" s="67" t="s">
        <v>42</v>
      </c>
      <c r="O402" s="83"/>
      <c r="P402" s="83"/>
      <c r="Q402" s="83"/>
    </row>
    <row r="403" spans="2:17" ht="34" x14ac:dyDescent="0.2">
      <c r="B403" s="132" t="s">
        <v>116</v>
      </c>
      <c r="D403" s="101"/>
      <c r="E403" s="97"/>
      <c r="F403" s="98"/>
      <c r="G403" s="115"/>
      <c r="H403" s="61"/>
      <c r="I403" s="100"/>
      <c r="J403" s="109"/>
      <c r="K403" s="98"/>
      <c r="L403" s="107"/>
      <c r="M403" s="6"/>
      <c r="N403" s="67" t="s">
        <v>45</v>
      </c>
      <c r="O403" s="83"/>
      <c r="P403" s="83"/>
      <c r="Q403" s="83"/>
    </row>
    <row r="404" spans="2:17" ht="64" x14ac:dyDescent="0.2">
      <c r="B404" s="143" t="s">
        <v>117</v>
      </c>
      <c r="C404" s="19" t="s">
        <v>40</v>
      </c>
      <c r="D404" s="101"/>
      <c r="E404" s="97"/>
      <c r="F404" s="98" t="s">
        <v>92</v>
      </c>
      <c r="G404" s="62" t="s">
        <v>41</v>
      </c>
      <c r="H404" s="61">
        <v>17786</v>
      </c>
      <c r="I404" s="100"/>
      <c r="J404" s="109"/>
      <c r="K404" s="98"/>
      <c r="L404" s="107"/>
      <c r="M404" s="6"/>
      <c r="N404" s="67" t="s">
        <v>42</v>
      </c>
      <c r="O404" s="83"/>
      <c r="P404" s="83"/>
      <c r="Q404" s="83"/>
    </row>
    <row r="405" spans="2:17" ht="64" x14ac:dyDescent="0.2">
      <c r="B405" s="143" t="s">
        <v>118</v>
      </c>
      <c r="C405" s="19" t="s">
        <v>40</v>
      </c>
      <c r="D405" s="101"/>
      <c r="E405" s="97"/>
      <c r="F405" s="98" t="s">
        <v>92</v>
      </c>
      <c r="G405" s="62" t="s">
        <v>41</v>
      </c>
      <c r="H405" s="61">
        <v>17786</v>
      </c>
      <c r="I405" s="100"/>
      <c r="J405" s="109"/>
      <c r="K405" s="98"/>
      <c r="L405" s="107"/>
      <c r="M405" s="6"/>
      <c r="N405" s="67" t="s">
        <v>42</v>
      </c>
      <c r="O405" s="83"/>
      <c r="P405" s="83"/>
      <c r="Q405" s="83"/>
    </row>
    <row r="406" spans="2:17" ht="17" x14ac:dyDescent="0.2">
      <c r="B406" s="143" t="s">
        <v>119</v>
      </c>
      <c r="C406" s="19" t="s">
        <v>40</v>
      </c>
      <c r="D406" s="101"/>
      <c r="E406" s="97"/>
      <c r="F406" s="98" t="s">
        <v>92</v>
      </c>
      <c r="G406" s="62" t="s">
        <v>41</v>
      </c>
      <c r="H406" s="61">
        <v>17786</v>
      </c>
      <c r="I406" s="100"/>
      <c r="J406" s="109"/>
      <c r="K406" s="98"/>
      <c r="L406" s="107"/>
      <c r="M406" s="6"/>
      <c r="N406" s="67" t="s">
        <v>42</v>
      </c>
      <c r="O406" s="83"/>
      <c r="P406" s="83"/>
      <c r="Q406" s="83"/>
    </row>
    <row r="407" spans="2:17" ht="32" x14ac:dyDescent="0.2">
      <c r="B407" s="143" t="s">
        <v>120</v>
      </c>
      <c r="C407" s="19" t="s">
        <v>40</v>
      </c>
      <c r="D407" s="101"/>
      <c r="E407" s="98"/>
      <c r="F407" s="98" t="s">
        <v>92</v>
      </c>
      <c r="G407" s="62" t="s">
        <v>41</v>
      </c>
      <c r="H407" s="61">
        <v>17786</v>
      </c>
      <c r="I407" s="109"/>
      <c r="J407" s="109"/>
      <c r="K407" s="109"/>
      <c r="L407" s="107"/>
      <c r="M407" s="6"/>
      <c r="N407" s="67" t="s">
        <v>42</v>
      </c>
      <c r="O407" s="83"/>
      <c r="P407" s="83"/>
      <c r="Q407" s="83"/>
    </row>
    <row r="408" spans="2:17" ht="17" x14ac:dyDescent="0.2">
      <c r="B408" s="128" t="s">
        <v>121</v>
      </c>
      <c r="C408" s="19"/>
      <c r="D408" s="116"/>
      <c r="E408" s="98"/>
      <c r="F408" s="98"/>
      <c r="G408" s="117"/>
      <c r="H408" s="61"/>
      <c r="I408" s="109"/>
      <c r="J408" s="109"/>
      <c r="K408" s="109"/>
      <c r="L408" s="108"/>
      <c r="M408" s="61"/>
      <c r="N408" s="67" t="s">
        <v>45</v>
      </c>
      <c r="O408" s="98"/>
      <c r="P408" s="83"/>
      <c r="Q408" s="83"/>
    </row>
    <row r="409" spans="2:17" ht="17" x14ac:dyDescent="0.2">
      <c r="B409" s="145" t="s">
        <v>122</v>
      </c>
      <c r="C409" s="19" t="s">
        <v>40</v>
      </c>
      <c r="D409" s="116"/>
      <c r="E409" s="98"/>
      <c r="F409" s="34" t="s">
        <v>0</v>
      </c>
      <c r="G409" s="62" t="s">
        <v>41</v>
      </c>
      <c r="H409" s="61">
        <v>17786</v>
      </c>
      <c r="I409" s="109"/>
      <c r="J409" s="109"/>
      <c r="K409" s="109"/>
      <c r="L409" s="108"/>
      <c r="M409" s="61"/>
      <c r="N409" s="67" t="s">
        <v>42</v>
      </c>
      <c r="O409" s="98"/>
      <c r="P409" s="83"/>
      <c r="Q409" s="83"/>
    </row>
    <row r="410" spans="2:17" ht="17" x14ac:dyDescent="0.2">
      <c r="B410" s="139" t="s">
        <v>123</v>
      </c>
      <c r="C410" s="19" t="s">
        <v>40</v>
      </c>
      <c r="D410" s="116"/>
      <c r="E410" s="98"/>
      <c r="F410" s="34" t="s">
        <v>0</v>
      </c>
      <c r="G410" s="62" t="s">
        <v>41</v>
      </c>
      <c r="H410" s="61">
        <v>17786</v>
      </c>
      <c r="I410" s="109"/>
      <c r="J410" s="109"/>
      <c r="K410" s="109"/>
      <c r="L410" s="108"/>
      <c r="M410" s="61"/>
      <c r="N410" s="67" t="s">
        <v>42</v>
      </c>
      <c r="O410" s="98"/>
      <c r="P410" s="83"/>
      <c r="Q410" s="83"/>
    </row>
    <row r="411" spans="2:17" ht="17" x14ac:dyDescent="0.2">
      <c r="B411" s="139" t="s">
        <v>124</v>
      </c>
      <c r="C411" s="19" t="s">
        <v>40</v>
      </c>
      <c r="D411" s="116"/>
      <c r="E411" s="98"/>
      <c r="F411" s="34" t="s">
        <v>0</v>
      </c>
      <c r="G411" s="62" t="s">
        <v>41</v>
      </c>
      <c r="H411" s="61">
        <v>17786</v>
      </c>
      <c r="I411" s="109"/>
      <c r="J411" s="109"/>
      <c r="K411" s="109"/>
      <c r="L411" s="108"/>
      <c r="M411" s="61"/>
      <c r="N411" s="67" t="s">
        <v>42</v>
      </c>
      <c r="O411" s="98"/>
      <c r="P411" s="83"/>
      <c r="Q411" s="83"/>
    </row>
    <row r="412" spans="2:17" ht="17" x14ac:dyDescent="0.2">
      <c r="B412" s="139" t="s">
        <v>125</v>
      </c>
      <c r="C412" s="19" t="s">
        <v>40</v>
      </c>
      <c r="D412" s="116"/>
      <c r="E412" s="97"/>
      <c r="F412" s="34" t="s">
        <v>0</v>
      </c>
      <c r="G412" s="62" t="s">
        <v>41</v>
      </c>
      <c r="H412" s="61">
        <v>17786</v>
      </c>
      <c r="I412" s="100"/>
      <c r="J412" s="109"/>
      <c r="K412" s="98"/>
      <c r="L412" s="108"/>
      <c r="M412" s="61"/>
      <c r="N412" s="67" t="s">
        <v>42</v>
      </c>
      <c r="O412" s="98"/>
      <c r="P412" s="83"/>
      <c r="Q412" s="83"/>
    </row>
    <row r="413" spans="2:17" ht="17" x14ac:dyDescent="0.2">
      <c r="B413" s="145" t="s">
        <v>126</v>
      </c>
      <c r="C413" s="19" t="s">
        <v>40</v>
      </c>
      <c r="D413" s="101"/>
      <c r="E413" s="97"/>
      <c r="F413" s="34" t="s">
        <v>0</v>
      </c>
      <c r="G413" s="62" t="s">
        <v>41</v>
      </c>
      <c r="H413" s="61">
        <v>17786</v>
      </c>
      <c r="I413" s="100"/>
      <c r="J413" s="109"/>
      <c r="K413" s="98"/>
      <c r="L413" s="108"/>
      <c r="M413" s="61"/>
      <c r="N413" s="67" t="s">
        <v>42</v>
      </c>
      <c r="O413" s="98"/>
      <c r="P413" s="83"/>
      <c r="Q413" s="83"/>
    </row>
    <row r="414" spans="2:17" ht="17" x14ac:dyDescent="0.2">
      <c r="B414" s="138" t="s">
        <v>127</v>
      </c>
      <c r="C414" s="19" t="s">
        <v>40</v>
      </c>
      <c r="D414" s="101"/>
      <c r="E414" s="97"/>
      <c r="F414" s="34" t="s">
        <v>0</v>
      </c>
      <c r="G414" s="62" t="s">
        <v>41</v>
      </c>
      <c r="H414" s="61">
        <v>17786</v>
      </c>
      <c r="I414" s="100"/>
      <c r="J414" s="109"/>
      <c r="K414" s="98"/>
      <c r="L414" s="112"/>
      <c r="M414" s="87"/>
      <c r="N414" s="67" t="s">
        <v>42</v>
      </c>
      <c r="O414" s="114"/>
      <c r="P414" s="83"/>
      <c r="Q414" s="83"/>
    </row>
    <row r="415" spans="2:17" ht="17" x14ac:dyDescent="0.2">
      <c r="B415" s="138" t="s">
        <v>128</v>
      </c>
      <c r="C415" s="19" t="s">
        <v>40</v>
      </c>
      <c r="D415" s="101"/>
      <c r="E415" s="97"/>
      <c r="F415" s="34" t="s">
        <v>0</v>
      </c>
      <c r="G415" s="62" t="s">
        <v>41</v>
      </c>
      <c r="H415" s="61">
        <v>17786</v>
      </c>
      <c r="I415" s="100"/>
      <c r="J415" s="109"/>
      <c r="K415" s="98"/>
      <c r="L415" s="112"/>
      <c r="M415" s="87"/>
      <c r="N415" s="67" t="s">
        <v>42</v>
      </c>
      <c r="O415" s="114"/>
      <c r="P415" s="83"/>
      <c r="Q415" s="83"/>
    </row>
    <row r="416" spans="2:17" ht="17" x14ac:dyDescent="0.2">
      <c r="B416" s="146" t="s">
        <v>129</v>
      </c>
      <c r="C416" s="19" t="s">
        <v>40</v>
      </c>
      <c r="D416" s="101"/>
      <c r="E416" s="97"/>
      <c r="F416" s="34" t="s">
        <v>0</v>
      </c>
      <c r="G416" s="62" t="s">
        <v>41</v>
      </c>
      <c r="H416" s="61">
        <v>17786</v>
      </c>
      <c r="I416" s="100"/>
      <c r="J416" s="109"/>
      <c r="K416" s="98"/>
      <c r="L416" s="112"/>
      <c r="M416" s="87"/>
      <c r="N416" s="67" t="s">
        <v>42</v>
      </c>
      <c r="O416" s="114"/>
      <c r="P416" s="83"/>
      <c r="Q416" s="83"/>
    </row>
    <row r="417" spans="2:17" ht="17" x14ac:dyDescent="0.2">
      <c r="B417" s="138" t="s">
        <v>130</v>
      </c>
      <c r="C417" s="19" t="s">
        <v>40</v>
      </c>
      <c r="D417" s="101"/>
      <c r="E417" s="97"/>
      <c r="F417" s="34" t="s">
        <v>0</v>
      </c>
      <c r="G417" s="62" t="s">
        <v>41</v>
      </c>
      <c r="H417" s="61">
        <v>17786</v>
      </c>
      <c r="I417" s="100"/>
      <c r="J417" s="109"/>
      <c r="K417" s="98"/>
      <c r="L417" s="103"/>
      <c r="M417" s="89"/>
      <c r="N417" s="67" t="s">
        <v>42</v>
      </c>
      <c r="O417" s="105"/>
      <c r="P417" s="83"/>
      <c r="Q417" s="83"/>
    </row>
    <row r="418" spans="2:17" ht="17" x14ac:dyDescent="0.2">
      <c r="B418" s="147" t="s">
        <v>131</v>
      </c>
      <c r="C418" s="19" t="s">
        <v>40</v>
      </c>
      <c r="D418" s="120"/>
      <c r="E418" s="97"/>
      <c r="F418" s="34" t="s">
        <v>0</v>
      </c>
      <c r="G418" s="62" t="s">
        <v>41</v>
      </c>
      <c r="H418" s="61">
        <v>17786</v>
      </c>
      <c r="I418" s="100"/>
      <c r="J418" s="109"/>
      <c r="K418" s="98"/>
      <c r="L418" s="107"/>
      <c r="M418" s="6"/>
      <c r="N418" s="67" t="s">
        <v>42</v>
      </c>
      <c r="O418" s="83"/>
      <c r="P418" s="83"/>
      <c r="Q418" s="83"/>
    </row>
    <row r="419" spans="2:17" ht="17" x14ac:dyDescent="0.2">
      <c r="B419" s="147" t="s">
        <v>132</v>
      </c>
      <c r="C419" s="19" t="s">
        <v>40</v>
      </c>
      <c r="D419" s="116"/>
      <c r="E419" s="97"/>
      <c r="F419" s="34" t="s">
        <v>0</v>
      </c>
      <c r="G419" s="62" t="s">
        <v>41</v>
      </c>
      <c r="H419" s="61">
        <v>17786</v>
      </c>
      <c r="I419" s="100"/>
      <c r="J419" s="109"/>
      <c r="K419" s="98"/>
      <c r="L419" s="107"/>
      <c r="M419" s="6"/>
      <c r="N419" s="67" t="s">
        <v>42</v>
      </c>
      <c r="O419" s="83"/>
      <c r="P419" s="83"/>
      <c r="Q419" s="83"/>
    </row>
    <row r="420" spans="2:17" ht="17" x14ac:dyDescent="0.2">
      <c r="B420" s="147" t="s">
        <v>133</v>
      </c>
      <c r="C420" s="19" t="s">
        <v>40</v>
      </c>
      <c r="D420" s="116"/>
      <c r="E420" s="97"/>
      <c r="F420" s="34" t="s">
        <v>0</v>
      </c>
      <c r="G420" s="62" t="s">
        <v>41</v>
      </c>
      <c r="H420" s="61">
        <v>17786</v>
      </c>
      <c r="I420" s="100"/>
      <c r="J420" s="109"/>
      <c r="K420" s="98"/>
      <c r="L420" s="107"/>
      <c r="M420" s="6"/>
      <c r="N420" s="67" t="s">
        <v>42</v>
      </c>
      <c r="O420" s="83"/>
      <c r="P420" s="83"/>
      <c r="Q420" s="83"/>
    </row>
    <row r="421" spans="2:17" ht="17" x14ac:dyDescent="0.2">
      <c r="B421" s="147" t="s">
        <v>134</v>
      </c>
      <c r="C421" s="19" t="s">
        <v>40</v>
      </c>
      <c r="D421" s="116"/>
      <c r="E421" s="97"/>
      <c r="F421" s="34" t="s">
        <v>0</v>
      </c>
      <c r="G421" s="62" t="s">
        <v>41</v>
      </c>
      <c r="H421" s="61">
        <v>17786</v>
      </c>
      <c r="I421" s="100"/>
      <c r="J421" s="109"/>
      <c r="K421" s="98"/>
      <c r="L421" s="108"/>
      <c r="M421" s="61"/>
      <c r="N421" s="67" t="s">
        <v>42</v>
      </c>
      <c r="O421" s="98"/>
      <c r="P421" s="85"/>
      <c r="Q421" s="83"/>
    </row>
    <row r="422" spans="2:17" ht="17" x14ac:dyDescent="0.2">
      <c r="B422" s="147" t="s">
        <v>135</v>
      </c>
      <c r="C422" s="19" t="s">
        <v>40</v>
      </c>
      <c r="D422" s="109"/>
      <c r="E422" s="97"/>
      <c r="F422" s="34" t="s">
        <v>0</v>
      </c>
      <c r="G422" s="62" t="s">
        <v>41</v>
      </c>
      <c r="H422" s="61">
        <v>17786</v>
      </c>
      <c r="I422" s="100"/>
      <c r="J422" s="109"/>
      <c r="K422" s="98"/>
      <c r="L422" s="108"/>
      <c r="M422" s="61"/>
      <c r="N422" s="67" t="s">
        <v>42</v>
      </c>
      <c r="O422" s="98"/>
      <c r="P422" s="85"/>
      <c r="Q422" s="85"/>
    </row>
    <row r="423" spans="2:17" ht="17" x14ac:dyDescent="0.2">
      <c r="B423" s="147" t="s">
        <v>136</v>
      </c>
      <c r="C423" s="19" t="s">
        <v>40</v>
      </c>
      <c r="D423" s="109"/>
      <c r="E423" s="97"/>
      <c r="F423" s="34" t="s">
        <v>0</v>
      </c>
      <c r="G423" s="62" t="s">
        <v>41</v>
      </c>
      <c r="H423" s="61">
        <v>17786</v>
      </c>
      <c r="I423" s="100"/>
      <c r="J423" s="109"/>
      <c r="K423" s="98"/>
      <c r="L423" s="108"/>
      <c r="M423" s="61"/>
      <c r="N423" s="67" t="s">
        <v>42</v>
      </c>
      <c r="O423" s="98"/>
      <c r="P423" s="83"/>
      <c r="Q423" s="85"/>
    </row>
    <row r="424" spans="2:17" ht="23" x14ac:dyDescent="0.3">
      <c r="B424" s="148" t="s">
        <v>137</v>
      </c>
      <c r="C424" s="19"/>
      <c r="D424" s="109"/>
      <c r="E424" s="97"/>
      <c r="F424" s="98"/>
      <c r="G424" s="117"/>
      <c r="H424" s="61"/>
      <c r="I424" s="100"/>
      <c r="J424" s="109"/>
      <c r="K424" s="98"/>
      <c r="L424" s="108"/>
      <c r="M424" s="61"/>
      <c r="N424" s="67" t="s">
        <v>45</v>
      </c>
      <c r="O424" s="98"/>
      <c r="P424" s="83"/>
      <c r="Q424" s="83"/>
    </row>
    <row r="425" spans="2:17" ht="23" x14ac:dyDescent="0.3">
      <c r="B425" s="148" t="s">
        <v>138</v>
      </c>
      <c r="C425" s="19"/>
      <c r="D425" s="109"/>
      <c r="E425" s="97"/>
      <c r="F425" s="98"/>
      <c r="G425" s="117"/>
      <c r="H425" s="61"/>
      <c r="I425" s="100"/>
      <c r="J425" s="109"/>
      <c r="K425" s="98"/>
      <c r="L425" s="108"/>
      <c r="M425" s="61"/>
      <c r="N425" s="67" t="s">
        <v>45</v>
      </c>
      <c r="O425" s="98"/>
      <c r="P425" s="83"/>
      <c r="Q425" s="83"/>
    </row>
    <row r="426" spans="2:17" ht="17" x14ac:dyDescent="0.2">
      <c r="B426" s="168" t="s">
        <v>139</v>
      </c>
      <c r="C426" s="19" t="s">
        <v>40</v>
      </c>
      <c r="D426" s="109"/>
      <c r="E426" s="97"/>
      <c r="F426" s="34" t="s">
        <v>0</v>
      </c>
      <c r="G426" s="62" t="s">
        <v>41</v>
      </c>
      <c r="H426" s="61">
        <v>17786</v>
      </c>
      <c r="I426" s="100"/>
      <c r="J426" s="109"/>
      <c r="K426" s="98"/>
      <c r="L426" s="108"/>
      <c r="M426" s="61"/>
      <c r="N426" s="67" t="s">
        <v>42</v>
      </c>
      <c r="O426" s="98"/>
      <c r="P426" s="83"/>
      <c r="Q426" s="83"/>
    </row>
    <row r="427" spans="2:17" ht="17" x14ac:dyDescent="0.2">
      <c r="B427" s="147" t="s">
        <v>140</v>
      </c>
      <c r="C427" s="19" t="s">
        <v>40</v>
      </c>
      <c r="D427" s="109"/>
      <c r="E427" s="97"/>
      <c r="F427" s="34" t="s">
        <v>0</v>
      </c>
      <c r="G427" s="62" t="s">
        <v>41</v>
      </c>
      <c r="H427" s="61">
        <v>17786</v>
      </c>
      <c r="I427" s="100"/>
      <c r="J427" s="109"/>
      <c r="K427" s="98"/>
      <c r="L427" s="108"/>
      <c r="M427" s="61"/>
      <c r="N427" s="67" t="s">
        <v>42</v>
      </c>
      <c r="O427" s="98"/>
      <c r="P427" s="85"/>
      <c r="Q427" s="83"/>
    </row>
    <row r="428" spans="2:17" ht="17" x14ac:dyDescent="0.2">
      <c r="B428" s="147" t="s">
        <v>141</v>
      </c>
      <c r="C428" s="19" t="s">
        <v>40</v>
      </c>
      <c r="D428" s="116"/>
      <c r="E428" s="97"/>
      <c r="F428" s="34" t="s">
        <v>0</v>
      </c>
      <c r="G428" s="62" t="s">
        <v>41</v>
      </c>
      <c r="H428" s="61">
        <v>17786</v>
      </c>
      <c r="I428" s="100"/>
      <c r="J428" s="109"/>
      <c r="K428" s="98"/>
      <c r="L428" s="112"/>
      <c r="M428" s="87"/>
      <c r="N428" s="67" t="s">
        <v>42</v>
      </c>
      <c r="O428" s="114"/>
      <c r="P428" s="85"/>
      <c r="Q428" s="85"/>
    </row>
    <row r="429" spans="2:17" ht="17" x14ac:dyDescent="0.2">
      <c r="B429" s="147" t="s">
        <v>142</v>
      </c>
      <c r="C429" s="19" t="s">
        <v>40</v>
      </c>
      <c r="D429" s="116"/>
      <c r="E429" s="97"/>
      <c r="F429" s="34" t="s">
        <v>0</v>
      </c>
      <c r="G429" s="62" t="s">
        <v>41</v>
      </c>
      <c r="H429" s="61">
        <v>17786</v>
      </c>
      <c r="I429" s="100"/>
      <c r="J429" s="109"/>
      <c r="K429" s="98"/>
      <c r="L429" s="112"/>
      <c r="M429" s="87"/>
      <c r="N429" s="67" t="s">
        <v>42</v>
      </c>
      <c r="O429" s="114"/>
      <c r="P429" s="85"/>
      <c r="Q429" s="85"/>
    </row>
    <row r="430" spans="2:17" ht="17" x14ac:dyDescent="0.2">
      <c r="B430" s="147" t="s">
        <v>143</v>
      </c>
      <c r="C430" s="19" t="s">
        <v>40</v>
      </c>
      <c r="D430" s="116"/>
      <c r="E430" s="97"/>
      <c r="F430" s="34" t="s">
        <v>0</v>
      </c>
      <c r="G430" s="62" t="s">
        <v>41</v>
      </c>
      <c r="H430" s="61">
        <v>17786</v>
      </c>
      <c r="I430" s="100"/>
      <c r="J430" s="109"/>
      <c r="K430" s="98"/>
      <c r="L430" s="112"/>
      <c r="M430" s="87"/>
      <c r="N430" s="67" t="s">
        <v>42</v>
      </c>
      <c r="O430" s="114"/>
      <c r="P430" s="83"/>
      <c r="Q430" s="85"/>
    </row>
    <row r="431" spans="2:17" ht="23" x14ac:dyDescent="0.3">
      <c r="B431" s="148" t="s">
        <v>144</v>
      </c>
      <c r="C431" s="19"/>
      <c r="D431" s="116"/>
      <c r="E431" s="97"/>
      <c r="F431" s="98"/>
      <c r="G431" s="108"/>
      <c r="H431" s="61"/>
      <c r="I431" s="100"/>
      <c r="J431" s="109"/>
      <c r="K431" s="98"/>
      <c r="L431" s="112"/>
      <c r="M431" s="87"/>
      <c r="N431" s="67" t="s">
        <v>45</v>
      </c>
      <c r="O431" s="114"/>
      <c r="P431" s="83"/>
      <c r="Q431" s="83"/>
    </row>
    <row r="432" spans="2:17" ht="17" x14ac:dyDescent="0.2">
      <c r="B432" s="168" t="s">
        <v>145</v>
      </c>
      <c r="C432" s="19" t="s">
        <v>40</v>
      </c>
      <c r="D432" s="116"/>
      <c r="E432" s="97"/>
      <c r="F432" s="34" t="s">
        <v>0</v>
      </c>
      <c r="G432" s="62" t="s">
        <v>41</v>
      </c>
      <c r="H432" s="61">
        <v>17786</v>
      </c>
      <c r="I432" s="100"/>
      <c r="J432" s="109"/>
      <c r="K432" s="98"/>
      <c r="L432" s="112"/>
      <c r="M432" s="87"/>
      <c r="N432" s="67" t="s">
        <v>42</v>
      </c>
      <c r="O432" s="114"/>
      <c r="P432" s="83"/>
      <c r="Q432" s="83"/>
    </row>
    <row r="433" spans="2:17" ht="17" x14ac:dyDescent="0.2">
      <c r="B433" s="168" t="s">
        <v>146</v>
      </c>
      <c r="C433" s="19" t="s">
        <v>40</v>
      </c>
      <c r="D433" s="116"/>
      <c r="E433" s="97"/>
      <c r="F433" s="34" t="s">
        <v>0</v>
      </c>
      <c r="G433" s="62" t="s">
        <v>41</v>
      </c>
      <c r="H433" s="61">
        <v>17786</v>
      </c>
      <c r="I433" s="100"/>
      <c r="J433" s="109"/>
      <c r="K433" s="98"/>
      <c r="L433" s="112"/>
      <c r="M433" s="87"/>
      <c r="N433" s="67" t="s">
        <v>42</v>
      </c>
      <c r="O433" s="114"/>
      <c r="P433" s="83"/>
      <c r="Q433" s="83"/>
    </row>
    <row r="434" spans="2:17" ht="17" x14ac:dyDescent="0.2">
      <c r="B434" s="168" t="s">
        <v>147</v>
      </c>
      <c r="C434" s="19" t="s">
        <v>40</v>
      </c>
      <c r="D434" s="116"/>
      <c r="E434" s="97"/>
      <c r="F434" s="34" t="s">
        <v>0</v>
      </c>
      <c r="G434" s="62" t="s">
        <v>41</v>
      </c>
      <c r="H434" s="61">
        <v>17786</v>
      </c>
      <c r="I434" s="100"/>
      <c r="J434" s="109"/>
      <c r="K434" s="98"/>
      <c r="L434" s="112"/>
      <c r="M434" s="87"/>
      <c r="N434" s="67" t="s">
        <v>42</v>
      </c>
      <c r="O434" s="114"/>
      <c r="P434" s="83"/>
      <c r="Q434" s="83"/>
    </row>
    <row r="435" spans="2:17" ht="17" x14ac:dyDescent="0.2">
      <c r="B435" s="168" t="s">
        <v>148</v>
      </c>
      <c r="C435" s="19" t="s">
        <v>40</v>
      </c>
      <c r="D435" s="116"/>
      <c r="E435" s="97"/>
      <c r="F435" s="34" t="s">
        <v>0</v>
      </c>
      <c r="G435" s="62" t="s">
        <v>41</v>
      </c>
      <c r="H435" s="61">
        <v>17786</v>
      </c>
      <c r="I435" s="100"/>
      <c r="J435" s="109"/>
      <c r="K435" s="98"/>
      <c r="L435" s="112"/>
      <c r="M435" s="87"/>
      <c r="N435" s="67" t="s">
        <v>42</v>
      </c>
      <c r="O435" s="114"/>
      <c r="P435" s="83"/>
      <c r="Q435" s="83"/>
    </row>
    <row r="436" spans="2:17" ht="17" x14ac:dyDescent="0.2">
      <c r="B436" s="168" t="s">
        <v>149</v>
      </c>
      <c r="C436" s="19" t="s">
        <v>40</v>
      </c>
      <c r="D436" s="116"/>
      <c r="E436" s="97"/>
      <c r="F436" s="34" t="s">
        <v>0</v>
      </c>
      <c r="G436" s="62" t="s">
        <v>41</v>
      </c>
      <c r="H436" s="61">
        <v>17786</v>
      </c>
      <c r="I436" s="100"/>
      <c r="J436" s="109"/>
      <c r="K436" s="121"/>
      <c r="L436" s="112"/>
      <c r="M436" s="87"/>
      <c r="N436" s="67" t="s">
        <v>42</v>
      </c>
      <c r="O436" s="114"/>
      <c r="P436" s="83"/>
      <c r="Q436" s="83"/>
    </row>
    <row r="437" spans="2:17" ht="20" x14ac:dyDescent="0.25">
      <c r="B437" s="149" t="s">
        <v>150</v>
      </c>
      <c r="C437" s="19"/>
      <c r="D437" s="116"/>
      <c r="E437" s="97"/>
      <c r="F437" s="98"/>
      <c r="G437" s="108"/>
      <c r="H437" s="61"/>
      <c r="I437" s="100"/>
      <c r="J437" s="109"/>
      <c r="K437" s="98"/>
      <c r="L437" s="112"/>
      <c r="M437" s="87"/>
      <c r="N437" s="67" t="s">
        <v>45</v>
      </c>
      <c r="O437" s="114"/>
      <c r="P437" s="83"/>
      <c r="Q437" s="83"/>
    </row>
    <row r="438" spans="2:17" ht="17" x14ac:dyDescent="0.2">
      <c r="B438" s="150" t="s">
        <v>151</v>
      </c>
      <c r="C438" s="19"/>
      <c r="D438" s="116"/>
      <c r="E438" s="97"/>
      <c r="F438" s="98"/>
      <c r="G438" s="108"/>
      <c r="H438" s="61"/>
      <c r="I438" s="100"/>
      <c r="J438" s="109"/>
      <c r="K438" s="121"/>
      <c r="L438" s="103"/>
      <c r="M438" s="89"/>
      <c r="N438" s="67" t="s">
        <v>45</v>
      </c>
      <c r="O438" s="105"/>
      <c r="P438" s="83"/>
      <c r="Q438" s="83"/>
    </row>
    <row r="439" spans="2:17" ht="17" x14ac:dyDescent="0.2">
      <c r="B439" s="151" t="s">
        <v>152</v>
      </c>
      <c r="C439" s="19" t="s">
        <v>40</v>
      </c>
      <c r="D439" s="116"/>
      <c r="E439" s="97"/>
      <c r="F439" s="34" t="s">
        <v>0</v>
      </c>
      <c r="G439" s="62" t="s">
        <v>41</v>
      </c>
      <c r="H439" s="61">
        <v>17786</v>
      </c>
      <c r="I439" s="100"/>
      <c r="J439" s="109"/>
      <c r="K439" s="121"/>
      <c r="L439" s="107"/>
      <c r="M439" s="6"/>
      <c r="N439" s="67" t="s">
        <v>42</v>
      </c>
      <c r="O439" s="83"/>
      <c r="P439" s="83"/>
      <c r="Q439" s="83"/>
    </row>
    <row r="440" spans="2:17" ht="17" x14ac:dyDescent="0.2">
      <c r="B440" s="151" t="s">
        <v>153</v>
      </c>
      <c r="C440" s="19" t="s">
        <v>40</v>
      </c>
      <c r="D440" s="116"/>
      <c r="E440" s="97"/>
      <c r="F440" s="34" t="s">
        <v>0</v>
      </c>
      <c r="G440" s="62" t="s">
        <v>41</v>
      </c>
      <c r="H440" s="61">
        <v>17786</v>
      </c>
      <c r="I440" s="100"/>
      <c r="J440" s="109"/>
      <c r="K440" s="121"/>
      <c r="L440" s="107"/>
      <c r="M440" s="6"/>
      <c r="N440" s="67" t="s">
        <v>42</v>
      </c>
      <c r="O440" s="83"/>
      <c r="P440" s="85"/>
      <c r="Q440" s="83"/>
    </row>
    <row r="441" spans="2:17" ht="17" x14ac:dyDescent="0.2">
      <c r="B441" s="152" t="s">
        <v>154</v>
      </c>
      <c r="C441" s="19" t="s">
        <v>40</v>
      </c>
      <c r="D441" s="116"/>
      <c r="E441" s="97"/>
      <c r="F441" s="34" t="s">
        <v>0</v>
      </c>
      <c r="G441" s="62" t="s">
        <v>41</v>
      </c>
      <c r="H441" s="61">
        <v>17786</v>
      </c>
      <c r="I441" s="100"/>
      <c r="J441" s="109"/>
      <c r="K441" s="121"/>
      <c r="L441" s="107"/>
      <c r="M441" s="6"/>
      <c r="N441" s="67" t="s">
        <v>42</v>
      </c>
      <c r="O441" s="83"/>
      <c r="P441" s="83"/>
      <c r="Q441" s="85"/>
    </row>
    <row r="442" spans="2:17" ht="17" x14ac:dyDescent="0.2">
      <c r="B442" s="143" t="s">
        <v>155</v>
      </c>
      <c r="C442" s="19" t="s">
        <v>40</v>
      </c>
      <c r="D442" s="116"/>
      <c r="E442" s="97"/>
      <c r="F442" s="34" t="s">
        <v>0</v>
      </c>
      <c r="G442" s="62" t="s">
        <v>41</v>
      </c>
      <c r="H442" s="61">
        <v>17786</v>
      </c>
      <c r="I442" s="100"/>
      <c r="J442" s="109"/>
      <c r="K442" s="98"/>
      <c r="L442" s="107"/>
      <c r="M442" s="6"/>
      <c r="N442" s="67" t="s">
        <v>42</v>
      </c>
      <c r="O442" s="83"/>
      <c r="P442" s="83"/>
      <c r="Q442" s="83"/>
    </row>
    <row r="443" spans="2:17" ht="17" x14ac:dyDescent="0.2">
      <c r="B443" s="153" t="s">
        <v>156</v>
      </c>
      <c r="D443" s="116"/>
      <c r="E443" s="97"/>
      <c r="F443" s="98"/>
      <c r="G443" s="108"/>
      <c r="H443" s="61"/>
      <c r="I443" s="100"/>
      <c r="J443" s="109"/>
      <c r="K443" s="121"/>
      <c r="L443" s="108"/>
      <c r="M443" s="61"/>
      <c r="N443" s="67" t="s">
        <v>45</v>
      </c>
      <c r="O443" s="98"/>
      <c r="P443" s="105"/>
      <c r="Q443" s="83"/>
    </row>
    <row r="444" spans="2:17" ht="17" x14ac:dyDescent="0.2">
      <c r="B444" s="153" t="s">
        <v>157</v>
      </c>
      <c r="C444" s="19"/>
      <c r="D444" s="116"/>
      <c r="E444" s="97"/>
      <c r="F444" s="98"/>
      <c r="G444" s="108"/>
      <c r="H444" s="61"/>
      <c r="I444" s="100"/>
      <c r="J444" s="109"/>
      <c r="K444" s="121"/>
      <c r="L444" s="108"/>
      <c r="M444" s="61"/>
      <c r="N444" s="67" t="s">
        <v>45</v>
      </c>
      <c r="O444" s="98"/>
      <c r="P444" s="105"/>
      <c r="Q444" s="105"/>
    </row>
    <row r="445" spans="2:17" ht="17" x14ac:dyDescent="0.2">
      <c r="B445" s="154" t="s">
        <v>158</v>
      </c>
      <c r="C445" s="19" t="s">
        <v>40</v>
      </c>
      <c r="D445" s="116"/>
      <c r="E445" s="97"/>
      <c r="F445" s="34" t="s">
        <v>0</v>
      </c>
      <c r="G445" s="62" t="s">
        <v>41</v>
      </c>
      <c r="H445" s="61">
        <v>17786</v>
      </c>
      <c r="I445" s="100"/>
      <c r="J445" s="109"/>
      <c r="K445" s="121"/>
      <c r="L445" s="108"/>
      <c r="M445" s="61"/>
      <c r="N445" s="67" t="s">
        <v>42</v>
      </c>
      <c r="O445" s="98"/>
      <c r="P445" s="83"/>
      <c r="Q445" s="105"/>
    </row>
    <row r="446" spans="2:17" ht="17" x14ac:dyDescent="0.2">
      <c r="B446" s="155" t="s">
        <v>159</v>
      </c>
      <c r="C446" s="19" t="s">
        <v>40</v>
      </c>
      <c r="D446" s="116"/>
      <c r="E446" s="97"/>
      <c r="F446" s="34" t="s">
        <v>0</v>
      </c>
      <c r="G446" s="62" t="s">
        <v>41</v>
      </c>
      <c r="H446" s="61">
        <v>17786</v>
      </c>
      <c r="I446" s="100"/>
      <c r="J446" s="98"/>
      <c r="K446" s="121"/>
      <c r="L446" s="108"/>
      <c r="M446" s="61"/>
      <c r="N446" s="67" t="s">
        <v>42</v>
      </c>
      <c r="O446" s="98"/>
      <c r="P446" s="83"/>
      <c r="Q446" s="83"/>
    </row>
    <row r="447" spans="2:17" ht="17" x14ac:dyDescent="0.2">
      <c r="B447" s="151" t="s">
        <v>160</v>
      </c>
      <c r="C447" s="19" t="s">
        <v>40</v>
      </c>
      <c r="D447" s="116"/>
      <c r="E447" s="97"/>
      <c r="F447" s="34" t="s">
        <v>0</v>
      </c>
      <c r="G447" s="62" t="s">
        <v>41</v>
      </c>
      <c r="H447" s="61">
        <v>17786</v>
      </c>
      <c r="I447" s="100"/>
      <c r="J447" s="98"/>
      <c r="K447" s="121"/>
      <c r="L447" s="108"/>
      <c r="M447" s="61"/>
      <c r="N447" s="67" t="s">
        <v>42</v>
      </c>
      <c r="O447" s="98"/>
      <c r="P447" s="83"/>
      <c r="Q447" s="83"/>
    </row>
    <row r="448" spans="2:17" ht="17" x14ac:dyDescent="0.2">
      <c r="B448" s="153" t="s">
        <v>161</v>
      </c>
      <c r="C448" s="19"/>
      <c r="D448" s="116"/>
      <c r="E448" s="97"/>
      <c r="F448" s="98"/>
      <c r="G448" s="108"/>
      <c r="H448" s="61"/>
      <c r="I448" s="100"/>
      <c r="J448" s="98"/>
      <c r="K448" s="121"/>
      <c r="L448" s="108"/>
      <c r="M448" s="61"/>
      <c r="N448" s="67" t="s">
        <v>45</v>
      </c>
      <c r="O448" s="98"/>
      <c r="P448" s="83"/>
      <c r="Q448" s="83"/>
    </row>
    <row r="449" spans="2:17" ht="17" x14ac:dyDescent="0.2">
      <c r="B449" s="156" t="s">
        <v>162</v>
      </c>
      <c r="C449" s="19"/>
      <c r="D449" s="116"/>
      <c r="E449" s="97"/>
      <c r="F449" s="98"/>
      <c r="G449" s="108"/>
      <c r="H449" s="61"/>
      <c r="I449" s="100"/>
      <c r="J449" s="98"/>
      <c r="K449" s="121"/>
      <c r="L449" s="108"/>
      <c r="M449" s="61"/>
      <c r="N449" s="67" t="s">
        <v>45</v>
      </c>
      <c r="O449" s="98"/>
      <c r="P449" s="83"/>
      <c r="Q449" s="83"/>
    </row>
    <row r="450" spans="2:17" ht="48" x14ac:dyDescent="0.2">
      <c r="B450" s="151" t="s">
        <v>163</v>
      </c>
      <c r="C450" s="19" t="s">
        <v>40</v>
      </c>
      <c r="D450" s="116"/>
      <c r="E450" s="97"/>
      <c r="F450" s="34" t="s">
        <v>0</v>
      </c>
      <c r="G450" s="62" t="s">
        <v>41</v>
      </c>
      <c r="H450" s="61">
        <v>17786</v>
      </c>
      <c r="I450" s="100"/>
      <c r="J450" s="98"/>
      <c r="K450" s="121"/>
      <c r="L450" s="108"/>
      <c r="M450" s="61"/>
      <c r="N450" s="67" t="s">
        <v>42</v>
      </c>
      <c r="O450" s="98"/>
      <c r="P450" s="83"/>
      <c r="Q450" s="83"/>
    </row>
    <row r="451" spans="2:17" ht="17" x14ac:dyDescent="0.2">
      <c r="B451" s="138" t="s">
        <v>164</v>
      </c>
      <c r="C451" s="19" t="s">
        <v>40</v>
      </c>
      <c r="D451" s="116"/>
      <c r="E451" s="97"/>
      <c r="F451" s="34" t="s">
        <v>0</v>
      </c>
      <c r="G451" s="62" t="s">
        <v>41</v>
      </c>
      <c r="H451" s="61">
        <v>17786</v>
      </c>
      <c r="I451" s="100"/>
      <c r="J451" s="98"/>
      <c r="K451" s="98"/>
      <c r="L451" s="108"/>
      <c r="M451" s="61"/>
      <c r="N451" s="67" t="s">
        <v>42</v>
      </c>
      <c r="O451" s="98"/>
      <c r="P451" s="83"/>
      <c r="Q451" s="83"/>
    </row>
    <row r="452" spans="2:17" ht="17" x14ac:dyDescent="0.2">
      <c r="B452" s="156" t="s">
        <v>165</v>
      </c>
      <c r="C452" s="19"/>
      <c r="D452" s="116"/>
      <c r="E452" s="97"/>
      <c r="F452" s="98"/>
      <c r="G452" s="108"/>
      <c r="H452" s="61"/>
      <c r="I452" s="100"/>
      <c r="J452" s="98"/>
      <c r="K452" s="98"/>
      <c r="L452" s="112"/>
      <c r="M452" s="87"/>
      <c r="N452" s="67" t="s">
        <v>45</v>
      </c>
      <c r="O452" s="114"/>
      <c r="P452" s="83"/>
      <c r="Q452" s="83"/>
    </row>
    <row r="453" spans="2:17" ht="48" x14ac:dyDescent="0.2">
      <c r="B453" s="151" t="s">
        <v>166</v>
      </c>
      <c r="C453" s="19" t="s">
        <v>40</v>
      </c>
      <c r="D453" s="116"/>
      <c r="E453" s="97"/>
      <c r="F453" s="34" t="s">
        <v>0</v>
      </c>
      <c r="G453" s="62" t="s">
        <v>41</v>
      </c>
      <c r="H453" s="61">
        <v>17786</v>
      </c>
      <c r="I453" s="100"/>
      <c r="J453" s="109"/>
      <c r="K453" s="98"/>
      <c r="L453" s="112"/>
      <c r="M453" s="87"/>
      <c r="N453" s="67" t="s">
        <v>42</v>
      </c>
      <c r="O453" s="114"/>
      <c r="P453" s="83"/>
      <c r="Q453" s="83"/>
    </row>
    <row r="454" spans="2:17" ht="17" x14ac:dyDescent="0.2">
      <c r="B454" s="138" t="s">
        <v>167</v>
      </c>
      <c r="C454" s="19" t="s">
        <v>40</v>
      </c>
      <c r="D454" s="116"/>
      <c r="E454" s="97"/>
      <c r="F454" s="34" t="s">
        <v>0</v>
      </c>
      <c r="G454" s="62" t="s">
        <v>41</v>
      </c>
      <c r="H454" s="61">
        <v>17786</v>
      </c>
      <c r="I454" s="100"/>
      <c r="J454" s="98"/>
      <c r="K454" s="98"/>
      <c r="L454" s="112"/>
      <c r="M454" s="87"/>
      <c r="N454" s="67" t="s">
        <v>42</v>
      </c>
      <c r="O454" s="114"/>
      <c r="P454" s="83"/>
      <c r="Q454" s="83"/>
    </row>
    <row r="455" spans="2:17" ht="17" x14ac:dyDescent="0.2">
      <c r="B455" s="157" t="s">
        <v>168</v>
      </c>
      <c r="D455" s="116"/>
      <c r="E455" s="97"/>
      <c r="F455" s="98"/>
      <c r="G455" s="108"/>
      <c r="H455" s="61"/>
      <c r="I455" s="100"/>
      <c r="J455" s="109"/>
      <c r="K455" s="98"/>
      <c r="L455" s="103"/>
      <c r="M455" s="89"/>
      <c r="N455" s="67" t="s">
        <v>45</v>
      </c>
      <c r="O455" s="105"/>
      <c r="P455" s="83"/>
      <c r="Q455" s="83"/>
    </row>
    <row r="456" spans="2:17" ht="51" x14ac:dyDescent="0.2">
      <c r="B456" s="158" t="s">
        <v>169</v>
      </c>
      <c r="C456" s="19" t="s">
        <v>40</v>
      </c>
      <c r="D456" s="101"/>
      <c r="E456" s="97"/>
      <c r="F456" s="34" t="s">
        <v>0</v>
      </c>
      <c r="G456" s="62" t="s">
        <v>41</v>
      </c>
      <c r="H456" s="61">
        <v>17786</v>
      </c>
      <c r="I456" s="100"/>
      <c r="J456" s="109"/>
      <c r="K456" s="98"/>
      <c r="L456" s="107"/>
      <c r="M456" s="6"/>
      <c r="N456" s="67" t="s">
        <v>42</v>
      </c>
      <c r="O456" s="83"/>
      <c r="P456" s="83"/>
      <c r="Q456" s="83"/>
    </row>
    <row r="457" spans="2:17" ht="17" x14ac:dyDescent="0.2">
      <c r="B457" s="159" t="s">
        <v>170</v>
      </c>
      <c r="C457" s="19" t="s">
        <v>40</v>
      </c>
      <c r="D457" s="101"/>
      <c r="E457" s="97"/>
      <c r="F457" s="34" t="s">
        <v>0</v>
      </c>
      <c r="G457" s="62" t="s">
        <v>41</v>
      </c>
      <c r="H457" s="61">
        <v>17786</v>
      </c>
      <c r="I457" s="100"/>
      <c r="J457" s="109"/>
      <c r="K457" s="98"/>
      <c r="L457" s="107"/>
      <c r="M457" s="6"/>
      <c r="N457" s="67" t="s">
        <v>42</v>
      </c>
      <c r="O457" s="83"/>
      <c r="P457" s="83"/>
      <c r="Q457" s="83"/>
    </row>
    <row r="458" spans="2:17" ht="17" x14ac:dyDescent="0.2">
      <c r="B458" s="157" t="s">
        <v>171</v>
      </c>
      <c r="C458" s="19"/>
      <c r="D458" s="101"/>
      <c r="E458" s="97"/>
      <c r="F458" s="98"/>
      <c r="G458" s="108"/>
      <c r="H458" s="60"/>
      <c r="I458" s="100"/>
      <c r="J458" s="109"/>
      <c r="K458" s="98"/>
      <c r="L458" s="107"/>
      <c r="M458" s="6"/>
      <c r="N458" s="67" t="s">
        <v>45</v>
      </c>
      <c r="O458" s="83"/>
      <c r="P458" s="83"/>
      <c r="Q458" s="83"/>
    </row>
    <row r="459" spans="2:17" ht="48" x14ac:dyDescent="0.2">
      <c r="B459" s="144" t="s">
        <v>172</v>
      </c>
      <c r="C459" s="19" t="s">
        <v>40</v>
      </c>
      <c r="D459" s="101"/>
      <c r="E459" s="97"/>
      <c r="F459" s="34" t="s">
        <v>0</v>
      </c>
      <c r="G459" s="62" t="s">
        <v>41</v>
      </c>
      <c r="H459" s="61">
        <v>17786</v>
      </c>
      <c r="I459" s="100"/>
      <c r="J459" s="109"/>
      <c r="K459" s="98"/>
      <c r="L459" s="107"/>
      <c r="M459" s="6"/>
      <c r="N459" s="67" t="s">
        <v>42</v>
      </c>
      <c r="O459" s="83"/>
      <c r="P459" s="83"/>
      <c r="Q459" s="83"/>
    </row>
    <row r="460" spans="2:17" ht="17" x14ac:dyDescent="0.2">
      <c r="B460" s="160" t="s">
        <v>173</v>
      </c>
      <c r="C460" s="19" t="s">
        <v>40</v>
      </c>
      <c r="D460" s="101"/>
      <c r="E460" s="98"/>
      <c r="F460" s="34" t="s">
        <v>0</v>
      </c>
      <c r="G460" s="62" t="s">
        <v>41</v>
      </c>
      <c r="H460" s="61">
        <v>17786</v>
      </c>
      <c r="I460" s="109"/>
      <c r="J460" s="98"/>
      <c r="K460" s="98"/>
      <c r="L460" s="107"/>
      <c r="M460" s="6"/>
      <c r="N460" s="67" t="s">
        <v>42</v>
      </c>
      <c r="O460" s="83"/>
      <c r="P460" s="83"/>
      <c r="Q460" s="83"/>
    </row>
    <row r="461" spans="2:17" ht="17" x14ac:dyDescent="0.2">
      <c r="B461" s="161" t="s">
        <v>174</v>
      </c>
      <c r="D461" s="101"/>
      <c r="E461" s="97"/>
      <c r="F461" s="98"/>
      <c r="G461" s="108"/>
      <c r="H461" s="60"/>
      <c r="I461" s="109"/>
      <c r="J461" s="98"/>
      <c r="K461" s="98"/>
      <c r="L461" s="108"/>
      <c r="M461" s="61"/>
      <c r="N461" s="67" t="s">
        <v>45</v>
      </c>
      <c r="O461" s="98"/>
      <c r="P461" s="83"/>
      <c r="Q461" s="83"/>
    </row>
    <row r="462" spans="2:17" ht="51" x14ac:dyDescent="0.2">
      <c r="B462" s="161" t="s">
        <v>175</v>
      </c>
      <c r="C462" s="19"/>
      <c r="D462" s="101"/>
      <c r="E462" s="97"/>
      <c r="F462" s="98"/>
      <c r="G462" s="108"/>
      <c r="H462" s="60"/>
      <c r="I462" s="109"/>
      <c r="J462" s="98"/>
      <c r="K462" s="98"/>
      <c r="L462" s="108"/>
      <c r="M462" s="61"/>
      <c r="N462" s="67" t="s">
        <v>45</v>
      </c>
      <c r="O462" s="98"/>
      <c r="P462" s="83"/>
      <c r="Q462" s="83"/>
    </row>
    <row r="463" spans="2:17" ht="17" x14ac:dyDescent="0.2">
      <c r="B463" s="131" t="s">
        <v>176</v>
      </c>
      <c r="C463" s="19" t="s">
        <v>40</v>
      </c>
      <c r="D463" s="116"/>
      <c r="E463" s="97"/>
      <c r="F463" s="34" t="s">
        <v>0</v>
      </c>
      <c r="G463" s="62" t="s">
        <v>41</v>
      </c>
      <c r="H463" s="61">
        <v>17786</v>
      </c>
      <c r="I463" s="109"/>
      <c r="J463" s="109"/>
      <c r="K463" s="98"/>
      <c r="L463" s="108"/>
      <c r="M463" s="61"/>
      <c r="N463" s="67" t="s">
        <v>42</v>
      </c>
      <c r="O463" s="98"/>
      <c r="P463" s="83"/>
      <c r="Q463" s="83"/>
    </row>
    <row r="464" spans="2:17" ht="17" x14ac:dyDescent="0.2">
      <c r="B464" s="160" t="s">
        <v>177</v>
      </c>
      <c r="C464" s="19" t="s">
        <v>40</v>
      </c>
      <c r="D464" s="116"/>
      <c r="E464" s="97"/>
      <c r="F464" s="34" t="s">
        <v>0</v>
      </c>
      <c r="G464" s="62" t="s">
        <v>41</v>
      </c>
      <c r="H464" s="61">
        <v>17786</v>
      </c>
      <c r="I464" s="109"/>
      <c r="J464" s="98"/>
      <c r="K464" s="98"/>
      <c r="L464" s="108"/>
      <c r="M464" s="61"/>
      <c r="N464" s="67" t="s">
        <v>42</v>
      </c>
      <c r="O464" s="98"/>
      <c r="P464" s="83"/>
      <c r="Q464" s="83"/>
    </row>
    <row r="465" spans="2:17" ht="17" x14ac:dyDescent="0.2">
      <c r="B465" s="131" t="s">
        <v>178</v>
      </c>
      <c r="C465" s="19" t="s">
        <v>40</v>
      </c>
      <c r="D465" s="101"/>
      <c r="E465" s="97"/>
      <c r="F465" s="34" t="s">
        <v>0</v>
      </c>
      <c r="G465" s="62" t="s">
        <v>41</v>
      </c>
      <c r="H465" s="61">
        <v>17786</v>
      </c>
      <c r="I465" s="109"/>
      <c r="J465" s="98"/>
      <c r="K465" s="98"/>
      <c r="L465" s="108"/>
      <c r="M465" s="61"/>
      <c r="N465" s="67" t="s">
        <v>42</v>
      </c>
      <c r="O465" s="98"/>
      <c r="P465" s="83"/>
      <c r="Q465" s="83"/>
    </row>
    <row r="466" spans="2:17" ht="68" x14ac:dyDescent="0.2">
      <c r="B466" s="131" t="s">
        <v>179</v>
      </c>
      <c r="C466" s="19" t="s">
        <v>40</v>
      </c>
      <c r="D466" s="101"/>
      <c r="E466" s="97"/>
      <c r="F466" s="34" t="s">
        <v>0</v>
      </c>
      <c r="G466" s="62" t="s">
        <v>41</v>
      </c>
      <c r="H466" s="61">
        <v>17786</v>
      </c>
      <c r="I466" s="109"/>
      <c r="J466" s="98"/>
      <c r="K466" s="98"/>
      <c r="L466" s="108"/>
      <c r="M466" s="61"/>
      <c r="N466" s="67" t="s">
        <v>42</v>
      </c>
      <c r="O466" s="98"/>
      <c r="P466" s="83"/>
      <c r="Q466" s="83"/>
    </row>
    <row r="467" spans="2:17" ht="17" x14ac:dyDescent="0.2">
      <c r="B467" s="131" t="s">
        <v>180</v>
      </c>
      <c r="C467" s="19" t="s">
        <v>40</v>
      </c>
      <c r="D467" s="101"/>
      <c r="E467" s="98"/>
      <c r="F467" s="34" t="s">
        <v>0</v>
      </c>
      <c r="G467" s="62" t="s">
        <v>41</v>
      </c>
      <c r="H467" s="61">
        <v>17786</v>
      </c>
      <c r="I467" s="109"/>
      <c r="J467" s="98"/>
      <c r="K467" s="98"/>
      <c r="L467" s="108"/>
      <c r="M467" s="61"/>
      <c r="N467" s="67" t="s">
        <v>42</v>
      </c>
      <c r="O467" s="98"/>
      <c r="P467" s="83"/>
      <c r="Q467" s="83"/>
    </row>
    <row r="468" spans="2:17" ht="68" x14ac:dyDescent="0.2">
      <c r="B468" s="131" t="s">
        <v>181</v>
      </c>
      <c r="C468" s="19" t="s">
        <v>40</v>
      </c>
      <c r="D468" s="101"/>
      <c r="E468" s="98"/>
      <c r="F468" s="34" t="s">
        <v>0</v>
      </c>
      <c r="G468" s="62" t="s">
        <v>41</v>
      </c>
      <c r="H468" s="61">
        <v>17786</v>
      </c>
      <c r="I468" s="100"/>
      <c r="J468" s="98"/>
      <c r="K468" s="98"/>
      <c r="L468" s="108"/>
      <c r="M468" s="61"/>
      <c r="N468" s="67" t="s">
        <v>42</v>
      </c>
      <c r="O468" s="98"/>
      <c r="P468" s="83"/>
      <c r="Q468" s="83"/>
    </row>
    <row r="469" spans="2:17" ht="17" x14ac:dyDescent="0.2">
      <c r="B469" s="160" t="s">
        <v>182</v>
      </c>
      <c r="C469" s="19" t="s">
        <v>40</v>
      </c>
      <c r="D469" s="101"/>
      <c r="E469" s="98"/>
      <c r="F469" s="34" t="s">
        <v>0</v>
      </c>
      <c r="G469" s="62" t="s">
        <v>41</v>
      </c>
      <c r="H469" s="61">
        <v>17786</v>
      </c>
      <c r="I469" s="100"/>
      <c r="J469" s="98"/>
      <c r="K469" s="98"/>
      <c r="L469" s="108"/>
      <c r="M469" s="61"/>
      <c r="N469" s="67" t="s">
        <v>42</v>
      </c>
      <c r="O469" s="98"/>
      <c r="P469" s="83"/>
      <c r="Q469" s="83"/>
    </row>
    <row r="470" spans="2:17" ht="68" x14ac:dyDescent="0.2">
      <c r="B470" s="160" t="s">
        <v>183</v>
      </c>
      <c r="C470" s="19" t="s">
        <v>40</v>
      </c>
      <c r="D470" s="101"/>
      <c r="E470" s="98"/>
      <c r="F470" s="34" t="s">
        <v>0</v>
      </c>
      <c r="G470" s="62" t="s">
        <v>41</v>
      </c>
      <c r="H470" s="61">
        <v>17786</v>
      </c>
      <c r="I470" s="109"/>
      <c r="J470" s="109"/>
      <c r="K470" s="98"/>
      <c r="L470" s="108"/>
      <c r="M470" s="61"/>
      <c r="N470" s="67" t="s">
        <v>42</v>
      </c>
      <c r="O470" s="98"/>
      <c r="P470" s="83"/>
      <c r="Q470" s="83"/>
    </row>
    <row r="471" spans="2:17" ht="17" x14ac:dyDescent="0.2">
      <c r="B471" s="162" t="s">
        <v>184</v>
      </c>
      <c r="C471" s="19" t="s">
        <v>40</v>
      </c>
      <c r="D471" s="101"/>
      <c r="E471" s="98"/>
      <c r="F471" s="34" t="s">
        <v>0</v>
      </c>
      <c r="G471" s="62" t="s">
        <v>41</v>
      </c>
      <c r="H471" s="61">
        <v>17786</v>
      </c>
      <c r="I471" s="109"/>
      <c r="J471" s="109"/>
      <c r="K471" s="98"/>
      <c r="L471" s="108"/>
      <c r="M471" s="61"/>
      <c r="N471" s="67" t="s">
        <v>42</v>
      </c>
      <c r="O471" s="98"/>
      <c r="P471" s="83"/>
      <c r="Q471" s="83"/>
    </row>
    <row r="472" spans="2:17" ht="17" x14ac:dyDescent="0.2">
      <c r="B472" s="162" t="s">
        <v>185</v>
      </c>
      <c r="C472" s="19" t="s">
        <v>40</v>
      </c>
      <c r="D472" s="101"/>
      <c r="E472" s="98"/>
      <c r="F472" s="34" t="s">
        <v>0</v>
      </c>
      <c r="G472" s="62" t="s">
        <v>41</v>
      </c>
      <c r="H472" s="61">
        <v>17786</v>
      </c>
      <c r="I472" s="109"/>
      <c r="J472" s="109"/>
      <c r="K472" s="98"/>
      <c r="L472" s="108"/>
      <c r="M472" s="61"/>
      <c r="N472" s="67" t="s">
        <v>42</v>
      </c>
      <c r="O472" s="98"/>
      <c r="P472" s="83"/>
      <c r="Q472" s="83"/>
    </row>
    <row r="473" spans="2:17" ht="17" x14ac:dyDescent="0.2">
      <c r="B473" s="110"/>
      <c r="C473" s="110"/>
      <c r="D473" s="101"/>
      <c r="E473" s="101"/>
      <c r="F473" s="98"/>
      <c r="G473" s="108"/>
      <c r="H473" s="61"/>
      <c r="I473" s="122"/>
      <c r="J473" s="98"/>
      <c r="K473" s="109"/>
      <c r="L473" s="108"/>
      <c r="M473" s="61"/>
      <c r="N473" s="67" t="s">
        <v>45</v>
      </c>
      <c r="O473" s="98"/>
      <c r="P473" s="98"/>
      <c r="Q473" s="83"/>
    </row>
    <row r="474" spans="2:17" ht="25" x14ac:dyDescent="0.3">
      <c r="B474" s="125" t="s">
        <v>195</v>
      </c>
      <c r="C474" s="59"/>
      <c r="N474" s="67" t="s">
        <v>45</v>
      </c>
    </row>
    <row r="475" spans="2:17" ht="129.75" customHeight="1" x14ac:dyDescent="0.2">
      <c r="B475" s="170" t="s">
        <v>196</v>
      </c>
      <c r="C475" s="19"/>
      <c r="G475" s="62"/>
      <c r="H475" s="61"/>
      <c r="N475" s="67" t="s">
        <v>45</v>
      </c>
    </row>
    <row r="476" spans="2:17" ht="42" customHeight="1" x14ac:dyDescent="0.2">
      <c r="B476" s="212" t="s">
        <v>197</v>
      </c>
      <c r="C476" s="19"/>
      <c r="N476" s="67" t="s">
        <v>45</v>
      </c>
    </row>
    <row r="477" spans="2:17" ht="17" x14ac:dyDescent="0.2">
      <c r="B477" s="127" t="s">
        <v>31</v>
      </c>
      <c r="C477" s="19"/>
      <c r="N477" s="67" t="s">
        <v>45</v>
      </c>
    </row>
    <row r="478" spans="2:17" ht="17" x14ac:dyDescent="0.2">
      <c r="B478" s="127" t="s">
        <v>32</v>
      </c>
      <c r="N478" s="67" t="s">
        <v>45</v>
      </c>
    </row>
    <row r="479" spans="2:17" ht="17" x14ac:dyDescent="0.2">
      <c r="B479" s="128" t="s">
        <v>33</v>
      </c>
      <c r="N479" s="67" t="s">
        <v>45</v>
      </c>
    </row>
    <row r="480" spans="2:17" ht="17" x14ac:dyDescent="0.2">
      <c r="B480" s="127" t="s">
        <v>34</v>
      </c>
      <c r="C480" s="19"/>
      <c r="N480" s="67" t="s">
        <v>45</v>
      </c>
    </row>
    <row r="481" spans="2:14" ht="51" x14ac:dyDescent="0.2">
      <c r="B481" s="163" t="s">
        <v>193</v>
      </c>
      <c r="C481" s="19"/>
      <c r="N481" s="67" t="s">
        <v>45</v>
      </c>
    </row>
    <row r="482" spans="2:14" ht="17" x14ac:dyDescent="0.2">
      <c r="B482" s="129" t="s">
        <v>36</v>
      </c>
      <c r="C482" s="19"/>
      <c r="N482" s="67" t="s">
        <v>45</v>
      </c>
    </row>
    <row r="483" spans="2:14" ht="17" x14ac:dyDescent="0.2">
      <c r="B483" s="129" t="s">
        <v>37</v>
      </c>
      <c r="C483" s="19"/>
      <c r="N483" s="67" t="s">
        <v>45</v>
      </c>
    </row>
    <row r="484" spans="2:14" ht="17" x14ac:dyDescent="0.2">
      <c r="B484" s="128" t="s">
        <v>38</v>
      </c>
      <c r="C484" s="19"/>
      <c r="N484" s="67" t="s">
        <v>45</v>
      </c>
    </row>
    <row r="485" spans="2:14" ht="32" x14ac:dyDescent="0.2">
      <c r="B485" s="164" t="s">
        <v>39</v>
      </c>
      <c r="C485" s="19" t="s">
        <v>40</v>
      </c>
      <c r="F485" s="34" t="s">
        <v>0</v>
      </c>
      <c r="G485" s="62" t="s">
        <v>41</v>
      </c>
      <c r="H485" s="61">
        <v>17786</v>
      </c>
      <c r="N485" s="67" t="s">
        <v>42</v>
      </c>
    </row>
    <row r="486" spans="2:14" ht="32" x14ac:dyDescent="0.2">
      <c r="B486" s="164" t="s">
        <v>198</v>
      </c>
      <c r="C486" s="19" t="s">
        <v>40</v>
      </c>
      <c r="F486" s="34" t="s">
        <v>0</v>
      </c>
      <c r="G486" s="62" t="s">
        <v>41</v>
      </c>
      <c r="H486" s="61">
        <v>17786</v>
      </c>
      <c r="N486" s="67" t="s">
        <v>42</v>
      </c>
    </row>
    <row r="487" spans="2:14" ht="17" x14ac:dyDescent="0.2">
      <c r="B487" s="128" t="s">
        <v>44</v>
      </c>
      <c r="C487" s="19"/>
      <c r="N487" s="67" t="s">
        <v>45</v>
      </c>
    </row>
    <row r="488" spans="2:14" ht="17" x14ac:dyDescent="0.2">
      <c r="B488" s="130" t="s">
        <v>46</v>
      </c>
      <c r="C488" s="19" t="s">
        <v>40</v>
      </c>
      <c r="F488" s="34" t="s">
        <v>0</v>
      </c>
      <c r="G488" s="62" t="s">
        <v>41</v>
      </c>
      <c r="H488" s="61">
        <v>17786</v>
      </c>
      <c r="N488" s="67" t="s">
        <v>42</v>
      </c>
    </row>
    <row r="489" spans="2:14" ht="17" x14ac:dyDescent="0.2">
      <c r="B489" s="128" t="s">
        <v>47</v>
      </c>
      <c r="N489" s="67" t="s">
        <v>45</v>
      </c>
    </row>
    <row r="490" spans="2:14" ht="17" x14ac:dyDescent="0.2">
      <c r="B490" s="131" t="s">
        <v>48</v>
      </c>
      <c r="C490" s="19" t="s">
        <v>40</v>
      </c>
      <c r="F490" s="34" t="s">
        <v>0</v>
      </c>
      <c r="G490" s="62" t="s">
        <v>41</v>
      </c>
      <c r="H490" s="61">
        <v>17786</v>
      </c>
      <c r="N490" s="67" t="s">
        <v>42</v>
      </c>
    </row>
    <row r="491" spans="2:14" ht="17" x14ac:dyDescent="0.2">
      <c r="B491" s="131" t="s">
        <v>49</v>
      </c>
      <c r="C491" s="19" t="s">
        <v>40</v>
      </c>
      <c r="G491" s="62" t="s">
        <v>41</v>
      </c>
      <c r="H491" s="61">
        <v>17786</v>
      </c>
      <c r="N491" s="67" t="s">
        <v>42</v>
      </c>
    </row>
    <row r="492" spans="2:14" ht="34" x14ac:dyDescent="0.2">
      <c r="B492" s="131" t="s">
        <v>50</v>
      </c>
      <c r="C492" s="19" t="s">
        <v>40</v>
      </c>
      <c r="F492" s="34" t="s">
        <v>0</v>
      </c>
      <c r="G492" s="62" t="s">
        <v>41</v>
      </c>
      <c r="H492" s="61">
        <v>17786</v>
      </c>
      <c r="N492" s="67" t="s">
        <v>42</v>
      </c>
    </row>
    <row r="493" spans="2:14" ht="17" x14ac:dyDescent="0.2">
      <c r="B493" s="128" t="s">
        <v>51</v>
      </c>
      <c r="C493" s="19"/>
      <c r="N493" s="67" t="s">
        <v>45</v>
      </c>
    </row>
    <row r="494" spans="2:14" ht="31.5" customHeight="1" x14ac:dyDescent="0.2">
      <c r="B494" s="131" t="s">
        <v>52</v>
      </c>
      <c r="C494" s="19" t="s">
        <v>40</v>
      </c>
      <c r="F494" s="34" t="s">
        <v>0</v>
      </c>
      <c r="G494" s="62" t="s">
        <v>41</v>
      </c>
      <c r="H494" s="61">
        <v>17786</v>
      </c>
      <c r="N494" s="67" t="s">
        <v>42</v>
      </c>
    </row>
    <row r="495" spans="2:14" ht="17" x14ac:dyDescent="0.2">
      <c r="B495" s="132" t="s">
        <v>53</v>
      </c>
      <c r="C495" s="19"/>
      <c r="N495" s="67" t="s">
        <v>45</v>
      </c>
    </row>
    <row r="496" spans="2:14" ht="51" x14ac:dyDescent="0.2">
      <c r="B496" s="133" t="s">
        <v>54</v>
      </c>
      <c r="C496" s="19" t="s">
        <v>40</v>
      </c>
      <c r="F496" s="34" t="s">
        <v>0</v>
      </c>
      <c r="G496" s="62" t="s">
        <v>41</v>
      </c>
      <c r="H496" s="61">
        <v>17786</v>
      </c>
      <c r="N496" s="67" t="s">
        <v>42</v>
      </c>
    </row>
    <row r="497" spans="2:14" ht="17" x14ac:dyDescent="0.2">
      <c r="B497" s="128" t="s">
        <v>55</v>
      </c>
      <c r="C497" s="19"/>
      <c r="N497" s="67" t="s">
        <v>45</v>
      </c>
    </row>
    <row r="498" spans="2:14" ht="51" x14ac:dyDescent="0.2">
      <c r="B498" s="134" t="s">
        <v>56</v>
      </c>
      <c r="C498" s="19" t="s">
        <v>57</v>
      </c>
      <c r="F498" s="34" t="s">
        <v>0</v>
      </c>
      <c r="G498" s="62" t="s">
        <v>41</v>
      </c>
      <c r="H498" s="61">
        <v>17786</v>
      </c>
      <c r="N498" s="67" t="s">
        <v>42</v>
      </c>
    </row>
    <row r="499" spans="2:14" ht="17" x14ac:dyDescent="0.2">
      <c r="B499" s="128" t="s">
        <v>58</v>
      </c>
      <c r="N499" s="67" t="s">
        <v>45</v>
      </c>
    </row>
    <row r="500" spans="2:14" ht="51" x14ac:dyDescent="0.2">
      <c r="B500" s="131" t="s">
        <v>59</v>
      </c>
      <c r="C500" s="19" t="s">
        <v>40</v>
      </c>
      <c r="F500" s="34" t="s">
        <v>0</v>
      </c>
      <c r="G500" s="62" t="s">
        <v>41</v>
      </c>
      <c r="H500" s="61">
        <v>17786</v>
      </c>
      <c r="N500" s="67" t="s">
        <v>42</v>
      </c>
    </row>
    <row r="501" spans="2:14" ht="17" x14ac:dyDescent="0.2">
      <c r="B501" s="132" t="s">
        <v>60</v>
      </c>
      <c r="C501" s="19"/>
      <c r="N501" s="67" t="s">
        <v>45</v>
      </c>
    </row>
    <row r="502" spans="2:14" ht="17" x14ac:dyDescent="0.2">
      <c r="B502" s="135" t="s">
        <v>61</v>
      </c>
      <c r="C502" s="19" t="s">
        <v>40</v>
      </c>
      <c r="F502" s="34" t="s">
        <v>0</v>
      </c>
      <c r="G502" s="62" t="s">
        <v>41</v>
      </c>
      <c r="H502" s="61">
        <v>17786</v>
      </c>
      <c r="N502" s="67" t="s">
        <v>42</v>
      </c>
    </row>
    <row r="503" spans="2:14" ht="17" x14ac:dyDescent="0.2">
      <c r="B503" s="136" t="s">
        <v>62</v>
      </c>
      <c r="C503" s="19" t="s">
        <v>40</v>
      </c>
      <c r="F503" s="34" t="s">
        <v>0</v>
      </c>
      <c r="G503" s="62" t="s">
        <v>41</v>
      </c>
      <c r="H503" s="61">
        <v>17786</v>
      </c>
      <c r="N503" s="67" t="s">
        <v>42</v>
      </c>
    </row>
    <row r="504" spans="2:14" ht="96" x14ac:dyDescent="0.2">
      <c r="B504" s="211" t="s">
        <v>63</v>
      </c>
      <c r="C504" s="19" t="s">
        <v>40</v>
      </c>
      <c r="F504" s="34" t="s">
        <v>0</v>
      </c>
      <c r="G504" s="62" t="s">
        <v>41</v>
      </c>
      <c r="H504" s="61">
        <v>17786</v>
      </c>
      <c r="N504" s="67" t="s">
        <v>42</v>
      </c>
    </row>
    <row r="505" spans="2:14" ht="17" x14ac:dyDescent="0.2">
      <c r="B505" s="136" t="s">
        <v>64</v>
      </c>
      <c r="C505" s="19" t="s">
        <v>40</v>
      </c>
      <c r="F505" s="34" t="s">
        <v>0</v>
      </c>
      <c r="G505" s="62" t="s">
        <v>41</v>
      </c>
      <c r="H505" s="61">
        <v>17786</v>
      </c>
      <c r="N505" s="67" t="s">
        <v>42</v>
      </c>
    </row>
    <row r="506" spans="2:14" ht="17" x14ac:dyDescent="0.2">
      <c r="B506" s="128" t="s">
        <v>65</v>
      </c>
      <c r="N506" s="67" t="s">
        <v>45</v>
      </c>
    </row>
    <row r="507" spans="2:14" ht="17" x14ac:dyDescent="0.2">
      <c r="B507" s="174" t="s">
        <v>66</v>
      </c>
      <c r="C507" s="19" t="s">
        <v>40</v>
      </c>
      <c r="F507" s="34" t="s">
        <v>0</v>
      </c>
      <c r="G507" s="62" t="s">
        <v>41</v>
      </c>
      <c r="H507" s="61">
        <v>17786</v>
      </c>
      <c r="N507" s="67" t="s">
        <v>42</v>
      </c>
    </row>
    <row r="508" spans="2:14" ht="17" x14ac:dyDescent="0.2">
      <c r="B508" s="166" t="s">
        <v>67</v>
      </c>
      <c r="C508" s="19" t="s">
        <v>40</v>
      </c>
      <c r="F508" s="34" t="s">
        <v>0</v>
      </c>
      <c r="G508" s="62" t="s">
        <v>41</v>
      </c>
      <c r="H508" s="61">
        <v>17786</v>
      </c>
      <c r="N508" s="67" t="s">
        <v>42</v>
      </c>
    </row>
    <row r="509" spans="2:14" ht="17" x14ac:dyDescent="0.2">
      <c r="B509" s="166" t="s">
        <v>68</v>
      </c>
      <c r="C509" s="19" t="s">
        <v>40</v>
      </c>
      <c r="F509" s="34" t="s">
        <v>0</v>
      </c>
      <c r="G509" s="62" t="s">
        <v>41</v>
      </c>
      <c r="H509" s="61">
        <v>17786</v>
      </c>
      <c r="N509" s="67" t="s">
        <v>42</v>
      </c>
    </row>
    <row r="510" spans="2:14" ht="17" x14ac:dyDescent="0.2">
      <c r="B510" s="166" t="s">
        <v>69</v>
      </c>
      <c r="C510" s="19" t="s">
        <v>40</v>
      </c>
      <c r="F510" s="34" t="s">
        <v>0</v>
      </c>
      <c r="G510" s="62" t="s">
        <v>41</v>
      </c>
      <c r="H510" s="61">
        <v>17786</v>
      </c>
      <c r="N510" s="67" t="s">
        <v>42</v>
      </c>
    </row>
    <row r="511" spans="2:14" ht="17" x14ac:dyDescent="0.2">
      <c r="B511" s="166" t="s">
        <v>70</v>
      </c>
      <c r="C511" s="19" t="s">
        <v>40</v>
      </c>
      <c r="F511" s="34" t="s">
        <v>0</v>
      </c>
      <c r="G511" s="62" t="s">
        <v>41</v>
      </c>
      <c r="H511" s="61">
        <v>17786</v>
      </c>
      <c r="N511" s="67" t="s">
        <v>42</v>
      </c>
    </row>
    <row r="512" spans="2:14" ht="17" x14ac:dyDescent="0.2">
      <c r="B512" s="138" t="s">
        <v>71</v>
      </c>
      <c r="C512" s="19" t="s">
        <v>40</v>
      </c>
      <c r="F512" s="34" t="s">
        <v>0</v>
      </c>
      <c r="G512" s="62" t="s">
        <v>41</v>
      </c>
      <c r="H512" s="61">
        <v>17786</v>
      </c>
      <c r="N512" s="67" t="s">
        <v>42</v>
      </c>
    </row>
    <row r="513" spans="2:14" ht="17" x14ac:dyDescent="0.2">
      <c r="B513" s="139" t="s">
        <v>72</v>
      </c>
      <c r="C513" s="19" t="s">
        <v>40</v>
      </c>
      <c r="F513" s="34" t="s">
        <v>0</v>
      </c>
      <c r="G513" s="62" t="s">
        <v>41</v>
      </c>
      <c r="H513" s="61">
        <v>17786</v>
      </c>
      <c r="N513" s="67" t="s">
        <v>42</v>
      </c>
    </row>
    <row r="514" spans="2:14" ht="17" x14ac:dyDescent="0.2">
      <c r="B514" s="174" t="s">
        <v>73</v>
      </c>
      <c r="C514" s="19" t="s">
        <v>40</v>
      </c>
      <c r="F514" s="34" t="s">
        <v>0</v>
      </c>
      <c r="G514" s="62" t="s">
        <v>41</v>
      </c>
      <c r="H514" s="61">
        <v>17786</v>
      </c>
      <c r="N514" s="67" t="s">
        <v>42</v>
      </c>
    </row>
    <row r="515" spans="2:14" ht="17" x14ac:dyDescent="0.2">
      <c r="B515" s="139" t="s">
        <v>74</v>
      </c>
      <c r="C515" s="19" t="s">
        <v>40</v>
      </c>
      <c r="F515" s="34" t="s">
        <v>0</v>
      </c>
      <c r="G515" s="62" t="s">
        <v>41</v>
      </c>
      <c r="H515" s="61">
        <v>17786</v>
      </c>
      <c r="N515" s="67" t="s">
        <v>42</v>
      </c>
    </row>
    <row r="516" spans="2:14" ht="17" x14ac:dyDescent="0.2">
      <c r="B516" s="139" t="s">
        <v>75</v>
      </c>
      <c r="C516" s="19" t="s">
        <v>40</v>
      </c>
      <c r="F516" s="34" t="s">
        <v>0</v>
      </c>
      <c r="G516" s="62" t="s">
        <v>41</v>
      </c>
      <c r="H516" s="61">
        <v>17786</v>
      </c>
      <c r="N516" s="67" t="s">
        <v>42</v>
      </c>
    </row>
    <row r="517" spans="2:14" ht="17" x14ac:dyDescent="0.2">
      <c r="B517" s="138" t="s">
        <v>76</v>
      </c>
      <c r="C517" s="19" t="s">
        <v>40</v>
      </c>
      <c r="F517" s="34" t="s">
        <v>0</v>
      </c>
      <c r="G517" s="62" t="s">
        <v>41</v>
      </c>
      <c r="H517" s="61">
        <v>17786</v>
      </c>
      <c r="N517" s="67" t="s">
        <v>42</v>
      </c>
    </row>
    <row r="518" spans="2:14" ht="68" x14ac:dyDescent="0.2">
      <c r="B518" s="166" t="s">
        <v>194</v>
      </c>
      <c r="C518" s="19" t="s">
        <v>40</v>
      </c>
      <c r="F518" s="34" t="s">
        <v>0</v>
      </c>
      <c r="G518" s="62" t="s">
        <v>41</v>
      </c>
      <c r="H518" s="61">
        <v>17786</v>
      </c>
      <c r="N518" s="67" t="s">
        <v>42</v>
      </c>
    </row>
    <row r="519" spans="2:14" ht="17" x14ac:dyDescent="0.2">
      <c r="B519" s="166" t="s">
        <v>78</v>
      </c>
      <c r="C519" s="19" t="s">
        <v>40</v>
      </c>
      <c r="F519" s="34" t="s">
        <v>0</v>
      </c>
      <c r="G519" s="62" t="s">
        <v>41</v>
      </c>
      <c r="H519" s="61">
        <v>17786</v>
      </c>
      <c r="N519" s="67" t="s">
        <v>42</v>
      </c>
    </row>
    <row r="520" spans="2:14" ht="17" x14ac:dyDescent="0.2">
      <c r="B520" s="138" t="s">
        <v>79</v>
      </c>
      <c r="C520" s="19" t="s">
        <v>40</v>
      </c>
      <c r="F520" s="34" t="s">
        <v>0</v>
      </c>
      <c r="G520" s="62" t="s">
        <v>41</v>
      </c>
      <c r="H520" s="61">
        <v>17786</v>
      </c>
      <c r="N520" s="67" t="s">
        <v>42</v>
      </c>
    </row>
    <row r="521" spans="2:14" ht="17" x14ac:dyDescent="0.2">
      <c r="B521" s="138" t="s">
        <v>80</v>
      </c>
      <c r="C521" s="19" t="s">
        <v>40</v>
      </c>
      <c r="F521" s="34" t="s">
        <v>0</v>
      </c>
      <c r="G521" s="62" t="s">
        <v>41</v>
      </c>
      <c r="H521" s="61">
        <v>17786</v>
      </c>
      <c r="N521" s="67" t="s">
        <v>42</v>
      </c>
    </row>
    <row r="522" spans="2:14" ht="17" x14ac:dyDescent="0.2">
      <c r="B522" s="138" t="s">
        <v>81</v>
      </c>
      <c r="C522" s="19" t="s">
        <v>40</v>
      </c>
      <c r="F522" s="34" t="s">
        <v>0</v>
      </c>
      <c r="G522" s="62" t="s">
        <v>41</v>
      </c>
      <c r="H522" s="61">
        <v>17786</v>
      </c>
      <c r="N522" s="67" t="s">
        <v>42</v>
      </c>
    </row>
    <row r="523" spans="2:14" ht="17" x14ac:dyDescent="0.2">
      <c r="B523" s="138" t="s">
        <v>82</v>
      </c>
      <c r="C523" s="19" t="s">
        <v>40</v>
      </c>
      <c r="F523" s="34" t="s">
        <v>0</v>
      </c>
      <c r="G523" s="62" t="s">
        <v>41</v>
      </c>
      <c r="H523" s="61">
        <v>17786</v>
      </c>
      <c r="N523" s="67" t="s">
        <v>42</v>
      </c>
    </row>
    <row r="524" spans="2:14" ht="17" x14ac:dyDescent="0.2">
      <c r="B524" s="138" t="s">
        <v>83</v>
      </c>
      <c r="C524" s="19" t="s">
        <v>40</v>
      </c>
      <c r="F524" s="34" t="s">
        <v>0</v>
      </c>
      <c r="G524" s="62" t="s">
        <v>41</v>
      </c>
      <c r="H524" s="61">
        <v>17786</v>
      </c>
      <c r="N524" s="67" t="s">
        <v>42</v>
      </c>
    </row>
    <row r="525" spans="2:14" ht="17" x14ac:dyDescent="0.2">
      <c r="B525" s="138" t="s">
        <v>84</v>
      </c>
      <c r="C525" s="19" t="s">
        <v>40</v>
      </c>
      <c r="F525" s="34" t="s">
        <v>0</v>
      </c>
      <c r="G525" s="62" t="s">
        <v>41</v>
      </c>
      <c r="H525" s="61">
        <v>17786</v>
      </c>
      <c r="N525" s="67" t="s">
        <v>42</v>
      </c>
    </row>
    <row r="526" spans="2:14" ht="17" x14ac:dyDescent="0.2">
      <c r="B526" s="139" t="s">
        <v>85</v>
      </c>
      <c r="C526" s="19" t="s">
        <v>40</v>
      </c>
      <c r="F526" s="34" t="s">
        <v>0</v>
      </c>
      <c r="G526" s="62" t="s">
        <v>41</v>
      </c>
      <c r="H526" s="61">
        <v>17786</v>
      </c>
      <c r="N526" s="67" t="s">
        <v>42</v>
      </c>
    </row>
    <row r="527" spans="2:14" ht="17" x14ac:dyDescent="0.2">
      <c r="B527" s="140" t="s">
        <v>86</v>
      </c>
      <c r="N527" s="67" t="s">
        <v>45</v>
      </c>
    </row>
    <row r="528" spans="2:14" ht="17" x14ac:dyDescent="0.2">
      <c r="B528" s="141" t="s">
        <v>87</v>
      </c>
      <c r="C528" s="19" t="s">
        <v>40</v>
      </c>
      <c r="F528" s="34" t="s">
        <v>0</v>
      </c>
      <c r="G528" s="62" t="s">
        <v>41</v>
      </c>
      <c r="H528" s="61">
        <v>17786</v>
      </c>
      <c r="N528" s="67" t="s">
        <v>42</v>
      </c>
    </row>
    <row r="529" spans="2:14" ht="32" x14ac:dyDescent="0.2">
      <c r="B529" s="140" t="s">
        <v>88</v>
      </c>
      <c r="C529" s="19"/>
      <c r="N529" s="67" t="s">
        <v>45</v>
      </c>
    </row>
    <row r="530" spans="2:14" ht="32" x14ac:dyDescent="0.2">
      <c r="B530" s="142" t="s">
        <v>89</v>
      </c>
      <c r="C530" s="19" t="s">
        <v>40</v>
      </c>
      <c r="F530" s="34" t="s">
        <v>0</v>
      </c>
      <c r="G530" s="62" t="s">
        <v>41</v>
      </c>
      <c r="H530" s="61">
        <v>17786</v>
      </c>
      <c r="N530" s="67" t="s">
        <v>42</v>
      </c>
    </row>
    <row r="531" spans="2:14" ht="17" x14ac:dyDescent="0.2">
      <c r="B531" s="140" t="s">
        <v>90</v>
      </c>
      <c r="C531" s="19"/>
      <c r="N531" s="67" t="s">
        <v>45</v>
      </c>
    </row>
    <row r="532" spans="2:14" ht="32" x14ac:dyDescent="0.2">
      <c r="B532" s="142" t="s">
        <v>91</v>
      </c>
      <c r="C532" s="19" t="s">
        <v>40</v>
      </c>
      <c r="F532" s="34" t="s">
        <v>92</v>
      </c>
      <c r="G532" s="62" t="s">
        <v>41</v>
      </c>
      <c r="H532" s="61">
        <v>17786</v>
      </c>
      <c r="N532" s="67" t="s">
        <v>42</v>
      </c>
    </row>
    <row r="533" spans="2:14" ht="17" x14ac:dyDescent="0.2">
      <c r="B533" s="140" t="s">
        <v>93</v>
      </c>
      <c r="C533" s="19"/>
      <c r="N533" s="67" t="s">
        <v>45</v>
      </c>
    </row>
    <row r="534" spans="2:14" ht="32" x14ac:dyDescent="0.2">
      <c r="B534" s="142" t="s">
        <v>94</v>
      </c>
      <c r="C534" s="19" t="s">
        <v>40</v>
      </c>
      <c r="F534" s="34" t="s">
        <v>92</v>
      </c>
      <c r="G534" s="62" t="s">
        <v>41</v>
      </c>
      <c r="H534" s="61">
        <v>17786</v>
      </c>
      <c r="N534" s="67" t="s">
        <v>42</v>
      </c>
    </row>
    <row r="535" spans="2:14" ht="48" x14ac:dyDescent="0.2">
      <c r="B535" s="143" t="s">
        <v>95</v>
      </c>
      <c r="C535" s="19" t="s">
        <v>40</v>
      </c>
      <c r="F535" s="34" t="s">
        <v>92</v>
      </c>
      <c r="G535" s="62" t="s">
        <v>41</v>
      </c>
      <c r="H535" s="61">
        <v>17786</v>
      </c>
      <c r="N535" s="67" t="s">
        <v>42</v>
      </c>
    </row>
    <row r="536" spans="2:14" ht="17" x14ac:dyDescent="0.2">
      <c r="B536" s="144" t="s">
        <v>96</v>
      </c>
      <c r="C536" s="19" t="s">
        <v>40</v>
      </c>
      <c r="F536" s="34" t="s">
        <v>92</v>
      </c>
      <c r="G536" s="62" t="s">
        <v>41</v>
      </c>
      <c r="H536" s="61">
        <v>17786</v>
      </c>
      <c r="N536" s="67" t="s">
        <v>42</v>
      </c>
    </row>
    <row r="537" spans="2:14" ht="32" x14ac:dyDescent="0.2">
      <c r="B537" s="143" t="s">
        <v>97</v>
      </c>
      <c r="C537" s="19" t="s">
        <v>40</v>
      </c>
      <c r="F537" s="34" t="s">
        <v>92</v>
      </c>
      <c r="G537" s="62" t="s">
        <v>41</v>
      </c>
      <c r="H537" s="61">
        <v>17786</v>
      </c>
      <c r="N537" s="67" t="s">
        <v>42</v>
      </c>
    </row>
    <row r="538" spans="2:14" ht="17" x14ac:dyDescent="0.2">
      <c r="B538" s="142" t="s">
        <v>98</v>
      </c>
      <c r="C538" s="19" t="s">
        <v>40</v>
      </c>
      <c r="F538" s="34" t="s">
        <v>92</v>
      </c>
      <c r="G538" s="62" t="s">
        <v>41</v>
      </c>
      <c r="H538" s="61">
        <v>17786</v>
      </c>
      <c r="N538" s="67" t="s">
        <v>42</v>
      </c>
    </row>
    <row r="539" spans="2:14" ht="17" x14ac:dyDescent="0.2">
      <c r="B539" s="144" t="s">
        <v>99</v>
      </c>
      <c r="C539" s="19" t="s">
        <v>40</v>
      </c>
      <c r="F539" s="34" t="s">
        <v>92</v>
      </c>
      <c r="G539" s="62" t="s">
        <v>41</v>
      </c>
      <c r="H539" s="61">
        <v>17786</v>
      </c>
      <c r="N539" s="67" t="s">
        <v>42</v>
      </c>
    </row>
    <row r="540" spans="2:14" ht="17" x14ac:dyDescent="0.2">
      <c r="B540" s="143" t="s">
        <v>100</v>
      </c>
      <c r="C540" s="19" t="s">
        <v>40</v>
      </c>
      <c r="F540" s="34" t="s">
        <v>92</v>
      </c>
      <c r="G540" s="62" t="s">
        <v>41</v>
      </c>
      <c r="H540" s="61">
        <v>17786</v>
      </c>
      <c r="N540" s="67" t="s">
        <v>42</v>
      </c>
    </row>
    <row r="541" spans="2:14" ht="17" x14ac:dyDescent="0.2">
      <c r="B541" s="140" t="s">
        <v>101</v>
      </c>
      <c r="N541" s="67" t="s">
        <v>45</v>
      </c>
    </row>
    <row r="542" spans="2:14" ht="17" x14ac:dyDescent="0.2">
      <c r="B542" s="141" t="s">
        <v>87</v>
      </c>
      <c r="C542" s="19" t="s">
        <v>40</v>
      </c>
      <c r="F542" s="34" t="s">
        <v>0</v>
      </c>
      <c r="G542" s="62" t="s">
        <v>41</v>
      </c>
      <c r="H542" s="61">
        <v>17786</v>
      </c>
      <c r="N542" s="67" t="s">
        <v>42</v>
      </c>
    </row>
    <row r="543" spans="2:14" ht="32" x14ac:dyDescent="0.2">
      <c r="B543" s="142" t="s">
        <v>102</v>
      </c>
      <c r="C543" s="19" t="s">
        <v>40</v>
      </c>
      <c r="F543" s="34" t="s">
        <v>0</v>
      </c>
      <c r="G543" s="62" t="s">
        <v>41</v>
      </c>
      <c r="H543" s="61">
        <v>17786</v>
      </c>
      <c r="N543" s="67" t="s">
        <v>42</v>
      </c>
    </row>
    <row r="544" spans="2:14" ht="48" x14ac:dyDescent="0.2">
      <c r="B544" s="143" t="s">
        <v>103</v>
      </c>
      <c r="C544" s="19" t="s">
        <v>40</v>
      </c>
      <c r="F544" s="34" t="s">
        <v>0</v>
      </c>
      <c r="G544" s="62" t="s">
        <v>41</v>
      </c>
      <c r="H544" s="61">
        <v>17786</v>
      </c>
      <c r="N544" s="67" t="s">
        <v>42</v>
      </c>
    </row>
    <row r="545" spans="2:14" ht="17" x14ac:dyDescent="0.2">
      <c r="B545" s="144" t="s">
        <v>96</v>
      </c>
      <c r="C545" s="19" t="s">
        <v>40</v>
      </c>
      <c r="F545" s="34" t="s">
        <v>0</v>
      </c>
      <c r="G545" s="62" t="s">
        <v>41</v>
      </c>
      <c r="H545" s="61">
        <v>17786</v>
      </c>
      <c r="N545" s="67" t="s">
        <v>42</v>
      </c>
    </row>
    <row r="546" spans="2:14" ht="32" x14ac:dyDescent="0.2">
      <c r="B546" s="143" t="s">
        <v>104</v>
      </c>
      <c r="C546" s="19" t="s">
        <v>40</v>
      </c>
      <c r="F546" s="34" t="s">
        <v>0</v>
      </c>
      <c r="G546" s="62" t="s">
        <v>41</v>
      </c>
      <c r="H546" s="61">
        <v>17786</v>
      </c>
      <c r="N546" s="67" t="s">
        <v>42</v>
      </c>
    </row>
    <row r="547" spans="2:14" ht="32" x14ac:dyDescent="0.2">
      <c r="B547" s="142" t="s">
        <v>105</v>
      </c>
      <c r="C547" s="19" t="s">
        <v>40</v>
      </c>
      <c r="F547" s="34" t="s">
        <v>0</v>
      </c>
      <c r="G547" s="62" t="s">
        <v>41</v>
      </c>
      <c r="H547" s="61">
        <v>17786</v>
      </c>
      <c r="N547" s="67" t="s">
        <v>42</v>
      </c>
    </row>
    <row r="548" spans="2:14" ht="17" x14ac:dyDescent="0.2">
      <c r="B548" s="144" t="s">
        <v>99</v>
      </c>
      <c r="C548" s="19" t="s">
        <v>40</v>
      </c>
      <c r="F548" s="34" t="s">
        <v>0</v>
      </c>
      <c r="G548" s="62" t="s">
        <v>41</v>
      </c>
      <c r="H548" s="61">
        <v>17786</v>
      </c>
      <c r="N548" s="67" t="s">
        <v>42</v>
      </c>
    </row>
    <row r="549" spans="2:14" ht="17" x14ac:dyDescent="0.2">
      <c r="B549" s="143" t="s">
        <v>106</v>
      </c>
      <c r="C549" s="19" t="s">
        <v>40</v>
      </c>
      <c r="F549" s="34" t="s">
        <v>0</v>
      </c>
      <c r="G549" s="62" t="s">
        <v>41</v>
      </c>
      <c r="H549" s="61">
        <v>17786</v>
      </c>
      <c r="N549" s="67" t="s">
        <v>42</v>
      </c>
    </row>
    <row r="550" spans="2:14" ht="17" x14ac:dyDescent="0.2">
      <c r="B550" s="140" t="s">
        <v>107</v>
      </c>
      <c r="N550" s="67" t="s">
        <v>45</v>
      </c>
    </row>
    <row r="551" spans="2:14" ht="17" x14ac:dyDescent="0.2">
      <c r="B551" s="141" t="s">
        <v>87</v>
      </c>
      <c r="C551" s="19" t="s">
        <v>40</v>
      </c>
      <c r="F551" s="34" t="s">
        <v>0</v>
      </c>
      <c r="G551" s="62" t="s">
        <v>41</v>
      </c>
      <c r="H551" s="61">
        <v>17786</v>
      </c>
      <c r="N551" s="67" t="s">
        <v>42</v>
      </c>
    </row>
    <row r="552" spans="2:14" ht="32" x14ac:dyDescent="0.2">
      <c r="B552" s="142" t="s">
        <v>102</v>
      </c>
      <c r="C552" s="19" t="s">
        <v>40</v>
      </c>
      <c r="F552" s="34" t="s">
        <v>0</v>
      </c>
      <c r="G552" s="62" t="s">
        <v>41</v>
      </c>
      <c r="H552" s="61">
        <v>17786</v>
      </c>
      <c r="N552" s="67" t="s">
        <v>42</v>
      </c>
    </row>
    <row r="553" spans="2:14" ht="48" x14ac:dyDescent="0.2">
      <c r="B553" s="143" t="s">
        <v>108</v>
      </c>
      <c r="C553" s="19" t="s">
        <v>40</v>
      </c>
      <c r="F553" s="34" t="s">
        <v>0</v>
      </c>
      <c r="G553" s="62" t="s">
        <v>41</v>
      </c>
      <c r="H553" s="61">
        <v>17786</v>
      </c>
      <c r="N553" s="67" t="s">
        <v>42</v>
      </c>
    </row>
    <row r="554" spans="2:14" ht="17" x14ac:dyDescent="0.2">
      <c r="B554" s="144" t="s">
        <v>96</v>
      </c>
      <c r="C554" s="19" t="s">
        <v>40</v>
      </c>
      <c r="F554" s="34" t="s">
        <v>0</v>
      </c>
      <c r="G554" s="62" t="s">
        <v>41</v>
      </c>
      <c r="H554" s="61">
        <v>17786</v>
      </c>
      <c r="N554" s="67" t="s">
        <v>42</v>
      </c>
    </row>
    <row r="555" spans="2:14" ht="32" x14ac:dyDescent="0.2">
      <c r="B555" s="143" t="s">
        <v>109</v>
      </c>
      <c r="C555" s="19" t="s">
        <v>40</v>
      </c>
      <c r="F555" s="34" t="s">
        <v>0</v>
      </c>
      <c r="G555" s="62" t="s">
        <v>41</v>
      </c>
      <c r="H555" s="61">
        <v>17786</v>
      </c>
      <c r="N555" s="67" t="s">
        <v>42</v>
      </c>
    </row>
    <row r="556" spans="2:14" ht="32" x14ac:dyDescent="0.2">
      <c r="B556" s="142" t="s">
        <v>110</v>
      </c>
      <c r="C556" s="19" t="s">
        <v>40</v>
      </c>
      <c r="F556" s="34" t="s">
        <v>0</v>
      </c>
      <c r="G556" s="62" t="s">
        <v>41</v>
      </c>
      <c r="H556" s="61">
        <v>17786</v>
      </c>
      <c r="N556" s="67" t="s">
        <v>42</v>
      </c>
    </row>
    <row r="557" spans="2:14" ht="17" x14ac:dyDescent="0.2">
      <c r="B557" s="144" t="s">
        <v>99</v>
      </c>
      <c r="C557" s="19" t="s">
        <v>40</v>
      </c>
      <c r="F557" s="34" t="s">
        <v>0</v>
      </c>
      <c r="G557" s="62" t="s">
        <v>41</v>
      </c>
      <c r="H557" s="61">
        <v>17786</v>
      </c>
      <c r="N557" s="67" t="s">
        <v>42</v>
      </c>
    </row>
    <row r="558" spans="2:14" ht="17" x14ac:dyDescent="0.2">
      <c r="B558" s="143" t="s">
        <v>111</v>
      </c>
      <c r="C558" s="19" t="s">
        <v>40</v>
      </c>
      <c r="F558" s="34" t="s">
        <v>0</v>
      </c>
      <c r="G558" s="62" t="s">
        <v>41</v>
      </c>
      <c r="H558" s="61">
        <v>17786</v>
      </c>
      <c r="N558" s="67" t="s">
        <v>42</v>
      </c>
    </row>
    <row r="559" spans="2:14" ht="17" x14ac:dyDescent="0.2">
      <c r="B559" s="140" t="s">
        <v>112</v>
      </c>
      <c r="N559" s="67" t="s">
        <v>45</v>
      </c>
    </row>
    <row r="560" spans="2:14" ht="17" x14ac:dyDescent="0.2">
      <c r="B560" s="141" t="s">
        <v>87</v>
      </c>
      <c r="C560" s="19" t="s">
        <v>40</v>
      </c>
      <c r="F560" s="34" t="s">
        <v>0</v>
      </c>
      <c r="G560" s="62" t="s">
        <v>41</v>
      </c>
      <c r="H560" s="61">
        <v>17786</v>
      </c>
      <c r="N560" s="67" t="s">
        <v>42</v>
      </c>
    </row>
    <row r="561" spans="2:14" ht="32" x14ac:dyDescent="0.2">
      <c r="B561" s="142" t="s">
        <v>102</v>
      </c>
      <c r="C561" s="19" t="s">
        <v>40</v>
      </c>
      <c r="F561" s="34" t="s">
        <v>0</v>
      </c>
      <c r="G561" s="62" t="s">
        <v>41</v>
      </c>
      <c r="H561" s="61">
        <v>17786</v>
      </c>
      <c r="N561" s="67" t="s">
        <v>42</v>
      </c>
    </row>
    <row r="562" spans="2:14" ht="17" x14ac:dyDescent="0.2">
      <c r="B562" s="143" t="s">
        <v>199</v>
      </c>
      <c r="C562" s="19" t="s">
        <v>40</v>
      </c>
      <c r="F562" s="34" t="s">
        <v>0</v>
      </c>
      <c r="G562" s="62" t="s">
        <v>41</v>
      </c>
      <c r="H562" s="61">
        <v>17786</v>
      </c>
      <c r="N562" s="67" t="s">
        <v>42</v>
      </c>
    </row>
    <row r="563" spans="2:14" ht="17" x14ac:dyDescent="0.2">
      <c r="B563" s="144" t="s">
        <v>96</v>
      </c>
      <c r="C563" s="19" t="s">
        <v>40</v>
      </c>
      <c r="F563" s="34" t="s">
        <v>0</v>
      </c>
      <c r="G563" s="62" t="s">
        <v>41</v>
      </c>
      <c r="H563" s="61">
        <v>17786</v>
      </c>
      <c r="N563" s="67" t="s">
        <v>42</v>
      </c>
    </row>
    <row r="564" spans="2:14" ht="32" x14ac:dyDescent="0.2">
      <c r="B564" s="143" t="s">
        <v>97</v>
      </c>
      <c r="C564" s="19" t="s">
        <v>40</v>
      </c>
      <c r="F564" s="34" t="s">
        <v>0</v>
      </c>
      <c r="G564" s="62" t="s">
        <v>41</v>
      </c>
      <c r="H564" s="61">
        <v>17786</v>
      </c>
      <c r="N564" s="67" t="s">
        <v>42</v>
      </c>
    </row>
    <row r="565" spans="2:14" ht="32" x14ac:dyDescent="0.2">
      <c r="B565" s="142" t="s">
        <v>114</v>
      </c>
      <c r="C565" s="19" t="s">
        <v>40</v>
      </c>
      <c r="F565" s="34" t="s">
        <v>0</v>
      </c>
      <c r="G565" s="62" t="s">
        <v>41</v>
      </c>
      <c r="H565" s="61">
        <v>17786</v>
      </c>
      <c r="N565" s="67" t="s">
        <v>42</v>
      </c>
    </row>
    <row r="566" spans="2:14" ht="17" x14ac:dyDescent="0.2">
      <c r="B566" s="144" t="s">
        <v>99</v>
      </c>
      <c r="C566" s="19" t="s">
        <v>40</v>
      </c>
      <c r="F566" s="34" t="s">
        <v>0</v>
      </c>
      <c r="G566" s="62" t="s">
        <v>41</v>
      </c>
      <c r="H566" s="61">
        <v>17786</v>
      </c>
      <c r="N566" s="67" t="s">
        <v>42</v>
      </c>
    </row>
    <row r="567" spans="2:14" ht="17" x14ac:dyDescent="0.2">
      <c r="B567" s="143" t="s">
        <v>115</v>
      </c>
      <c r="C567" s="19" t="s">
        <v>40</v>
      </c>
      <c r="F567" s="34" t="s">
        <v>0</v>
      </c>
      <c r="G567" s="62" t="s">
        <v>41</v>
      </c>
      <c r="H567" s="61">
        <v>17786</v>
      </c>
      <c r="N567" s="67" t="s">
        <v>42</v>
      </c>
    </row>
    <row r="568" spans="2:14" ht="34" x14ac:dyDescent="0.2">
      <c r="B568" s="132" t="s">
        <v>116</v>
      </c>
      <c r="N568" s="67" t="s">
        <v>45</v>
      </c>
    </row>
    <row r="569" spans="2:14" ht="64" x14ac:dyDescent="0.2">
      <c r="B569" s="143" t="s">
        <v>117</v>
      </c>
      <c r="C569" s="19" t="s">
        <v>40</v>
      </c>
      <c r="F569" s="34" t="s">
        <v>92</v>
      </c>
      <c r="G569" s="62" t="s">
        <v>41</v>
      </c>
      <c r="H569" s="61">
        <v>17786</v>
      </c>
      <c r="N569" s="67" t="s">
        <v>42</v>
      </c>
    </row>
    <row r="570" spans="2:14" ht="64" x14ac:dyDescent="0.2">
      <c r="B570" s="143" t="s">
        <v>118</v>
      </c>
      <c r="C570" s="19" t="s">
        <v>40</v>
      </c>
      <c r="F570" s="34" t="s">
        <v>92</v>
      </c>
      <c r="G570" s="62" t="s">
        <v>41</v>
      </c>
      <c r="H570" s="61">
        <v>17786</v>
      </c>
      <c r="N570" s="67" t="s">
        <v>42</v>
      </c>
    </row>
    <row r="571" spans="2:14" ht="17" x14ac:dyDescent="0.2">
      <c r="B571" s="143" t="s">
        <v>119</v>
      </c>
      <c r="C571" s="19" t="s">
        <v>40</v>
      </c>
      <c r="F571" s="210" t="s">
        <v>92</v>
      </c>
      <c r="G571" s="62" t="s">
        <v>41</v>
      </c>
      <c r="H571" s="61">
        <v>17786</v>
      </c>
      <c r="N571" s="67" t="s">
        <v>42</v>
      </c>
    </row>
    <row r="572" spans="2:14" ht="32" x14ac:dyDescent="0.2">
      <c r="B572" s="143" t="s">
        <v>120</v>
      </c>
      <c r="C572" s="19" t="s">
        <v>40</v>
      </c>
      <c r="F572" s="210" t="s">
        <v>92</v>
      </c>
      <c r="G572" s="62" t="s">
        <v>41</v>
      </c>
      <c r="H572" s="61">
        <v>17786</v>
      </c>
      <c r="N572" s="67" t="s">
        <v>42</v>
      </c>
    </row>
    <row r="573" spans="2:14" ht="17" x14ac:dyDescent="0.2">
      <c r="B573" s="128" t="s">
        <v>121</v>
      </c>
      <c r="C573" s="19"/>
      <c r="N573" s="67" t="s">
        <v>45</v>
      </c>
    </row>
    <row r="574" spans="2:14" ht="17" x14ac:dyDescent="0.2">
      <c r="B574" s="145" t="s">
        <v>122</v>
      </c>
      <c r="C574" s="19" t="s">
        <v>40</v>
      </c>
      <c r="F574" s="34" t="s">
        <v>0</v>
      </c>
      <c r="G574" s="62" t="s">
        <v>41</v>
      </c>
      <c r="H574" s="61">
        <v>17786</v>
      </c>
      <c r="N574" s="67" t="s">
        <v>42</v>
      </c>
    </row>
    <row r="575" spans="2:14" ht="17" x14ac:dyDescent="0.2">
      <c r="B575" s="139" t="s">
        <v>123</v>
      </c>
      <c r="C575" s="19" t="s">
        <v>40</v>
      </c>
      <c r="F575" s="34" t="s">
        <v>0</v>
      </c>
      <c r="G575" s="62" t="s">
        <v>41</v>
      </c>
      <c r="H575" s="61">
        <v>17786</v>
      </c>
      <c r="N575" s="67" t="s">
        <v>42</v>
      </c>
    </row>
    <row r="576" spans="2:14" ht="17" x14ac:dyDescent="0.2">
      <c r="B576" s="139" t="s">
        <v>124</v>
      </c>
      <c r="C576" s="19" t="s">
        <v>40</v>
      </c>
      <c r="F576" s="34" t="s">
        <v>0</v>
      </c>
      <c r="G576" s="62" t="s">
        <v>41</v>
      </c>
      <c r="H576" s="61">
        <v>17786</v>
      </c>
      <c r="N576" s="67" t="s">
        <v>42</v>
      </c>
    </row>
    <row r="577" spans="2:14" ht="17" x14ac:dyDescent="0.2">
      <c r="B577" s="139" t="s">
        <v>125</v>
      </c>
      <c r="C577" s="19" t="s">
        <v>40</v>
      </c>
      <c r="F577" s="34" t="s">
        <v>0</v>
      </c>
      <c r="G577" s="62" t="s">
        <v>41</v>
      </c>
      <c r="H577" s="61">
        <v>17786</v>
      </c>
      <c r="N577" s="67" t="s">
        <v>42</v>
      </c>
    </row>
    <row r="578" spans="2:14" ht="17" x14ac:dyDescent="0.2">
      <c r="B578" s="145" t="s">
        <v>126</v>
      </c>
      <c r="C578" s="19" t="s">
        <v>40</v>
      </c>
      <c r="F578" s="34" t="s">
        <v>0</v>
      </c>
      <c r="G578" s="62" t="s">
        <v>41</v>
      </c>
      <c r="H578" s="61">
        <v>17786</v>
      </c>
      <c r="N578" s="67" t="s">
        <v>42</v>
      </c>
    </row>
    <row r="579" spans="2:14" ht="17" x14ac:dyDescent="0.2">
      <c r="B579" s="138" t="s">
        <v>127</v>
      </c>
      <c r="C579" s="19" t="s">
        <v>40</v>
      </c>
      <c r="F579" s="34" t="s">
        <v>0</v>
      </c>
      <c r="G579" s="62" t="s">
        <v>41</v>
      </c>
      <c r="H579" s="61">
        <v>17786</v>
      </c>
      <c r="N579" s="67" t="s">
        <v>42</v>
      </c>
    </row>
    <row r="580" spans="2:14" ht="17" x14ac:dyDescent="0.2">
      <c r="B580" s="138" t="s">
        <v>128</v>
      </c>
      <c r="C580" s="19" t="s">
        <v>40</v>
      </c>
      <c r="F580" s="34" t="s">
        <v>0</v>
      </c>
      <c r="G580" s="62" t="s">
        <v>41</v>
      </c>
      <c r="H580" s="61">
        <v>17786</v>
      </c>
      <c r="N580" s="67" t="s">
        <v>42</v>
      </c>
    </row>
    <row r="581" spans="2:14" ht="17" x14ac:dyDescent="0.2">
      <c r="B581" s="146" t="s">
        <v>129</v>
      </c>
      <c r="C581" s="19" t="s">
        <v>40</v>
      </c>
      <c r="F581" s="34" t="s">
        <v>0</v>
      </c>
      <c r="G581" s="62" t="s">
        <v>41</v>
      </c>
      <c r="H581" s="61">
        <v>17786</v>
      </c>
      <c r="N581" s="67" t="s">
        <v>42</v>
      </c>
    </row>
    <row r="582" spans="2:14" ht="17" x14ac:dyDescent="0.2">
      <c r="B582" s="138" t="s">
        <v>130</v>
      </c>
      <c r="C582" s="19" t="s">
        <v>40</v>
      </c>
      <c r="F582" s="34" t="s">
        <v>0</v>
      </c>
      <c r="G582" s="62" t="s">
        <v>41</v>
      </c>
      <c r="H582" s="61">
        <v>17786</v>
      </c>
      <c r="N582" s="67" t="s">
        <v>42</v>
      </c>
    </row>
    <row r="583" spans="2:14" ht="17" x14ac:dyDescent="0.2">
      <c r="B583" s="147" t="s">
        <v>131</v>
      </c>
      <c r="C583" s="19" t="s">
        <v>40</v>
      </c>
      <c r="F583" s="34" t="s">
        <v>0</v>
      </c>
      <c r="G583" s="62" t="s">
        <v>41</v>
      </c>
      <c r="H583" s="61">
        <v>17786</v>
      </c>
      <c r="N583" s="67" t="s">
        <v>42</v>
      </c>
    </row>
    <row r="584" spans="2:14" ht="17" x14ac:dyDescent="0.2">
      <c r="B584" s="147" t="s">
        <v>132</v>
      </c>
      <c r="C584" s="19" t="s">
        <v>40</v>
      </c>
      <c r="F584" s="34" t="s">
        <v>0</v>
      </c>
      <c r="G584" s="62" t="s">
        <v>41</v>
      </c>
      <c r="H584" s="61">
        <v>17786</v>
      </c>
      <c r="N584" s="67" t="s">
        <v>42</v>
      </c>
    </row>
    <row r="585" spans="2:14" ht="17" x14ac:dyDescent="0.2">
      <c r="B585" s="147" t="s">
        <v>133</v>
      </c>
      <c r="C585" s="19" t="s">
        <v>40</v>
      </c>
      <c r="F585" s="34" t="s">
        <v>0</v>
      </c>
      <c r="G585" s="62" t="s">
        <v>41</v>
      </c>
      <c r="H585" s="61">
        <v>17786</v>
      </c>
      <c r="N585" s="67" t="s">
        <v>42</v>
      </c>
    </row>
    <row r="586" spans="2:14" ht="17" x14ac:dyDescent="0.2">
      <c r="B586" s="147" t="s">
        <v>134</v>
      </c>
      <c r="C586" s="19" t="s">
        <v>40</v>
      </c>
      <c r="F586" s="34" t="s">
        <v>0</v>
      </c>
      <c r="G586" s="62" t="s">
        <v>41</v>
      </c>
      <c r="H586" s="61">
        <v>17786</v>
      </c>
      <c r="N586" s="67" t="s">
        <v>42</v>
      </c>
    </row>
    <row r="587" spans="2:14" ht="17" x14ac:dyDescent="0.2">
      <c r="B587" s="147" t="s">
        <v>135</v>
      </c>
      <c r="C587" s="19" t="s">
        <v>40</v>
      </c>
      <c r="F587" s="34" t="s">
        <v>0</v>
      </c>
      <c r="G587" s="62" t="s">
        <v>41</v>
      </c>
      <c r="H587" s="61">
        <v>17786</v>
      </c>
      <c r="N587" s="67" t="s">
        <v>42</v>
      </c>
    </row>
    <row r="588" spans="2:14" ht="17" x14ac:dyDescent="0.2">
      <c r="B588" s="147" t="s">
        <v>136</v>
      </c>
      <c r="C588" s="19" t="s">
        <v>40</v>
      </c>
      <c r="F588" s="34" t="s">
        <v>0</v>
      </c>
      <c r="G588" s="62" t="s">
        <v>41</v>
      </c>
      <c r="H588" s="61">
        <v>17786</v>
      </c>
      <c r="N588" s="67" t="s">
        <v>42</v>
      </c>
    </row>
    <row r="589" spans="2:14" ht="23" x14ac:dyDescent="0.3">
      <c r="B589" s="148" t="s">
        <v>137</v>
      </c>
      <c r="C589" s="19"/>
      <c r="N589" s="67" t="s">
        <v>45</v>
      </c>
    </row>
    <row r="590" spans="2:14" ht="23" x14ac:dyDescent="0.3">
      <c r="B590" s="148" t="s">
        <v>138</v>
      </c>
      <c r="C590" s="19"/>
      <c r="N590" s="67" t="s">
        <v>45</v>
      </c>
    </row>
    <row r="591" spans="2:14" ht="17" x14ac:dyDescent="0.2">
      <c r="B591" s="168" t="s">
        <v>139</v>
      </c>
      <c r="C591" s="19" t="s">
        <v>40</v>
      </c>
      <c r="F591" s="34" t="s">
        <v>0</v>
      </c>
      <c r="G591" s="62" t="s">
        <v>41</v>
      </c>
      <c r="H591" s="61">
        <v>17786</v>
      </c>
      <c r="N591" s="67" t="s">
        <v>42</v>
      </c>
    </row>
    <row r="592" spans="2:14" ht="17" x14ac:dyDescent="0.2">
      <c r="B592" s="147" t="s">
        <v>140</v>
      </c>
      <c r="C592" s="19" t="s">
        <v>40</v>
      </c>
      <c r="F592" s="34" t="s">
        <v>0</v>
      </c>
      <c r="G592" s="62" t="s">
        <v>41</v>
      </c>
      <c r="H592" s="61">
        <v>17786</v>
      </c>
      <c r="N592" s="67" t="s">
        <v>42</v>
      </c>
    </row>
    <row r="593" spans="2:14" ht="17" x14ac:dyDescent="0.2">
      <c r="B593" s="147" t="s">
        <v>141</v>
      </c>
      <c r="C593" s="19" t="s">
        <v>40</v>
      </c>
      <c r="F593" s="34" t="s">
        <v>0</v>
      </c>
      <c r="G593" s="62" t="s">
        <v>41</v>
      </c>
      <c r="H593" s="61">
        <v>17786</v>
      </c>
      <c r="N593" s="67" t="s">
        <v>42</v>
      </c>
    </row>
    <row r="594" spans="2:14" ht="17" x14ac:dyDescent="0.2">
      <c r="B594" s="147" t="s">
        <v>142</v>
      </c>
      <c r="C594" s="19" t="s">
        <v>40</v>
      </c>
      <c r="F594" s="34" t="s">
        <v>0</v>
      </c>
      <c r="G594" s="62" t="s">
        <v>41</v>
      </c>
      <c r="H594" s="61">
        <v>17786</v>
      </c>
      <c r="N594" s="67" t="s">
        <v>42</v>
      </c>
    </row>
    <row r="595" spans="2:14" ht="17" x14ac:dyDescent="0.2">
      <c r="B595" s="147" t="s">
        <v>143</v>
      </c>
      <c r="C595" s="19" t="s">
        <v>40</v>
      </c>
      <c r="F595" s="34" t="s">
        <v>0</v>
      </c>
      <c r="G595" s="62" t="s">
        <v>41</v>
      </c>
      <c r="H595" s="61">
        <v>17786</v>
      </c>
      <c r="N595" s="67" t="s">
        <v>42</v>
      </c>
    </row>
    <row r="596" spans="2:14" ht="23" x14ac:dyDescent="0.3">
      <c r="B596" s="148" t="s">
        <v>144</v>
      </c>
      <c r="C596" s="19"/>
      <c r="N596" s="67" t="s">
        <v>45</v>
      </c>
    </row>
    <row r="597" spans="2:14" ht="17" x14ac:dyDescent="0.2">
      <c r="B597" s="168" t="s">
        <v>145</v>
      </c>
      <c r="C597" s="19" t="s">
        <v>40</v>
      </c>
      <c r="F597" s="34" t="s">
        <v>0</v>
      </c>
      <c r="G597" s="62" t="s">
        <v>41</v>
      </c>
      <c r="H597" s="61">
        <v>17786</v>
      </c>
      <c r="N597" s="67" t="s">
        <v>42</v>
      </c>
    </row>
    <row r="598" spans="2:14" ht="17" x14ac:dyDescent="0.2">
      <c r="B598" s="168" t="s">
        <v>146</v>
      </c>
      <c r="C598" s="19" t="s">
        <v>40</v>
      </c>
      <c r="F598" s="34" t="s">
        <v>0</v>
      </c>
      <c r="G598" s="62" t="s">
        <v>41</v>
      </c>
      <c r="H598" s="61">
        <v>17786</v>
      </c>
      <c r="N598" s="67" t="s">
        <v>42</v>
      </c>
    </row>
    <row r="599" spans="2:14" ht="17" x14ac:dyDescent="0.2">
      <c r="B599" s="168" t="s">
        <v>147</v>
      </c>
      <c r="C599" s="19" t="s">
        <v>40</v>
      </c>
      <c r="F599" s="34" t="s">
        <v>0</v>
      </c>
      <c r="G599" s="62" t="s">
        <v>41</v>
      </c>
      <c r="H599" s="61">
        <v>17786</v>
      </c>
      <c r="N599" s="67" t="s">
        <v>42</v>
      </c>
    </row>
    <row r="600" spans="2:14" ht="17" x14ac:dyDescent="0.2">
      <c r="B600" s="168" t="s">
        <v>148</v>
      </c>
      <c r="C600" s="19" t="s">
        <v>40</v>
      </c>
      <c r="F600" s="34" t="s">
        <v>0</v>
      </c>
      <c r="G600" s="62" t="s">
        <v>41</v>
      </c>
      <c r="H600" s="61">
        <v>17786</v>
      </c>
      <c r="N600" s="67" t="s">
        <v>42</v>
      </c>
    </row>
    <row r="601" spans="2:14" ht="17" x14ac:dyDescent="0.2">
      <c r="B601" s="168" t="s">
        <v>149</v>
      </c>
      <c r="C601" s="19" t="s">
        <v>40</v>
      </c>
      <c r="F601" s="34" t="s">
        <v>0</v>
      </c>
      <c r="G601" s="62" t="s">
        <v>41</v>
      </c>
      <c r="H601" s="61">
        <v>17786</v>
      </c>
      <c r="N601" s="67" t="s">
        <v>42</v>
      </c>
    </row>
    <row r="602" spans="2:14" ht="20" x14ac:dyDescent="0.25">
      <c r="B602" s="149" t="s">
        <v>150</v>
      </c>
      <c r="C602" s="19"/>
      <c r="N602" s="67" t="s">
        <v>45</v>
      </c>
    </row>
    <row r="603" spans="2:14" ht="17" x14ac:dyDescent="0.2">
      <c r="B603" s="150" t="s">
        <v>151</v>
      </c>
      <c r="C603" s="19"/>
      <c r="N603" s="67" t="s">
        <v>45</v>
      </c>
    </row>
    <row r="604" spans="2:14" ht="17" x14ac:dyDescent="0.2">
      <c r="B604" s="151" t="s">
        <v>152</v>
      </c>
      <c r="C604" s="19" t="s">
        <v>40</v>
      </c>
      <c r="F604" s="34" t="s">
        <v>0</v>
      </c>
      <c r="G604" s="62" t="s">
        <v>41</v>
      </c>
      <c r="H604" s="61">
        <v>17786</v>
      </c>
      <c r="N604" s="67" t="s">
        <v>42</v>
      </c>
    </row>
    <row r="605" spans="2:14" ht="17" x14ac:dyDescent="0.2">
      <c r="B605" s="151" t="s">
        <v>153</v>
      </c>
      <c r="C605" s="19" t="s">
        <v>40</v>
      </c>
      <c r="F605" s="34" t="s">
        <v>0</v>
      </c>
      <c r="G605" s="62" t="s">
        <v>41</v>
      </c>
      <c r="H605" s="61">
        <v>17786</v>
      </c>
      <c r="N605" s="67" t="s">
        <v>42</v>
      </c>
    </row>
    <row r="606" spans="2:14" ht="17" x14ac:dyDescent="0.2">
      <c r="B606" s="152" t="s">
        <v>154</v>
      </c>
      <c r="C606" s="19" t="s">
        <v>40</v>
      </c>
      <c r="F606" s="34" t="s">
        <v>0</v>
      </c>
      <c r="G606" s="62" t="s">
        <v>41</v>
      </c>
      <c r="H606" s="61">
        <v>17786</v>
      </c>
      <c r="N606" s="67" t="s">
        <v>42</v>
      </c>
    </row>
    <row r="607" spans="2:14" ht="17" x14ac:dyDescent="0.2">
      <c r="B607" s="143" t="s">
        <v>155</v>
      </c>
      <c r="C607" s="19" t="s">
        <v>40</v>
      </c>
      <c r="F607" s="34" t="s">
        <v>0</v>
      </c>
      <c r="G607" s="62" t="s">
        <v>41</v>
      </c>
      <c r="H607" s="61">
        <v>17786</v>
      </c>
      <c r="N607" s="67" t="s">
        <v>42</v>
      </c>
    </row>
    <row r="608" spans="2:14" ht="17" x14ac:dyDescent="0.2">
      <c r="B608" s="153" t="s">
        <v>156</v>
      </c>
      <c r="N608" s="67" t="s">
        <v>45</v>
      </c>
    </row>
    <row r="609" spans="2:14" ht="17" x14ac:dyDescent="0.2">
      <c r="B609" s="153" t="s">
        <v>157</v>
      </c>
      <c r="C609" s="19"/>
      <c r="N609" s="67" t="s">
        <v>45</v>
      </c>
    </row>
    <row r="610" spans="2:14" ht="17" x14ac:dyDescent="0.2">
      <c r="B610" s="154" t="s">
        <v>158</v>
      </c>
      <c r="C610" s="19" t="s">
        <v>40</v>
      </c>
      <c r="F610" s="34" t="s">
        <v>0</v>
      </c>
      <c r="G610" s="62" t="s">
        <v>41</v>
      </c>
      <c r="H610" s="61">
        <v>17786</v>
      </c>
      <c r="N610" s="67" t="s">
        <v>42</v>
      </c>
    </row>
    <row r="611" spans="2:14" ht="17" x14ac:dyDescent="0.2">
      <c r="B611" s="155" t="s">
        <v>159</v>
      </c>
      <c r="C611" s="19" t="s">
        <v>40</v>
      </c>
      <c r="F611" s="34" t="s">
        <v>0</v>
      </c>
      <c r="G611" s="62" t="s">
        <v>41</v>
      </c>
      <c r="H611" s="61">
        <v>17786</v>
      </c>
      <c r="N611" s="67" t="s">
        <v>42</v>
      </c>
    </row>
    <row r="612" spans="2:14" ht="17" x14ac:dyDescent="0.2">
      <c r="B612" s="151" t="s">
        <v>160</v>
      </c>
      <c r="C612" s="19" t="s">
        <v>40</v>
      </c>
      <c r="F612" s="34" t="s">
        <v>0</v>
      </c>
      <c r="G612" s="62" t="s">
        <v>41</v>
      </c>
      <c r="H612" s="61">
        <v>17786</v>
      </c>
      <c r="N612" s="67" t="s">
        <v>42</v>
      </c>
    </row>
    <row r="613" spans="2:14" ht="17" x14ac:dyDescent="0.2">
      <c r="B613" s="153" t="s">
        <v>161</v>
      </c>
      <c r="C613" s="19"/>
      <c r="N613" s="67" t="s">
        <v>45</v>
      </c>
    </row>
    <row r="614" spans="2:14" ht="17" x14ac:dyDescent="0.2">
      <c r="B614" s="156" t="s">
        <v>162</v>
      </c>
      <c r="C614" s="19"/>
      <c r="N614" s="67" t="s">
        <v>45</v>
      </c>
    </row>
    <row r="615" spans="2:14" ht="48" x14ac:dyDescent="0.2">
      <c r="B615" s="151" t="s">
        <v>163</v>
      </c>
      <c r="C615" s="19" t="s">
        <v>40</v>
      </c>
      <c r="F615" s="34" t="s">
        <v>0</v>
      </c>
      <c r="G615" s="62" t="s">
        <v>41</v>
      </c>
      <c r="H615" s="61">
        <v>17786</v>
      </c>
      <c r="N615" s="67" t="s">
        <v>42</v>
      </c>
    </row>
    <row r="616" spans="2:14" ht="17" x14ac:dyDescent="0.2">
      <c r="B616" s="138" t="s">
        <v>164</v>
      </c>
      <c r="C616" s="19" t="s">
        <v>40</v>
      </c>
      <c r="F616" s="34" t="s">
        <v>0</v>
      </c>
      <c r="G616" s="62" t="s">
        <v>41</v>
      </c>
      <c r="H616" s="61">
        <v>17786</v>
      </c>
      <c r="N616" s="67" t="s">
        <v>42</v>
      </c>
    </row>
    <row r="617" spans="2:14" ht="17" x14ac:dyDescent="0.2">
      <c r="B617" s="156" t="s">
        <v>165</v>
      </c>
      <c r="C617" s="19"/>
      <c r="N617" s="67" t="s">
        <v>45</v>
      </c>
    </row>
    <row r="618" spans="2:14" ht="48" x14ac:dyDescent="0.2">
      <c r="B618" s="151" t="s">
        <v>166</v>
      </c>
      <c r="C618" s="19" t="s">
        <v>40</v>
      </c>
      <c r="F618" s="34" t="s">
        <v>0</v>
      </c>
      <c r="G618" s="62" t="s">
        <v>41</v>
      </c>
      <c r="H618" s="61">
        <v>17786</v>
      </c>
      <c r="N618" s="67" t="s">
        <v>42</v>
      </c>
    </row>
    <row r="619" spans="2:14" ht="17" x14ac:dyDescent="0.2">
      <c r="B619" s="138" t="s">
        <v>167</v>
      </c>
      <c r="C619" s="19" t="s">
        <v>40</v>
      </c>
      <c r="F619" s="34" t="s">
        <v>0</v>
      </c>
      <c r="G619" s="62" t="s">
        <v>41</v>
      </c>
      <c r="H619" s="61">
        <v>17786</v>
      </c>
      <c r="N619" s="67" t="s">
        <v>42</v>
      </c>
    </row>
    <row r="620" spans="2:14" ht="17" x14ac:dyDescent="0.2">
      <c r="B620" s="157" t="s">
        <v>168</v>
      </c>
      <c r="N620" s="67" t="s">
        <v>45</v>
      </c>
    </row>
    <row r="621" spans="2:14" ht="51" x14ac:dyDescent="0.2">
      <c r="B621" s="158" t="s">
        <v>169</v>
      </c>
      <c r="C621" s="19" t="s">
        <v>40</v>
      </c>
      <c r="F621" s="34" t="s">
        <v>0</v>
      </c>
      <c r="G621" s="62" t="s">
        <v>41</v>
      </c>
      <c r="H621" s="61">
        <v>17786</v>
      </c>
      <c r="N621" s="67" t="s">
        <v>42</v>
      </c>
    </row>
    <row r="622" spans="2:14" ht="17" x14ac:dyDescent="0.2">
      <c r="B622" s="159" t="s">
        <v>170</v>
      </c>
      <c r="C622" s="19" t="s">
        <v>40</v>
      </c>
      <c r="F622" s="34" t="s">
        <v>0</v>
      </c>
      <c r="G622" s="62" t="s">
        <v>41</v>
      </c>
      <c r="H622" s="61">
        <v>17786</v>
      </c>
      <c r="N622" s="67" t="s">
        <v>42</v>
      </c>
    </row>
    <row r="623" spans="2:14" ht="17" x14ac:dyDescent="0.2">
      <c r="B623" s="157" t="s">
        <v>171</v>
      </c>
      <c r="C623" s="19"/>
      <c r="N623" s="67" t="s">
        <v>45</v>
      </c>
    </row>
    <row r="624" spans="2:14" ht="48" x14ac:dyDescent="0.2">
      <c r="B624" s="144" t="s">
        <v>172</v>
      </c>
      <c r="C624" s="19" t="s">
        <v>40</v>
      </c>
      <c r="F624" s="34" t="s">
        <v>0</v>
      </c>
      <c r="G624" s="62" t="s">
        <v>41</v>
      </c>
      <c r="H624" s="61">
        <v>17786</v>
      </c>
      <c r="N624" s="67" t="s">
        <v>42</v>
      </c>
    </row>
    <row r="625" spans="2:14" ht="17" x14ac:dyDescent="0.2">
      <c r="B625" s="160" t="s">
        <v>173</v>
      </c>
      <c r="C625" s="19" t="s">
        <v>40</v>
      </c>
      <c r="F625" s="34" t="s">
        <v>0</v>
      </c>
      <c r="G625" s="62" t="s">
        <v>41</v>
      </c>
      <c r="H625" s="61">
        <v>17786</v>
      </c>
      <c r="N625" s="67" t="s">
        <v>42</v>
      </c>
    </row>
    <row r="626" spans="2:14" ht="17" x14ac:dyDescent="0.2">
      <c r="B626" s="161" t="s">
        <v>174</v>
      </c>
      <c r="N626" s="67" t="s">
        <v>45</v>
      </c>
    </row>
    <row r="627" spans="2:14" ht="51" x14ac:dyDescent="0.2">
      <c r="B627" s="161" t="s">
        <v>175</v>
      </c>
      <c r="C627" s="19"/>
      <c r="N627" s="67" t="s">
        <v>45</v>
      </c>
    </row>
    <row r="628" spans="2:14" ht="17" x14ac:dyDescent="0.2">
      <c r="B628" s="131" t="s">
        <v>176</v>
      </c>
      <c r="C628" s="19" t="s">
        <v>40</v>
      </c>
      <c r="F628" s="34" t="s">
        <v>0</v>
      </c>
      <c r="G628" s="62" t="s">
        <v>41</v>
      </c>
      <c r="H628" s="61">
        <v>17786</v>
      </c>
      <c r="N628" s="67" t="s">
        <v>42</v>
      </c>
    </row>
    <row r="629" spans="2:14" ht="17" x14ac:dyDescent="0.2">
      <c r="B629" s="160" t="s">
        <v>177</v>
      </c>
      <c r="C629" s="19" t="s">
        <v>40</v>
      </c>
      <c r="F629" s="34" t="s">
        <v>0</v>
      </c>
      <c r="G629" s="62" t="s">
        <v>41</v>
      </c>
      <c r="H629" s="61">
        <v>17786</v>
      </c>
      <c r="N629" s="67" t="s">
        <v>42</v>
      </c>
    </row>
    <row r="630" spans="2:14" ht="17" x14ac:dyDescent="0.2">
      <c r="B630" s="131" t="s">
        <v>178</v>
      </c>
      <c r="C630" s="19" t="s">
        <v>40</v>
      </c>
      <c r="F630" s="34" t="s">
        <v>0</v>
      </c>
      <c r="G630" s="62" t="s">
        <v>41</v>
      </c>
      <c r="H630" s="61">
        <v>17786</v>
      </c>
      <c r="N630" s="67" t="s">
        <v>42</v>
      </c>
    </row>
    <row r="631" spans="2:14" ht="68" x14ac:dyDescent="0.2">
      <c r="B631" s="131" t="s">
        <v>179</v>
      </c>
      <c r="C631" s="19" t="s">
        <v>40</v>
      </c>
      <c r="F631" s="34" t="s">
        <v>0</v>
      </c>
      <c r="G631" s="62" t="s">
        <v>41</v>
      </c>
      <c r="H631" s="61">
        <v>17786</v>
      </c>
      <c r="N631" s="67" t="s">
        <v>42</v>
      </c>
    </row>
    <row r="632" spans="2:14" ht="17" x14ac:dyDescent="0.2">
      <c r="B632" s="131" t="s">
        <v>180</v>
      </c>
      <c r="C632" s="19" t="s">
        <v>40</v>
      </c>
      <c r="F632" s="34" t="s">
        <v>0</v>
      </c>
      <c r="G632" s="62" t="s">
        <v>41</v>
      </c>
      <c r="H632" s="61">
        <v>17786</v>
      </c>
      <c r="N632" s="67" t="s">
        <v>42</v>
      </c>
    </row>
    <row r="633" spans="2:14" ht="68" x14ac:dyDescent="0.2">
      <c r="B633" s="131" t="s">
        <v>181</v>
      </c>
      <c r="C633" s="19" t="s">
        <v>40</v>
      </c>
      <c r="F633" s="34" t="s">
        <v>0</v>
      </c>
      <c r="G633" s="62" t="s">
        <v>41</v>
      </c>
      <c r="H633" s="61">
        <v>17786</v>
      </c>
      <c r="N633" s="67" t="s">
        <v>42</v>
      </c>
    </row>
    <row r="634" spans="2:14" ht="17" x14ac:dyDescent="0.2">
      <c r="B634" s="160" t="s">
        <v>182</v>
      </c>
      <c r="C634" s="19" t="s">
        <v>40</v>
      </c>
      <c r="F634" s="34" t="s">
        <v>0</v>
      </c>
      <c r="G634" s="62" t="s">
        <v>41</v>
      </c>
      <c r="H634" s="61">
        <v>17786</v>
      </c>
      <c r="N634" s="67" t="s">
        <v>42</v>
      </c>
    </row>
    <row r="635" spans="2:14" ht="68" x14ac:dyDescent="0.2">
      <c r="B635" s="160" t="s">
        <v>183</v>
      </c>
      <c r="C635" s="19" t="s">
        <v>40</v>
      </c>
      <c r="F635" s="34" t="s">
        <v>0</v>
      </c>
      <c r="G635" s="62" t="s">
        <v>41</v>
      </c>
      <c r="H635" s="61">
        <v>17786</v>
      </c>
      <c r="N635" s="67" t="s">
        <v>42</v>
      </c>
    </row>
    <row r="636" spans="2:14" ht="17" x14ac:dyDescent="0.2">
      <c r="B636" s="162" t="s">
        <v>184</v>
      </c>
      <c r="C636" s="19" t="s">
        <v>40</v>
      </c>
      <c r="F636" s="34" t="s">
        <v>0</v>
      </c>
      <c r="G636" s="62" t="s">
        <v>41</v>
      </c>
      <c r="H636" s="61">
        <v>17786</v>
      </c>
      <c r="N636" s="67" t="s">
        <v>42</v>
      </c>
    </row>
    <row r="637" spans="2:14" ht="17" x14ac:dyDescent="0.2">
      <c r="B637" s="162" t="s">
        <v>185</v>
      </c>
      <c r="C637" s="19" t="s">
        <v>40</v>
      </c>
      <c r="F637" s="34" t="s">
        <v>0</v>
      </c>
      <c r="G637" s="62" t="s">
        <v>41</v>
      </c>
      <c r="H637" s="61">
        <v>17786</v>
      </c>
      <c r="N637" s="67" t="s">
        <v>42</v>
      </c>
    </row>
    <row r="638" spans="2:14" ht="17" x14ac:dyDescent="0.2">
      <c r="N638" s="67" t="s">
        <v>45</v>
      </c>
    </row>
    <row r="639" spans="2:14" ht="17" x14ac:dyDescent="0.2">
      <c r="N639" s="67" t="s">
        <v>45</v>
      </c>
    </row>
    <row r="640" spans="2:14" ht="25" x14ac:dyDescent="0.3">
      <c r="B640" s="125" t="s">
        <v>200</v>
      </c>
      <c r="C640" s="59"/>
      <c r="N640" s="67" t="s">
        <v>45</v>
      </c>
    </row>
    <row r="641" spans="2:14" ht="120.75" customHeight="1" x14ac:dyDescent="0.2">
      <c r="B641" s="170" t="s">
        <v>201</v>
      </c>
      <c r="C641" s="19"/>
      <c r="N641" s="67" t="s">
        <v>45</v>
      </c>
    </row>
    <row r="642" spans="2:14" ht="46" x14ac:dyDescent="0.2">
      <c r="B642" s="212" t="s">
        <v>202</v>
      </c>
      <c r="C642" s="19"/>
      <c r="N642" s="67" t="s">
        <v>45</v>
      </c>
    </row>
    <row r="643" spans="2:14" ht="17" x14ac:dyDescent="0.2">
      <c r="B643" s="127" t="s">
        <v>31</v>
      </c>
      <c r="C643" s="19"/>
      <c r="N643" s="67" t="s">
        <v>45</v>
      </c>
    </row>
    <row r="644" spans="2:14" ht="17" x14ac:dyDescent="0.2">
      <c r="B644" s="127" t="s">
        <v>32</v>
      </c>
      <c r="N644" s="67" t="s">
        <v>45</v>
      </c>
    </row>
    <row r="645" spans="2:14" ht="17" x14ac:dyDescent="0.2">
      <c r="B645" s="128" t="s">
        <v>33</v>
      </c>
      <c r="N645" s="67" t="s">
        <v>45</v>
      </c>
    </row>
    <row r="646" spans="2:14" ht="17" x14ac:dyDescent="0.2">
      <c r="B646" s="127" t="s">
        <v>34</v>
      </c>
      <c r="C646" s="19"/>
      <c r="N646" s="67" t="s">
        <v>45</v>
      </c>
    </row>
    <row r="647" spans="2:14" ht="51" x14ac:dyDescent="0.2">
      <c r="B647" s="163" t="s">
        <v>193</v>
      </c>
      <c r="C647" s="19"/>
      <c r="N647" s="67" t="s">
        <v>45</v>
      </c>
    </row>
    <row r="648" spans="2:14" ht="17" x14ac:dyDescent="0.2">
      <c r="B648" s="129" t="s">
        <v>36</v>
      </c>
      <c r="C648" s="19"/>
      <c r="N648" s="67" t="s">
        <v>45</v>
      </c>
    </row>
    <row r="649" spans="2:14" ht="17" x14ac:dyDescent="0.2">
      <c r="B649" s="129" t="s">
        <v>37</v>
      </c>
      <c r="C649" s="19"/>
      <c r="N649" s="67" t="s">
        <v>45</v>
      </c>
    </row>
    <row r="650" spans="2:14" ht="17" x14ac:dyDescent="0.2">
      <c r="B650" s="128" t="s">
        <v>38</v>
      </c>
      <c r="C650" s="19"/>
      <c r="N650" s="67" t="s">
        <v>45</v>
      </c>
    </row>
    <row r="651" spans="2:14" ht="32" x14ac:dyDescent="0.2">
      <c r="B651" s="164" t="s">
        <v>39</v>
      </c>
      <c r="C651" s="19" t="s">
        <v>40</v>
      </c>
      <c r="F651" s="34" t="s">
        <v>0</v>
      </c>
      <c r="G651" s="62" t="s">
        <v>41</v>
      </c>
      <c r="H651" s="61">
        <v>17786</v>
      </c>
      <c r="N651" s="67" t="s">
        <v>42</v>
      </c>
    </row>
    <row r="652" spans="2:14" ht="32" x14ac:dyDescent="0.2">
      <c r="B652" s="164" t="s">
        <v>198</v>
      </c>
      <c r="C652" s="19" t="s">
        <v>40</v>
      </c>
      <c r="F652" s="34" t="s">
        <v>0</v>
      </c>
      <c r="G652" s="62" t="s">
        <v>41</v>
      </c>
      <c r="H652" s="61">
        <v>17786</v>
      </c>
      <c r="N652" s="67" t="s">
        <v>42</v>
      </c>
    </row>
    <row r="653" spans="2:14" ht="17" x14ac:dyDescent="0.2">
      <c r="B653" s="128" t="s">
        <v>44</v>
      </c>
      <c r="C653" s="19"/>
      <c r="N653" s="67" t="s">
        <v>45</v>
      </c>
    </row>
    <row r="654" spans="2:14" ht="17" x14ac:dyDescent="0.2">
      <c r="B654" s="130" t="s">
        <v>46</v>
      </c>
      <c r="C654" s="19" t="s">
        <v>40</v>
      </c>
      <c r="F654" s="34" t="s">
        <v>0</v>
      </c>
      <c r="G654" s="62" t="s">
        <v>41</v>
      </c>
      <c r="H654" s="61">
        <v>17786</v>
      </c>
      <c r="N654" s="67" t="s">
        <v>42</v>
      </c>
    </row>
    <row r="655" spans="2:14" ht="17" x14ac:dyDescent="0.2">
      <c r="B655" s="128" t="s">
        <v>47</v>
      </c>
      <c r="N655" s="67" t="s">
        <v>45</v>
      </c>
    </row>
    <row r="656" spans="2:14" ht="17" x14ac:dyDescent="0.2">
      <c r="B656" s="131" t="s">
        <v>48</v>
      </c>
      <c r="C656" s="19" t="s">
        <v>40</v>
      </c>
      <c r="F656" s="34" t="s">
        <v>0</v>
      </c>
      <c r="G656" s="62" t="s">
        <v>41</v>
      </c>
      <c r="H656" s="61">
        <v>17786</v>
      </c>
      <c r="N656" s="67" t="s">
        <v>42</v>
      </c>
    </row>
    <row r="657" spans="2:14" ht="17" x14ac:dyDescent="0.2">
      <c r="B657" s="131" t="s">
        <v>49</v>
      </c>
      <c r="C657" s="19" t="s">
        <v>40</v>
      </c>
      <c r="F657" s="34" t="s">
        <v>0</v>
      </c>
      <c r="G657" s="62" t="s">
        <v>41</v>
      </c>
      <c r="H657" s="61">
        <v>17786</v>
      </c>
      <c r="N657" s="67" t="s">
        <v>42</v>
      </c>
    </row>
    <row r="658" spans="2:14" ht="34" x14ac:dyDescent="0.2">
      <c r="B658" s="131" t="s">
        <v>50</v>
      </c>
      <c r="C658" s="19" t="s">
        <v>40</v>
      </c>
      <c r="F658" s="34" t="s">
        <v>0</v>
      </c>
      <c r="G658" s="62" t="s">
        <v>41</v>
      </c>
      <c r="H658" s="61">
        <v>17786</v>
      </c>
      <c r="N658" s="67" t="s">
        <v>42</v>
      </c>
    </row>
    <row r="659" spans="2:14" ht="17" x14ac:dyDescent="0.2">
      <c r="B659" s="128" t="s">
        <v>51</v>
      </c>
      <c r="C659" s="19"/>
      <c r="N659" s="67" t="s">
        <v>45</v>
      </c>
    </row>
    <row r="660" spans="2:14" ht="33" customHeight="1" x14ac:dyDescent="0.2">
      <c r="B660" s="131" t="s">
        <v>52</v>
      </c>
      <c r="C660" s="19" t="s">
        <v>40</v>
      </c>
      <c r="F660" s="34" t="s">
        <v>0</v>
      </c>
      <c r="G660" s="62" t="s">
        <v>41</v>
      </c>
      <c r="H660" s="61">
        <v>17786</v>
      </c>
      <c r="N660" s="67" t="s">
        <v>42</v>
      </c>
    </row>
    <row r="661" spans="2:14" ht="17" x14ac:dyDescent="0.2">
      <c r="B661" s="132" t="s">
        <v>53</v>
      </c>
      <c r="C661" s="19"/>
      <c r="N661" s="67" t="s">
        <v>45</v>
      </c>
    </row>
    <row r="662" spans="2:14" ht="51" x14ac:dyDescent="0.2">
      <c r="B662" s="133" t="s">
        <v>54</v>
      </c>
      <c r="C662" s="19" t="s">
        <v>40</v>
      </c>
      <c r="F662" s="34" t="s">
        <v>0</v>
      </c>
      <c r="G662" s="62" t="s">
        <v>41</v>
      </c>
      <c r="H662" s="61">
        <v>17786</v>
      </c>
      <c r="N662" s="67" t="s">
        <v>42</v>
      </c>
    </row>
    <row r="663" spans="2:14" ht="17" x14ac:dyDescent="0.2">
      <c r="B663" s="128" t="s">
        <v>55</v>
      </c>
      <c r="C663" s="19"/>
      <c r="N663" s="67" t="s">
        <v>45</v>
      </c>
    </row>
    <row r="664" spans="2:14" ht="51" x14ac:dyDescent="0.2">
      <c r="B664" s="134" t="s">
        <v>56</v>
      </c>
      <c r="C664" s="19" t="s">
        <v>57</v>
      </c>
      <c r="F664" s="34" t="s">
        <v>0</v>
      </c>
      <c r="G664" s="62" t="s">
        <v>41</v>
      </c>
      <c r="H664" s="61">
        <v>17786</v>
      </c>
      <c r="N664" s="67" t="s">
        <v>42</v>
      </c>
    </row>
    <row r="665" spans="2:14" ht="17" x14ac:dyDescent="0.2">
      <c r="B665" s="128" t="s">
        <v>58</v>
      </c>
      <c r="N665" s="67" t="s">
        <v>45</v>
      </c>
    </row>
    <row r="666" spans="2:14" ht="51" x14ac:dyDescent="0.2">
      <c r="B666" s="131" t="s">
        <v>59</v>
      </c>
      <c r="C666" s="19" t="s">
        <v>40</v>
      </c>
      <c r="F666" s="34" t="s">
        <v>0</v>
      </c>
      <c r="G666" s="62" t="s">
        <v>41</v>
      </c>
      <c r="H666" s="61">
        <v>17786</v>
      </c>
      <c r="N666" s="67" t="s">
        <v>42</v>
      </c>
    </row>
    <row r="667" spans="2:14" ht="17" x14ac:dyDescent="0.2">
      <c r="B667" s="132" t="s">
        <v>60</v>
      </c>
      <c r="C667" s="19"/>
      <c r="N667" s="67" t="s">
        <v>45</v>
      </c>
    </row>
    <row r="668" spans="2:14" ht="17" x14ac:dyDescent="0.2">
      <c r="B668" s="135" t="s">
        <v>61</v>
      </c>
      <c r="C668" s="19" t="s">
        <v>40</v>
      </c>
      <c r="F668" s="34" t="s">
        <v>0</v>
      </c>
      <c r="G668" s="62" t="s">
        <v>41</v>
      </c>
      <c r="H668" s="61">
        <v>17786</v>
      </c>
      <c r="N668" s="67" t="s">
        <v>42</v>
      </c>
    </row>
    <row r="669" spans="2:14" ht="17" x14ac:dyDescent="0.2">
      <c r="B669" s="136" t="s">
        <v>62</v>
      </c>
      <c r="C669" s="19" t="s">
        <v>40</v>
      </c>
      <c r="F669" s="34" t="s">
        <v>0</v>
      </c>
      <c r="G669" s="62" t="s">
        <v>41</v>
      </c>
      <c r="H669" s="61">
        <v>17786</v>
      </c>
      <c r="N669" s="67" t="s">
        <v>42</v>
      </c>
    </row>
    <row r="670" spans="2:14" ht="96" x14ac:dyDescent="0.2">
      <c r="B670" s="211" t="s">
        <v>63</v>
      </c>
      <c r="C670" s="19" t="s">
        <v>40</v>
      </c>
      <c r="F670" s="34" t="s">
        <v>0</v>
      </c>
      <c r="G670" s="62" t="s">
        <v>41</v>
      </c>
      <c r="H670" s="61">
        <v>17786</v>
      </c>
      <c r="N670" s="67" t="s">
        <v>42</v>
      </c>
    </row>
    <row r="671" spans="2:14" ht="17" x14ac:dyDescent="0.2">
      <c r="B671" s="136" t="s">
        <v>64</v>
      </c>
      <c r="C671" s="19" t="s">
        <v>40</v>
      </c>
      <c r="F671" s="34" t="s">
        <v>0</v>
      </c>
      <c r="G671" s="62" t="s">
        <v>41</v>
      </c>
      <c r="H671" s="61">
        <v>17786</v>
      </c>
      <c r="N671" s="67" t="s">
        <v>42</v>
      </c>
    </row>
    <row r="672" spans="2:14" ht="17" x14ac:dyDescent="0.2">
      <c r="B672" s="128" t="s">
        <v>65</v>
      </c>
      <c r="N672" s="67" t="s">
        <v>45</v>
      </c>
    </row>
    <row r="673" spans="2:14" ht="17" x14ac:dyDescent="0.2">
      <c r="B673" s="174" t="s">
        <v>66</v>
      </c>
      <c r="C673" s="19" t="s">
        <v>40</v>
      </c>
      <c r="F673" s="34" t="s">
        <v>0</v>
      </c>
      <c r="G673" s="62" t="s">
        <v>41</v>
      </c>
      <c r="H673" s="61">
        <v>17786</v>
      </c>
      <c r="N673" s="67" t="s">
        <v>42</v>
      </c>
    </row>
    <row r="674" spans="2:14" ht="17" x14ac:dyDescent="0.2">
      <c r="B674" s="166" t="s">
        <v>67</v>
      </c>
      <c r="C674" s="19" t="s">
        <v>40</v>
      </c>
      <c r="F674" s="34" t="s">
        <v>0</v>
      </c>
      <c r="G674" s="62" t="s">
        <v>41</v>
      </c>
      <c r="H674" s="61">
        <v>17786</v>
      </c>
      <c r="N674" s="67" t="s">
        <v>42</v>
      </c>
    </row>
    <row r="675" spans="2:14" ht="17" x14ac:dyDescent="0.2">
      <c r="B675" s="166" t="s">
        <v>68</v>
      </c>
      <c r="C675" s="19" t="s">
        <v>40</v>
      </c>
      <c r="F675" s="34" t="s">
        <v>0</v>
      </c>
      <c r="G675" s="62" t="s">
        <v>41</v>
      </c>
      <c r="H675" s="61">
        <v>17786</v>
      </c>
      <c r="N675" s="67" t="s">
        <v>42</v>
      </c>
    </row>
    <row r="676" spans="2:14" ht="17" x14ac:dyDescent="0.2">
      <c r="B676" s="166" t="s">
        <v>69</v>
      </c>
      <c r="C676" s="19" t="s">
        <v>40</v>
      </c>
      <c r="F676" s="34" t="s">
        <v>0</v>
      </c>
      <c r="G676" s="62" t="s">
        <v>41</v>
      </c>
      <c r="H676" s="61">
        <v>17786</v>
      </c>
      <c r="N676" s="67" t="s">
        <v>42</v>
      </c>
    </row>
    <row r="677" spans="2:14" ht="17" x14ac:dyDescent="0.2">
      <c r="B677" s="166" t="s">
        <v>70</v>
      </c>
      <c r="C677" s="19" t="s">
        <v>40</v>
      </c>
      <c r="F677" s="34" t="s">
        <v>0</v>
      </c>
      <c r="G677" s="62" t="s">
        <v>41</v>
      </c>
      <c r="H677" s="61">
        <v>17786</v>
      </c>
      <c r="N677" s="67" t="s">
        <v>42</v>
      </c>
    </row>
    <row r="678" spans="2:14" ht="17" x14ac:dyDescent="0.2">
      <c r="B678" s="166" t="s">
        <v>203</v>
      </c>
      <c r="C678" s="19" t="s">
        <v>40</v>
      </c>
      <c r="F678" s="34" t="s">
        <v>0</v>
      </c>
      <c r="G678" s="62" t="s">
        <v>41</v>
      </c>
      <c r="H678" s="61">
        <v>17786</v>
      </c>
      <c r="N678" s="67" t="s">
        <v>42</v>
      </c>
    </row>
    <row r="679" spans="2:14" ht="17" x14ac:dyDescent="0.2">
      <c r="B679" s="139" t="s">
        <v>72</v>
      </c>
      <c r="C679" s="19" t="s">
        <v>40</v>
      </c>
      <c r="F679" s="34" t="s">
        <v>0</v>
      </c>
      <c r="G679" s="62" t="s">
        <v>41</v>
      </c>
      <c r="H679" s="61">
        <v>17786</v>
      </c>
      <c r="N679" s="67" t="s">
        <v>42</v>
      </c>
    </row>
    <row r="680" spans="2:14" ht="17" x14ac:dyDescent="0.2">
      <c r="B680" s="174" t="s">
        <v>73</v>
      </c>
      <c r="C680" s="19" t="s">
        <v>40</v>
      </c>
      <c r="F680" s="34" t="s">
        <v>0</v>
      </c>
      <c r="G680" s="62" t="s">
        <v>41</v>
      </c>
      <c r="H680" s="61">
        <v>17786</v>
      </c>
      <c r="N680" s="67" t="s">
        <v>42</v>
      </c>
    </row>
    <row r="681" spans="2:14" ht="17" x14ac:dyDescent="0.2">
      <c r="B681" s="139" t="s">
        <v>74</v>
      </c>
      <c r="C681" s="19" t="s">
        <v>40</v>
      </c>
      <c r="F681" s="34" t="s">
        <v>0</v>
      </c>
      <c r="G681" s="62" t="s">
        <v>41</v>
      </c>
      <c r="H681" s="61">
        <v>17786</v>
      </c>
      <c r="N681" s="67" t="s">
        <v>42</v>
      </c>
    </row>
    <row r="682" spans="2:14" ht="17" x14ac:dyDescent="0.2">
      <c r="B682" s="139" t="s">
        <v>75</v>
      </c>
      <c r="C682" s="19" t="s">
        <v>40</v>
      </c>
      <c r="F682" s="34" t="s">
        <v>0</v>
      </c>
      <c r="G682" s="62" t="s">
        <v>41</v>
      </c>
      <c r="H682" s="61">
        <v>17786</v>
      </c>
      <c r="N682" s="67" t="s">
        <v>42</v>
      </c>
    </row>
    <row r="683" spans="2:14" ht="17" x14ac:dyDescent="0.2">
      <c r="B683" s="138" t="s">
        <v>76</v>
      </c>
      <c r="C683" s="19" t="s">
        <v>40</v>
      </c>
      <c r="F683" s="34" t="s">
        <v>0</v>
      </c>
      <c r="G683" s="62" t="s">
        <v>41</v>
      </c>
      <c r="H683" s="61">
        <v>17786</v>
      </c>
      <c r="N683" s="67" t="s">
        <v>42</v>
      </c>
    </row>
    <row r="684" spans="2:14" ht="68" x14ac:dyDescent="0.2">
      <c r="B684" s="166" t="s">
        <v>204</v>
      </c>
      <c r="C684" s="19" t="s">
        <v>40</v>
      </c>
      <c r="F684" s="34" t="s">
        <v>0</v>
      </c>
      <c r="G684" s="62" t="s">
        <v>41</v>
      </c>
      <c r="H684" s="61">
        <v>17786</v>
      </c>
      <c r="N684" s="67" t="s">
        <v>42</v>
      </c>
    </row>
    <row r="685" spans="2:14" ht="17" x14ac:dyDescent="0.2">
      <c r="B685" s="166" t="s">
        <v>205</v>
      </c>
      <c r="C685" s="19" t="s">
        <v>40</v>
      </c>
      <c r="F685" s="34" t="s">
        <v>0</v>
      </c>
      <c r="G685" s="62" t="s">
        <v>41</v>
      </c>
      <c r="H685" s="61">
        <v>17786</v>
      </c>
      <c r="N685" s="67" t="s">
        <v>42</v>
      </c>
    </row>
    <row r="686" spans="2:14" ht="17" x14ac:dyDescent="0.2">
      <c r="B686" s="166" t="s">
        <v>79</v>
      </c>
      <c r="C686" s="19" t="s">
        <v>40</v>
      </c>
      <c r="F686" s="34" t="s">
        <v>0</v>
      </c>
      <c r="G686" s="62" t="s">
        <v>41</v>
      </c>
      <c r="H686" s="61">
        <v>17786</v>
      </c>
      <c r="N686" s="67" t="s">
        <v>42</v>
      </c>
    </row>
    <row r="687" spans="2:14" ht="17" x14ac:dyDescent="0.2">
      <c r="B687" s="138" t="s">
        <v>80</v>
      </c>
      <c r="C687" s="19" t="s">
        <v>40</v>
      </c>
      <c r="F687" s="34" t="s">
        <v>0</v>
      </c>
      <c r="G687" s="62" t="s">
        <v>41</v>
      </c>
      <c r="H687" s="61">
        <v>17786</v>
      </c>
      <c r="N687" s="67" t="s">
        <v>42</v>
      </c>
    </row>
    <row r="688" spans="2:14" ht="17" x14ac:dyDescent="0.2">
      <c r="B688" s="138" t="s">
        <v>81</v>
      </c>
      <c r="C688" s="19" t="s">
        <v>40</v>
      </c>
      <c r="F688" s="34" t="s">
        <v>0</v>
      </c>
      <c r="G688" s="62" t="s">
        <v>41</v>
      </c>
      <c r="H688" s="61">
        <v>17786</v>
      </c>
      <c r="N688" s="67" t="s">
        <v>42</v>
      </c>
    </row>
    <row r="689" spans="2:14" ht="17" x14ac:dyDescent="0.2">
      <c r="B689" s="138" t="s">
        <v>82</v>
      </c>
      <c r="C689" s="19" t="s">
        <v>40</v>
      </c>
      <c r="F689" s="34" t="s">
        <v>0</v>
      </c>
      <c r="G689" s="62" t="s">
        <v>41</v>
      </c>
      <c r="H689" s="61">
        <v>17786</v>
      </c>
      <c r="N689" s="67" t="s">
        <v>42</v>
      </c>
    </row>
    <row r="690" spans="2:14" ht="17" x14ac:dyDescent="0.2">
      <c r="B690" s="138" t="s">
        <v>83</v>
      </c>
      <c r="C690" s="19" t="s">
        <v>40</v>
      </c>
      <c r="F690" s="34" t="s">
        <v>0</v>
      </c>
      <c r="G690" s="62" t="s">
        <v>41</v>
      </c>
      <c r="H690" s="61">
        <v>17786</v>
      </c>
      <c r="N690" s="67" t="s">
        <v>42</v>
      </c>
    </row>
    <row r="691" spans="2:14" ht="17" x14ac:dyDescent="0.2">
      <c r="B691" s="138" t="s">
        <v>84</v>
      </c>
      <c r="C691" s="19" t="s">
        <v>40</v>
      </c>
      <c r="F691" s="34" t="s">
        <v>0</v>
      </c>
      <c r="G691" s="62" t="s">
        <v>41</v>
      </c>
      <c r="H691" s="61">
        <v>17786</v>
      </c>
      <c r="N691" s="67" t="s">
        <v>42</v>
      </c>
    </row>
    <row r="692" spans="2:14" ht="17" x14ac:dyDescent="0.2">
      <c r="B692" s="139" t="s">
        <v>85</v>
      </c>
      <c r="C692" s="19" t="s">
        <v>40</v>
      </c>
      <c r="F692" s="34" t="s">
        <v>0</v>
      </c>
      <c r="G692" s="62" t="s">
        <v>41</v>
      </c>
      <c r="H692" s="61">
        <v>17786</v>
      </c>
      <c r="N692" s="67" t="s">
        <v>42</v>
      </c>
    </row>
    <row r="693" spans="2:14" ht="17" x14ac:dyDescent="0.2">
      <c r="B693" s="140" t="s">
        <v>86</v>
      </c>
      <c r="N693" s="67" t="s">
        <v>45</v>
      </c>
    </row>
    <row r="694" spans="2:14" ht="17" x14ac:dyDescent="0.2">
      <c r="B694" s="141" t="s">
        <v>87</v>
      </c>
      <c r="C694" s="19" t="s">
        <v>40</v>
      </c>
      <c r="F694" s="34" t="s">
        <v>0</v>
      </c>
      <c r="G694" s="62" t="s">
        <v>41</v>
      </c>
      <c r="H694" s="61">
        <v>17786</v>
      </c>
      <c r="N694" s="67" t="s">
        <v>42</v>
      </c>
    </row>
    <row r="695" spans="2:14" ht="32" x14ac:dyDescent="0.2">
      <c r="B695" s="140" t="s">
        <v>88</v>
      </c>
      <c r="C695" s="19"/>
      <c r="N695" s="67" t="s">
        <v>45</v>
      </c>
    </row>
    <row r="696" spans="2:14" ht="32" x14ac:dyDescent="0.2">
      <c r="B696" s="142" t="s">
        <v>89</v>
      </c>
      <c r="C696" s="19" t="s">
        <v>40</v>
      </c>
      <c r="F696" s="34" t="s">
        <v>0</v>
      </c>
      <c r="G696" s="62" t="s">
        <v>41</v>
      </c>
      <c r="H696" s="61">
        <v>17786</v>
      </c>
      <c r="N696" s="67" t="s">
        <v>42</v>
      </c>
    </row>
    <row r="697" spans="2:14" ht="17" x14ac:dyDescent="0.2">
      <c r="B697" s="140" t="s">
        <v>90</v>
      </c>
      <c r="C697" s="19"/>
      <c r="N697" s="67" t="s">
        <v>45</v>
      </c>
    </row>
    <row r="698" spans="2:14" ht="32" x14ac:dyDescent="0.2">
      <c r="B698" s="142" t="s">
        <v>91</v>
      </c>
      <c r="C698" s="19" t="s">
        <v>40</v>
      </c>
      <c r="F698" s="34" t="s">
        <v>92</v>
      </c>
      <c r="G698" s="62" t="s">
        <v>41</v>
      </c>
      <c r="H698" s="61">
        <v>17786</v>
      </c>
      <c r="N698" s="67" t="s">
        <v>42</v>
      </c>
    </row>
    <row r="699" spans="2:14" ht="17" x14ac:dyDescent="0.2">
      <c r="B699" s="140" t="s">
        <v>93</v>
      </c>
      <c r="C699" s="19"/>
      <c r="N699" s="67" t="s">
        <v>45</v>
      </c>
    </row>
    <row r="700" spans="2:14" ht="32" x14ac:dyDescent="0.2">
      <c r="B700" s="142" t="s">
        <v>94</v>
      </c>
      <c r="C700" s="19" t="s">
        <v>40</v>
      </c>
      <c r="F700" s="34" t="s">
        <v>92</v>
      </c>
      <c r="G700" s="62" t="s">
        <v>41</v>
      </c>
      <c r="H700" s="61">
        <v>17786</v>
      </c>
      <c r="N700" s="67" t="s">
        <v>42</v>
      </c>
    </row>
    <row r="701" spans="2:14" ht="48" x14ac:dyDescent="0.2">
      <c r="B701" s="143" t="s">
        <v>95</v>
      </c>
      <c r="C701" s="19" t="s">
        <v>40</v>
      </c>
      <c r="F701" s="34" t="s">
        <v>92</v>
      </c>
      <c r="G701" s="62" t="s">
        <v>41</v>
      </c>
      <c r="H701" s="61">
        <v>17786</v>
      </c>
      <c r="N701" s="67" t="s">
        <v>42</v>
      </c>
    </row>
    <row r="702" spans="2:14" ht="17" x14ac:dyDescent="0.2">
      <c r="B702" s="144" t="s">
        <v>96</v>
      </c>
      <c r="C702" s="19" t="s">
        <v>40</v>
      </c>
      <c r="F702" s="34" t="s">
        <v>92</v>
      </c>
      <c r="G702" s="62" t="s">
        <v>41</v>
      </c>
      <c r="H702" s="61">
        <v>17786</v>
      </c>
      <c r="N702" s="67" t="s">
        <v>42</v>
      </c>
    </row>
    <row r="703" spans="2:14" ht="32" x14ac:dyDescent="0.2">
      <c r="B703" s="143" t="s">
        <v>97</v>
      </c>
      <c r="C703" s="19" t="s">
        <v>40</v>
      </c>
      <c r="F703" s="34" t="s">
        <v>92</v>
      </c>
      <c r="G703" s="62" t="s">
        <v>41</v>
      </c>
      <c r="H703" s="61">
        <v>17786</v>
      </c>
      <c r="N703" s="67" t="s">
        <v>42</v>
      </c>
    </row>
    <row r="704" spans="2:14" ht="17" x14ac:dyDescent="0.2">
      <c r="B704" s="142" t="s">
        <v>98</v>
      </c>
      <c r="C704" s="19" t="s">
        <v>40</v>
      </c>
      <c r="F704" s="34" t="s">
        <v>92</v>
      </c>
      <c r="G704" s="62" t="s">
        <v>41</v>
      </c>
      <c r="H704" s="61">
        <v>17786</v>
      </c>
      <c r="N704" s="67" t="s">
        <v>42</v>
      </c>
    </row>
    <row r="705" spans="2:14" ht="17" x14ac:dyDescent="0.2">
      <c r="B705" s="144" t="s">
        <v>99</v>
      </c>
      <c r="C705" s="19" t="s">
        <v>40</v>
      </c>
      <c r="F705" s="210" t="s">
        <v>92</v>
      </c>
      <c r="G705" s="62" t="s">
        <v>41</v>
      </c>
      <c r="H705" s="61">
        <v>17786</v>
      </c>
      <c r="N705" s="67" t="s">
        <v>42</v>
      </c>
    </row>
    <row r="706" spans="2:14" ht="17" x14ac:dyDescent="0.2">
      <c r="B706" s="143" t="s">
        <v>100</v>
      </c>
      <c r="C706" s="19" t="s">
        <v>40</v>
      </c>
      <c r="G706" s="62" t="s">
        <v>41</v>
      </c>
      <c r="H706" s="61">
        <v>17786</v>
      </c>
      <c r="N706" s="67" t="s">
        <v>42</v>
      </c>
    </row>
    <row r="707" spans="2:14" ht="17" x14ac:dyDescent="0.2">
      <c r="B707" s="140" t="s">
        <v>101</v>
      </c>
      <c r="N707" s="67" t="s">
        <v>45</v>
      </c>
    </row>
    <row r="708" spans="2:14" ht="17" x14ac:dyDescent="0.2">
      <c r="B708" s="141" t="s">
        <v>87</v>
      </c>
      <c r="C708" s="19" t="s">
        <v>40</v>
      </c>
      <c r="F708" s="34" t="s">
        <v>0</v>
      </c>
      <c r="G708" s="62" t="s">
        <v>41</v>
      </c>
      <c r="H708" s="61">
        <v>17786</v>
      </c>
      <c r="N708" s="67" t="s">
        <v>42</v>
      </c>
    </row>
    <row r="709" spans="2:14" ht="32" x14ac:dyDescent="0.2">
      <c r="B709" s="142" t="s">
        <v>102</v>
      </c>
      <c r="C709" s="19" t="s">
        <v>40</v>
      </c>
      <c r="F709" s="34" t="s">
        <v>0</v>
      </c>
      <c r="G709" s="62" t="s">
        <v>41</v>
      </c>
      <c r="H709" s="61">
        <v>17786</v>
      </c>
      <c r="N709" s="67" t="s">
        <v>42</v>
      </c>
    </row>
    <row r="710" spans="2:14" ht="48" x14ac:dyDescent="0.2">
      <c r="B710" s="143" t="s">
        <v>103</v>
      </c>
      <c r="C710" s="19" t="s">
        <v>40</v>
      </c>
      <c r="F710" s="34" t="s">
        <v>0</v>
      </c>
      <c r="G710" s="62" t="s">
        <v>41</v>
      </c>
      <c r="H710" s="61">
        <v>17786</v>
      </c>
      <c r="N710" s="67" t="s">
        <v>42</v>
      </c>
    </row>
    <row r="711" spans="2:14" ht="17" x14ac:dyDescent="0.2">
      <c r="B711" s="144" t="s">
        <v>96</v>
      </c>
      <c r="C711" s="19" t="s">
        <v>40</v>
      </c>
      <c r="F711" s="34" t="s">
        <v>0</v>
      </c>
      <c r="G711" s="62" t="s">
        <v>41</v>
      </c>
      <c r="H711" s="61">
        <v>17786</v>
      </c>
      <c r="N711" s="67" t="s">
        <v>42</v>
      </c>
    </row>
    <row r="712" spans="2:14" ht="32" x14ac:dyDescent="0.2">
      <c r="B712" s="143" t="s">
        <v>104</v>
      </c>
      <c r="C712" s="19" t="s">
        <v>40</v>
      </c>
      <c r="F712" s="34" t="s">
        <v>0</v>
      </c>
      <c r="G712" s="62" t="s">
        <v>41</v>
      </c>
      <c r="H712" s="61">
        <v>17786</v>
      </c>
      <c r="N712" s="67" t="s">
        <v>42</v>
      </c>
    </row>
    <row r="713" spans="2:14" ht="32" x14ac:dyDescent="0.2">
      <c r="B713" s="142" t="s">
        <v>105</v>
      </c>
      <c r="C713" s="19" t="s">
        <v>40</v>
      </c>
      <c r="F713" s="34" t="s">
        <v>0</v>
      </c>
      <c r="G713" s="62" t="s">
        <v>41</v>
      </c>
      <c r="H713" s="61">
        <v>17786</v>
      </c>
      <c r="N713" s="67" t="s">
        <v>42</v>
      </c>
    </row>
    <row r="714" spans="2:14" ht="17" x14ac:dyDescent="0.2">
      <c r="B714" s="144" t="s">
        <v>99</v>
      </c>
      <c r="C714" s="19" t="s">
        <v>40</v>
      </c>
      <c r="F714" s="34" t="s">
        <v>0</v>
      </c>
      <c r="G714" s="62" t="s">
        <v>41</v>
      </c>
      <c r="H714" s="61">
        <v>17786</v>
      </c>
      <c r="N714" s="67" t="s">
        <v>42</v>
      </c>
    </row>
    <row r="715" spans="2:14" ht="17" x14ac:dyDescent="0.2">
      <c r="B715" s="143" t="s">
        <v>106</v>
      </c>
      <c r="C715" s="19" t="s">
        <v>40</v>
      </c>
      <c r="F715" s="34" t="s">
        <v>0</v>
      </c>
      <c r="N715" s="67" t="s">
        <v>42</v>
      </c>
    </row>
    <row r="716" spans="2:14" ht="17" x14ac:dyDescent="0.2">
      <c r="B716" s="140" t="s">
        <v>107</v>
      </c>
      <c r="N716" s="67" t="s">
        <v>45</v>
      </c>
    </row>
    <row r="717" spans="2:14" ht="17" x14ac:dyDescent="0.2">
      <c r="B717" s="141" t="s">
        <v>87</v>
      </c>
      <c r="C717" s="19" t="s">
        <v>40</v>
      </c>
      <c r="F717" s="34" t="s">
        <v>0</v>
      </c>
      <c r="G717" s="62" t="s">
        <v>41</v>
      </c>
      <c r="H717" s="61">
        <v>17786</v>
      </c>
      <c r="N717" s="67" t="s">
        <v>42</v>
      </c>
    </row>
    <row r="718" spans="2:14" ht="32" x14ac:dyDescent="0.2">
      <c r="B718" s="142" t="s">
        <v>102</v>
      </c>
      <c r="C718" s="19" t="s">
        <v>40</v>
      </c>
      <c r="F718" s="34" t="s">
        <v>0</v>
      </c>
      <c r="G718" s="62" t="s">
        <v>41</v>
      </c>
      <c r="H718" s="61">
        <v>17786</v>
      </c>
      <c r="N718" s="67" t="s">
        <v>42</v>
      </c>
    </row>
    <row r="719" spans="2:14" ht="48" x14ac:dyDescent="0.2">
      <c r="B719" s="143" t="s">
        <v>108</v>
      </c>
      <c r="C719" s="19" t="s">
        <v>40</v>
      </c>
      <c r="F719" s="34" t="s">
        <v>0</v>
      </c>
      <c r="G719" s="62" t="s">
        <v>41</v>
      </c>
      <c r="H719" s="61">
        <v>17786</v>
      </c>
      <c r="N719" s="67" t="s">
        <v>42</v>
      </c>
    </row>
    <row r="720" spans="2:14" ht="17" x14ac:dyDescent="0.2">
      <c r="B720" s="144" t="s">
        <v>96</v>
      </c>
      <c r="C720" s="19" t="s">
        <v>40</v>
      </c>
      <c r="F720" s="34" t="s">
        <v>0</v>
      </c>
      <c r="G720" s="62" t="s">
        <v>41</v>
      </c>
      <c r="H720" s="61">
        <v>17786</v>
      </c>
      <c r="N720" s="67" t="s">
        <v>42</v>
      </c>
    </row>
    <row r="721" spans="2:14" ht="32" x14ac:dyDescent="0.2">
      <c r="B721" s="143" t="s">
        <v>109</v>
      </c>
      <c r="C721" s="19" t="s">
        <v>40</v>
      </c>
      <c r="F721" s="34" t="s">
        <v>0</v>
      </c>
      <c r="G721" s="62" t="s">
        <v>41</v>
      </c>
      <c r="H721" s="61">
        <v>17786</v>
      </c>
      <c r="N721" s="67" t="s">
        <v>42</v>
      </c>
    </row>
    <row r="722" spans="2:14" ht="32" x14ac:dyDescent="0.2">
      <c r="B722" s="142" t="s">
        <v>110</v>
      </c>
      <c r="C722" s="19" t="s">
        <v>40</v>
      </c>
      <c r="F722" s="34" t="s">
        <v>0</v>
      </c>
      <c r="G722" s="62" t="s">
        <v>41</v>
      </c>
      <c r="H722" s="61">
        <v>17786</v>
      </c>
      <c r="N722" s="67" t="s">
        <v>42</v>
      </c>
    </row>
    <row r="723" spans="2:14" ht="17" x14ac:dyDescent="0.2">
      <c r="B723" s="144" t="s">
        <v>99</v>
      </c>
      <c r="C723" s="19" t="s">
        <v>40</v>
      </c>
      <c r="F723" s="34" t="s">
        <v>0</v>
      </c>
      <c r="G723" s="62" t="s">
        <v>41</v>
      </c>
      <c r="H723" s="61">
        <v>17786</v>
      </c>
      <c r="N723" s="67" t="s">
        <v>42</v>
      </c>
    </row>
    <row r="724" spans="2:14" ht="17" x14ac:dyDescent="0.2">
      <c r="B724" s="143" t="s">
        <v>111</v>
      </c>
      <c r="C724" s="19" t="s">
        <v>40</v>
      </c>
      <c r="F724" s="34" t="s">
        <v>0</v>
      </c>
      <c r="G724" s="62" t="s">
        <v>41</v>
      </c>
      <c r="H724" s="61">
        <v>17786</v>
      </c>
      <c r="N724" s="67" t="s">
        <v>42</v>
      </c>
    </row>
    <row r="725" spans="2:14" ht="17" x14ac:dyDescent="0.2">
      <c r="B725" s="140" t="s">
        <v>112</v>
      </c>
      <c r="N725" s="67" t="s">
        <v>45</v>
      </c>
    </row>
    <row r="726" spans="2:14" ht="17" x14ac:dyDescent="0.2">
      <c r="B726" s="141" t="s">
        <v>87</v>
      </c>
      <c r="C726" s="19" t="s">
        <v>40</v>
      </c>
      <c r="F726" s="34" t="s">
        <v>0</v>
      </c>
      <c r="G726" s="62" t="s">
        <v>41</v>
      </c>
      <c r="H726" s="61">
        <v>17786</v>
      </c>
      <c r="N726" s="67" t="s">
        <v>42</v>
      </c>
    </row>
    <row r="727" spans="2:14" ht="32" x14ac:dyDescent="0.2">
      <c r="B727" s="142" t="s">
        <v>102</v>
      </c>
      <c r="C727" s="19" t="s">
        <v>40</v>
      </c>
      <c r="F727" s="34" t="s">
        <v>0</v>
      </c>
      <c r="G727" s="62" t="s">
        <v>41</v>
      </c>
      <c r="H727" s="61">
        <v>17786</v>
      </c>
      <c r="N727" s="67" t="s">
        <v>42</v>
      </c>
    </row>
    <row r="728" spans="2:14" ht="48" x14ac:dyDescent="0.2">
      <c r="B728" s="143" t="s">
        <v>113</v>
      </c>
      <c r="C728" s="19" t="s">
        <v>40</v>
      </c>
      <c r="F728" s="34" t="s">
        <v>0</v>
      </c>
      <c r="G728" s="62" t="s">
        <v>41</v>
      </c>
      <c r="H728" s="61">
        <v>17786</v>
      </c>
      <c r="N728" s="67" t="s">
        <v>42</v>
      </c>
    </row>
    <row r="729" spans="2:14" ht="17" x14ac:dyDescent="0.2">
      <c r="B729" s="144" t="s">
        <v>96</v>
      </c>
      <c r="C729" s="19" t="s">
        <v>40</v>
      </c>
      <c r="F729" s="34" t="s">
        <v>0</v>
      </c>
      <c r="G729" s="62" t="s">
        <v>41</v>
      </c>
      <c r="H729" s="61">
        <v>17786</v>
      </c>
      <c r="N729" s="67" t="s">
        <v>42</v>
      </c>
    </row>
    <row r="730" spans="2:14" ht="32" x14ac:dyDescent="0.2">
      <c r="B730" s="143" t="s">
        <v>97</v>
      </c>
      <c r="C730" s="19" t="s">
        <v>40</v>
      </c>
      <c r="F730" s="34" t="s">
        <v>0</v>
      </c>
      <c r="G730" s="62" t="s">
        <v>41</v>
      </c>
      <c r="H730" s="61">
        <v>17786</v>
      </c>
      <c r="N730" s="67" t="s">
        <v>42</v>
      </c>
    </row>
    <row r="731" spans="2:14" ht="32" x14ac:dyDescent="0.2">
      <c r="B731" s="142" t="s">
        <v>114</v>
      </c>
      <c r="C731" s="19" t="s">
        <v>40</v>
      </c>
      <c r="F731" s="34" t="s">
        <v>0</v>
      </c>
      <c r="G731" s="62" t="s">
        <v>41</v>
      </c>
      <c r="H731" s="61">
        <v>17786</v>
      </c>
      <c r="N731" s="67" t="s">
        <v>42</v>
      </c>
    </row>
    <row r="732" spans="2:14" ht="17" x14ac:dyDescent="0.2">
      <c r="B732" s="144" t="s">
        <v>99</v>
      </c>
      <c r="C732" s="19" t="s">
        <v>40</v>
      </c>
      <c r="F732" s="34" t="s">
        <v>0</v>
      </c>
      <c r="G732" s="62" t="s">
        <v>41</v>
      </c>
      <c r="H732" s="61">
        <v>17786</v>
      </c>
      <c r="N732" s="67" t="s">
        <v>42</v>
      </c>
    </row>
    <row r="733" spans="2:14" ht="17" x14ac:dyDescent="0.2">
      <c r="B733" s="143" t="s">
        <v>115</v>
      </c>
      <c r="C733" s="19" t="s">
        <v>40</v>
      </c>
      <c r="F733" s="34" t="s">
        <v>0</v>
      </c>
      <c r="G733" s="62" t="s">
        <v>41</v>
      </c>
      <c r="H733" s="61">
        <v>17786</v>
      </c>
      <c r="N733" s="67" t="s">
        <v>42</v>
      </c>
    </row>
    <row r="734" spans="2:14" ht="17" x14ac:dyDescent="0.2">
      <c r="B734" s="140" t="s">
        <v>206</v>
      </c>
      <c r="C734" s="19"/>
      <c r="N734" s="67" t="s">
        <v>45</v>
      </c>
    </row>
    <row r="735" spans="2:14" ht="17" x14ac:dyDescent="0.2">
      <c r="B735" s="213" t="s">
        <v>87</v>
      </c>
      <c r="C735" s="19" t="s">
        <v>40</v>
      </c>
      <c r="F735" s="34" t="s">
        <v>0</v>
      </c>
      <c r="G735" s="62" t="s">
        <v>41</v>
      </c>
      <c r="H735" s="61">
        <v>17786</v>
      </c>
      <c r="N735" s="67" t="s">
        <v>42</v>
      </c>
    </row>
    <row r="736" spans="2:14" ht="32" x14ac:dyDescent="0.2">
      <c r="B736" s="214" t="s">
        <v>207</v>
      </c>
      <c r="C736" s="19" t="s">
        <v>40</v>
      </c>
      <c r="F736" s="34" t="s">
        <v>0</v>
      </c>
      <c r="G736" s="62" t="s">
        <v>41</v>
      </c>
      <c r="H736" s="61">
        <v>17786</v>
      </c>
      <c r="N736" s="67" t="s">
        <v>42</v>
      </c>
    </row>
    <row r="737" spans="2:14" ht="48" x14ac:dyDescent="0.2">
      <c r="B737" s="215" t="s">
        <v>208</v>
      </c>
      <c r="C737" s="19" t="s">
        <v>40</v>
      </c>
      <c r="F737" s="34" t="s">
        <v>0</v>
      </c>
      <c r="G737" s="62" t="s">
        <v>41</v>
      </c>
      <c r="H737" s="61">
        <v>17786</v>
      </c>
      <c r="N737" s="67" t="s">
        <v>42</v>
      </c>
    </row>
    <row r="738" spans="2:14" ht="17" x14ac:dyDescent="0.2">
      <c r="B738" s="216" t="s">
        <v>96</v>
      </c>
      <c r="C738" s="19" t="s">
        <v>40</v>
      </c>
      <c r="F738" s="34" t="s">
        <v>0</v>
      </c>
      <c r="G738" s="62" t="s">
        <v>41</v>
      </c>
      <c r="H738" s="61">
        <v>17786</v>
      </c>
      <c r="N738" s="67" t="s">
        <v>42</v>
      </c>
    </row>
    <row r="739" spans="2:14" ht="32" x14ac:dyDescent="0.2">
      <c r="B739" s="215" t="s">
        <v>209</v>
      </c>
      <c r="C739" s="19" t="s">
        <v>40</v>
      </c>
      <c r="F739" s="34" t="s">
        <v>0</v>
      </c>
      <c r="G739" s="62" t="s">
        <v>41</v>
      </c>
      <c r="H739" s="61">
        <v>17786</v>
      </c>
      <c r="N739" s="67" t="s">
        <v>42</v>
      </c>
    </row>
    <row r="740" spans="2:14" ht="32" x14ac:dyDescent="0.2">
      <c r="B740" s="217" t="s">
        <v>210</v>
      </c>
      <c r="C740" s="19" t="s">
        <v>40</v>
      </c>
      <c r="F740" s="34" t="s">
        <v>0</v>
      </c>
      <c r="G740" s="62" t="s">
        <v>41</v>
      </c>
      <c r="H740" s="61">
        <v>17786</v>
      </c>
      <c r="N740" s="67" t="s">
        <v>42</v>
      </c>
    </row>
    <row r="741" spans="2:14" ht="17" x14ac:dyDescent="0.2">
      <c r="B741" s="215" t="s">
        <v>99</v>
      </c>
      <c r="C741" s="19" t="s">
        <v>40</v>
      </c>
      <c r="F741" s="34" t="s">
        <v>0</v>
      </c>
      <c r="G741" s="62" t="s">
        <v>41</v>
      </c>
      <c r="H741" s="61">
        <v>17786</v>
      </c>
      <c r="N741" s="67" t="s">
        <v>42</v>
      </c>
    </row>
    <row r="742" spans="2:14" ht="17" x14ac:dyDescent="0.2">
      <c r="B742" s="218" t="s">
        <v>211</v>
      </c>
      <c r="C742" s="19" t="s">
        <v>40</v>
      </c>
      <c r="F742" s="34" t="s">
        <v>0</v>
      </c>
      <c r="G742" s="62" t="s">
        <v>41</v>
      </c>
      <c r="H742" s="61">
        <v>17786</v>
      </c>
      <c r="N742" s="67" t="s">
        <v>42</v>
      </c>
    </row>
    <row r="743" spans="2:14" ht="34" x14ac:dyDescent="0.2">
      <c r="B743" s="132" t="s">
        <v>116</v>
      </c>
      <c r="N743" s="67" t="s">
        <v>45</v>
      </c>
    </row>
    <row r="744" spans="2:14" ht="64" x14ac:dyDescent="0.2">
      <c r="B744" s="143" t="s">
        <v>117</v>
      </c>
      <c r="C744" s="19" t="s">
        <v>40</v>
      </c>
      <c r="F744" s="34" t="s">
        <v>92</v>
      </c>
      <c r="G744" s="62" t="s">
        <v>41</v>
      </c>
      <c r="H744" s="61">
        <v>17786</v>
      </c>
      <c r="N744" s="67" t="s">
        <v>42</v>
      </c>
    </row>
    <row r="745" spans="2:14" ht="64" x14ac:dyDescent="0.2">
      <c r="B745" s="143" t="s">
        <v>118</v>
      </c>
      <c r="C745" s="19" t="s">
        <v>40</v>
      </c>
      <c r="F745" s="34" t="s">
        <v>92</v>
      </c>
      <c r="G745" s="62" t="s">
        <v>41</v>
      </c>
      <c r="H745" s="61">
        <v>17786</v>
      </c>
      <c r="N745" s="67" t="s">
        <v>42</v>
      </c>
    </row>
    <row r="746" spans="2:14" ht="17" x14ac:dyDescent="0.2">
      <c r="B746" s="143" t="s">
        <v>119</v>
      </c>
      <c r="C746" s="19" t="s">
        <v>40</v>
      </c>
      <c r="F746" s="34" t="s">
        <v>92</v>
      </c>
      <c r="G746" s="62" t="s">
        <v>41</v>
      </c>
      <c r="H746" s="61">
        <v>17786</v>
      </c>
      <c r="N746" s="67" t="s">
        <v>42</v>
      </c>
    </row>
    <row r="747" spans="2:14" ht="32" x14ac:dyDescent="0.2">
      <c r="B747" s="143" t="s">
        <v>120</v>
      </c>
      <c r="C747" s="19" t="s">
        <v>40</v>
      </c>
      <c r="F747" s="34" t="s">
        <v>92</v>
      </c>
      <c r="G747" s="62" t="s">
        <v>41</v>
      </c>
      <c r="H747" s="61">
        <v>17786</v>
      </c>
      <c r="N747" s="67" t="s">
        <v>42</v>
      </c>
    </row>
    <row r="748" spans="2:14" ht="17" x14ac:dyDescent="0.2">
      <c r="B748" s="128" t="s">
        <v>121</v>
      </c>
      <c r="C748" s="19"/>
      <c r="N748" s="67" t="s">
        <v>45</v>
      </c>
    </row>
    <row r="749" spans="2:14" ht="17" x14ac:dyDescent="0.2">
      <c r="B749" s="145" t="s">
        <v>122</v>
      </c>
      <c r="C749" s="19" t="s">
        <v>40</v>
      </c>
      <c r="F749" s="34" t="s">
        <v>0</v>
      </c>
      <c r="G749" s="62" t="s">
        <v>41</v>
      </c>
      <c r="H749" s="61">
        <v>17786</v>
      </c>
      <c r="N749" s="67" t="s">
        <v>42</v>
      </c>
    </row>
    <row r="750" spans="2:14" ht="17" x14ac:dyDescent="0.2">
      <c r="B750" s="139" t="s">
        <v>123</v>
      </c>
      <c r="C750" s="19" t="s">
        <v>40</v>
      </c>
      <c r="F750" s="34" t="s">
        <v>0</v>
      </c>
      <c r="G750" s="62" t="s">
        <v>41</v>
      </c>
      <c r="H750" s="61">
        <v>17786</v>
      </c>
      <c r="N750" s="67" t="s">
        <v>42</v>
      </c>
    </row>
    <row r="751" spans="2:14" ht="17" x14ac:dyDescent="0.2">
      <c r="B751" s="139" t="s">
        <v>124</v>
      </c>
      <c r="C751" s="19" t="s">
        <v>40</v>
      </c>
      <c r="F751" s="34" t="s">
        <v>0</v>
      </c>
      <c r="G751" s="62" t="s">
        <v>41</v>
      </c>
      <c r="H751" s="61">
        <v>17786</v>
      </c>
      <c r="N751" s="67" t="s">
        <v>42</v>
      </c>
    </row>
    <row r="752" spans="2:14" ht="17" x14ac:dyDescent="0.2">
      <c r="B752" s="139" t="s">
        <v>125</v>
      </c>
      <c r="C752" s="19" t="s">
        <v>40</v>
      </c>
      <c r="F752" s="34" t="s">
        <v>0</v>
      </c>
      <c r="G752" s="62" t="s">
        <v>41</v>
      </c>
      <c r="H752" s="61">
        <v>17786</v>
      </c>
      <c r="N752" s="67" t="s">
        <v>42</v>
      </c>
    </row>
    <row r="753" spans="2:14" ht="17" x14ac:dyDescent="0.2">
      <c r="B753" s="145" t="s">
        <v>126</v>
      </c>
      <c r="C753" s="19" t="s">
        <v>40</v>
      </c>
      <c r="F753" s="34" t="s">
        <v>0</v>
      </c>
      <c r="G753" s="62" t="s">
        <v>41</v>
      </c>
      <c r="H753" s="61">
        <v>17786</v>
      </c>
      <c r="N753" s="67" t="s">
        <v>42</v>
      </c>
    </row>
    <row r="754" spans="2:14" ht="17" x14ac:dyDescent="0.2">
      <c r="B754" s="138" t="s">
        <v>127</v>
      </c>
      <c r="C754" s="19" t="s">
        <v>40</v>
      </c>
      <c r="F754" s="34" t="s">
        <v>0</v>
      </c>
      <c r="G754" s="62" t="s">
        <v>41</v>
      </c>
      <c r="H754" s="61">
        <v>17786</v>
      </c>
      <c r="N754" s="67" t="s">
        <v>42</v>
      </c>
    </row>
    <row r="755" spans="2:14" ht="17" x14ac:dyDescent="0.2">
      <c r="B755" s="138" t="s">
        <v>128</v>
      </c>
      <c r="C755" s="19" t="s">
        <v>40</v>
      </c>
      <c r="F755" s="34" t="s">
        <v>0</v>
      </c>
      <c r="G755" s="62" t="s">
        <v>41</v>
      </c>
      <c r="H755" s="61">
        <v>17786</v>
      </c>
      <c r="N755" s="67" t="s">
        <v>42</v>
      </c>
    </row>
    <row r="756" spans="2:14" ht="17" x14ac:dyDescent="0.2">
      <c r="B756" s="220" t="s">
        <v>212</v>
      </c>
      <c r="C756" s="19" t="s">
        <v>40</v>
      </c>
      <c r="F756" s="34" t="s">
        <v>0</v>
      </c>
      <c r="G756" s="62" t="s">
        <v>41</v>
      </c>
      <c r="H756" s="61">
        <v>17786</v>
      </c>
      <c r="N756" s="67" t="s">
        <v>42</v>
      </c>
    </row>
    <row r="757" spans="2:14" ht="17" x14ac:dyDescent="0.2">
      <c r="B757" s="138" t="s">
        <v>130</v>
      </c>
      <c r="C757" s="19" t="s">
        <v>40</v>
      </c>
      <c r="F757" s="34" t="s">
        <v>0</v>
      </c>
      <c r="G757" s="62" t="s">
        <v>41</v>
      </c>
      <c r="H757" s="61">
        <v>17786</v>
      </c>
      <c r="N757" s="67" t="s">
        <v>42</v>
      </c>
    </row>
    <row r="758" spans="2:14" ht="17" x14ac:dyDescent="0.2">
      <c r="B758" s="147" t="s">
        <v>131</v>
      </c>
      <c r="C758" s="19" t="s">
        <v>40</v>
      </c>
      <c r="F758" s="34" t="s">
        <v>0</v>
      </c>
      <c r="G758" s="62" t="s">
        <v>41</v>
      </c>
      <c r="H758" s="61">
        <v>17786</v>
      </c>
      <c r="N758" s="67" t="s">
        <v>42</v>
      </c>
    </row>
    <row r="759" spans="2:14" ht="17" x14ac:dyDescent="0.2">
      <c r="B759" s="147" t="s">
        <v>132</v>
      </c>
      <c r="C759" s="19" t="s">
        <v>40</v>
      </c>
      <c r="F759" s="34" t="s">
        <v>0</v>
      </c>
      <c r="G759" s="62" t="s">
        <v>41</v>
      </c>
      <c r="H759" s="61">
        <v>17786</v>
      </c>
      <c r="N759" s="67" t="s">
        <v>42</v>
      </c>
    </row>
    <row r="760" spans="2:14" ht="17" x14ac:dyDescent="0.2">
      <c r="B760" s="147" t="s">
        <v>133</v>
      </c>
      <c r="C760" s="19" t="s">
        <v>40</v>
      </c>
      <c r="F760" s="34" t="s">
        <v>0</v>
      </c>
      <c r="G760" s="62" t="s">
        <v>41</v>
      </c>
      <c r="H760" s="61">
        <v>17786</v>
      </c>
      <c r="N760" s="67" t="s">
        <v>42</v>
      </c>
    </row>
    <row r="761" spans="2:14" ht="17" x14ac:dyDescent="0.2">
      <c r="B761" s="147" t="s">
        <v>134</v>
      </c>
      <c r="C761" s="19" t="s">
        <v>40</v>
      </c>
      <c r="F761" s="34" t="s">
        <v>0</v>
      </c>
      <c r="G761" s="62" t="s">
        <v>41</v>
      </c>
      <c r="H761" s="61">
        <v>17786</v>
      </c>
      <c r="N761" s="67" t="s">
        <v>42</v>
      </c>
    </row>
    <row r="762" spans="2:14" ht="17" x14ac:dyDescent="0.2">
      <c r="B762" s="147" t="s">
        <v>135</v>
      </c>
      <c r="C762" s="19" t="s">
        <v>40</v>
      </c>
      <c r="F762" s="34" t="s">
        <v>0</v>
      </c>
      <c r="G762" s="62" t="s">
        <v>41</v>
      </c>
      <c r="H762" s="61">
        <v>17786</v>
      </c>
      <c r="N762" s="67" t="s">
        <v>42</v>
      </c>
    </row>
    <row r="763" spans="2:14" ht="17" x14ac:dyDescent="0.2">
      <c r="B763" s="147" t="s">
        <v>136</v>
      </c>
      <c r="C763" s="19" t="s">
        <v>40</v>
      </c>
      <c r="G763" s="62" t="s">
        <v>41</v>
      </c>
      <c r="H763" s="61">
        <v>17786</v>
      </c>
      <c r="N763" s="67" t="s">
        <v>42</v>
      </c>
    </row>
    <row r="764" spans="2:14" ht="23" x14ac:dyDescent="0.3">
      <c r="B764" s="148" t="s">
        <v>137</v>
      </c>
      <c r="C764" s="19"/>
      <c r="N764" s="67" t="s">
        <v>45</v>
      </c>
    </row>
    <row r="765" spans="2:14" ht="23" x14ac:dyDescent="0.3">
      <c r="B765" s="148" t="s">
        <v>138</v>
      </c>
      <c r="C765" s="19"/>
      <c r="N765" s="67" t="s">
        <v>45</v>
      </c>
    </row>
    <row r="766" spans="2:14" ht="17" x14ac:dyDescent="0.2">
      <c r="B766" s="168" t="s">
        <v>139</v>
      </c>
      <c r="C766" s="19" t="s">
        <v>40</v>
      </c>
      <c r="F766" s="34" t="s">
        <v>0</v>
      </c>
      <c r="G766" s="62" t="s">
        <v>41</v>
      </c>
      <c r="H766" s="61">
        <v>17786</v>
      </c>
      <c r="N766" s="67" t="s">
        <v>42</v>
      </c>
    </row>
    <row r="767" spans="2:14" ht="17" x14ac:dyDescent="0.2">
      <c r="B767" s="147" t="s">
        <v>140</v>
      </c>
      <c r="C767" s="19" t="s">
        <v>40</v>
      </c>
      <c r="F767" s="34" t="s">
        <v>0</v>
      </c>
      <c r="G767" s="62" t="s">
        <v>41</v>
      </c>
      <c r="H767" s="61">
        <v>17786</v>
      </c>
      <c r="N767" s="67" t="s">
        <v>42</v>
      </c>
    </row>
    <row r="768" spans="2:14" ht="17" x14ac:dyDescent="0.2">
      <c r="B768" s="147" t="s">
        <v>141</v>
      </c>
      <c r="C768" s="19" t="s">
        <v>40</v>
      </c>
      <c r="F768" s="34" t="s">
        <v>0</v>
      </c>
      <c r="G768" s="62" t="s">
        <v>41</v>
      </c>
      <c r="H768" s="61">
        <v>17786</v>
      </c>
      <c r="N768" s="67" t="s">
        <v>42</v>
      </c>
    </row>
    <row r="769" spans="2:14" ht="17" x14ac:dyDescent="0.2">
      <c r="B769" s="147" t="s">
        <v>142</v>
      </c>
      <c r="C769" s="19" t="s">
        <v>40</v>
      </c>
      <c r="F769" s="34" t="s">
        <v>0</v>
      </c>
      <c r="G769" s="62" t="s">
        <v>41</v>
      </c>
      <c r="H769" s="61">
        <v>17786</v>
      </c>
      <c r="N769" s="67" t="s">
        <v>42</v>
      </c>
    </row>
    <row r="770" spans="2:14" ht="17" x14ac:dyDescent="0.2">
      <c r="B770" s="147" t="s">
        <v>143</v>
      </c>
      <c r="C770" s="19" t="s">
        <v>40</v>
      </c>
      <c r="F770" s="34" t="s">
        <v>0</v>
      </c>
      <c r="G770" s="62" t="s">
        <v>41</v>
      </c>
      <c r="H770" s="61">
        <v>17786</v>
      </c>
      <c r="N770" s="67" t="s">
        <v>42</v>
      </c>
    </row>
    <row r="771" spans="2:14" ht="17" x14ac:dyDescent="0.2">
      <c r="B771" s="168" t="s">
        <v>213</v>
      </c>
      <c r="C771" s="19" t="s">
        <v>40</v>
      </c>
      <c r="F771" s="34" t="s">
        <v>0</v>
      </c>
      <c r="G771" s="62" t="s">
        <v>41</v>
      </c>
      <c r="H771" s="61">
        <v>17786</v>
      </c>
      <c r="N771" s="67" t="s">
        <v>42</v>
      </c>
    </row>
    <row r="772" spans="2:14" ht="23" x14ac:dyDescent="0.3">
      <c r="B772" s="148" t="s">
        <v>144</v>
      </c>
      <c r="C772" s="19"/>
      <c r="N772" s="67" t="s">
        <v>45</v>
      </c>
    </row>
    <row r="773" spans="2:14" ht="17" x14ac:dyDescent="0.2">
      <c r="B773" s="168" t="s">
        <v>145</v>
      </c>
      <c r="C773" s="19" t="s">
        <v>40</v>
      </c>
      <c r="F773" s="34" t="s">
        <v>0</v>
      </c>
      <c r="G773" s="62" t="s">
        <v>41</v>
      </c>
      <c r="H773" s="61">
        <v>17786</v>
      </c>
      <c r="N773" s="67" t="s">
        <v>42</v>
      </c>
    </row>
    <row r="774" spans="2:14" ht="17" x14ac:dyDescent="0.2">
      <c r="B774" s="168" t="s">
        <v>146</v>
      </c>
      <c r="C774" s="19" t="s">
        <v>40</v>
      </c>
      <c r="F774" s="34" t="s">
        <v>0</v>
      </c>
      <c r="G774" s="62" t="s">
        <v>41</v>
      </c>
      <c r="H774" s="61">
        <v>17786</v>
      </c>
      <c r="N774" s="67" t="s">
        <v>42</v>
      </c>
    </row>
    <row r="775" spans="2:14" ht="17" x14ac:dyDescent="0.2">
      <c r="B775" s="168" t="s">
        <v>147</v>
      </c>
      <c r="C775" s="19" t="s">
        <v>40</v>
      </c>
      <c r="F775" s="34" t="s">
        <v>0</v>
      </c>
      <c r="G775" s="62" t="s">
        <v>41</v>
      </c>
      <c r="H775" s="61">
        <v>17786</v>
      </c>
      <c r="N775" s="67" t="s">
        <v>42</v>
      </c>
    </row>
    <row r="776" spans="2:14" ht="17" x14ac:dyDescent="0.2">
      <c r="B776" s="168" t="s">
        <v>214</v>
      </c>
      <c r="C776" s="19" t="s">
        <v>40</v>
      </c>
      <c r="F776" s="34" t="s">
        <v>0</v>
      </c>
      <c r="G776" s="62" t="s">
        <v>41</v>
      </c>
      <c r="H776" s="61">
        <v>17786</v>
      </c>
      <c r="N776" s="67" t="s">
        <v>42</v>
      </c>
    </row>
    <row r="777" spans="2:14" ht="17" x14ac:dyDescent="0.2">
      <c r="B777" s="168" t="s">
        <v>149</v>
      </c>
      <c r="C777" s="19" t="s">
        <v>40</v>
      </c>
      <c r="F777" s="34" t="s">
        <v>0</v>
      </c>
      <c r="G777" s="62" t="s">
        <v>41</v>
      </c>
      <c r="H777" s="61">
        <v>17786</v>
      </c>
      <c r="N777" s="67" t="s">
        <v>42</v>
      </c>
    </row>
    <row r="778" spans="2:14" ht="20" x14ac:dyDescent="0.25">
      <c r="B778" s="149" t="s">
        <v>150</v>
      </c>
      <c r="C778" s="19"/>
      <c r="N778" s="67" t="s">
        <v>45</v>
      </c>
    </row>
    <row r="779" spans="2:14" ht="17" x14ac:dyDescent="0.2">
      <c r="B779" s="150" t="s">
        <v>151</v>
      </c>
      <c r="C779" s="19"/>
      <c r="N779" s="67" t="s">
        <v>45</v>
      </c>
    </row>
    <row r="780" spans="2:14" ht="17" x14ac:dyDescent="0.2">
      <c r="B780" s="151" t="s">
        <v>152</v>
      </c>
      <c r="C780" s="19" t="s">
        <v>40</v>
      </c>
      <c r="F780" s="34" t="s">
        <v>0</v>
      </c>
      <c r="G780" s="62" t="s">
        <v>41</v>
      </c>
      <c r="H780" s="61">
        <v>17786</v>
      </c>
      <c r="N780" s="67" t="s">
        <v>42</v>
      </c>
    </row>
    <row r="781" spans="2:14" ht="17" x14ac:dyDescent="0.2">
      <c r="B781" s="151" t="s">
        <v>153</v>
      </c>
      <c r="C781" s="19" t="s">
        <v>40</v>
      </c>
      <c r="F781" s="34" t="s">
        <v>0</v>
      </c>
      <c r="G781" s="62" t="s">
        <v>41</v>
      </c>
      <c r="H781" s="61">
        <v>17786</v>
      </c>
      <c r="N781" s="67" t="s">
        <v>42</v>
      </c>
    </row>
    <row r="782" spans="2:14" ht="17" x14ac:dyDescent="0.2">
      <c r="B782" s="152" t="s">
        <v>154</v>
      </c>
      <c r="C782" s="19" t="s">
        <v>40</v>
      </c>
      <c r="F782" s="34" t="s">
        <v>0</v>
      </c>
      <c r="G782" s="62" t="s">
        <v>41</v>
      </c>
      <c r="H782" s="61">
        <v>17786</v>
      </c>
      <c r="N782" s="67" t="s">
        <v>42</v>
      </c>
    </row>
    <row r="783" spans="2:14" ht="17" x14ac:dyDescent="0.2">
      <c r="B783" s="143" t="s">
        <v>155</v>
      </c>
      <c r="C783" s="19" t="s">
        <v>40</v>
      </c>
      <c r="F783" s="34" t="s">
        <v>0</v>
      </c>
      <c r="G783" s="62" t="s">
        <v>41</v>
      </c>
      <c r="H783" s="61">
        <v>17786</v>
      </c>
      <c r="N783" s="67" t="s">
        <v>42</v>
      </c>
    </row>
    <row r="784" spans="2:14" ht="17" x14ac:dyDescent="0.2">
      <c r="B784" s="153" t="s">
        <v>156</v>
      </c>
      <c r="N784" s="67" t="s">
        <v>45</v>
      </c>
    </row>
    <row r="785" spans="2:14" ht="17" x14ac:dyDescent="0.2">
      <c r="B785" s="153" t="s">
        <v>157</v>
      </c>
      <c r="C785" s="19"/>
      <c r="N785" s="67" t="s">
        <v>45</v>
      </c>
    </row>
    <row r="786" spans="2:14" ht="17" x14ac:dyDescent="0.2">
      <c r="B786" s="154" t="s">
        <v>158</v>
      </c>
      <c r="C786" s="19" t="s">
        <v>40</v>
      </c>
      <c r="F786" s="34" t="s">
        <v>0</v>
      </c>
      <c r="G786" s="62" t="s">
        <v>41</v>
      </c>
      <c r="H786" s="61">
        <v>17786</v>
      </c>
      <c r="N786" s="67" t="s">
        <v>42</v>
      </c>
    </row>
    <row r="787" spans="2:14" ht="17" x14ac:dyDescent="0.2">
      <c r="B787" s="155" t="s">
        <v>159</v>
      </c>
      <c r="C787" s="19" t="s">
        <v>40</v>
      </c>
      <c r="F787" s="34" t="s">
        <v>0</v>
      </c>
      <c r="G787" s="62" t="s">
        <v>41</v>
      </c>
      <c r="H787" s="61">
        <v>17786</v>
      </c>
      <c r="N787" s="67" t="s">
        <v>42</v>
      </c>
    </row>
    <row r="788" spans="2:14" ht="17" x14ac:dyDescent="0.2">
      <c r="B788" s="151" t="s">
        <v>160</v>
      </c>
      <c r="C788" s="19" t="s">
        <v>40</v>
      </c>
      <c r="F788" s="34" t="s">
        <v>0</v>
      </c>
      <c r="G788" s="62" t="s">
        <v>41</v>
      </c>
      <c r="H788" s="61">
        <v>17786</v>
      </c>
      <c r="N788" s="67" t="s">
        <v>42</v>
      </c>
    </row>
    <row r="789" spans="2:14" ht="17" x14ac:dyDescent="0.2">
      <c r="B789" s="153" t="s">
        <v>161</v>
      </c>
      <c r="C789" s="19"/>
      <c r="N789" s="67" t="s">
        <v>45</v>
      </c>
    </row>
    <row r="790" spans="2:14" ht="17" x14ac:dyDescent="0.2">
      <c r="B790" s="156" t="s">
        <v>162</v>
      </c>
      <c r="C790" s="19"/>
      <c r="N790" s="67" t="s">
        <v>45</v>
      </c>
    </row>
    <row r="791" spans="2:14" ht="48" x14ac:dyDescent="0.2">
      <c r="B791" s="151" t="s">
        <v>163</v>
      </c>
      <c r="C791" s="19" t="s">
        <v>40</v>
      </c>
      <c r="F791" s="34" t="s">
        <v>0</v>
      </c>
      <c r="G791" s="62" t="s">
        <v>41</v>
      </c>
      <c r="H791" s="61">
        <v>17786</v>
      </c>
      <c r="N791" s="67" t="s">
        <v>42</v>
      </c>
    </row>
    <row r="792" spans="2:14" ht="17" x14ac:dyDescent="0.2">
      <c r="B792" s="138" t="s">
        <v>164</v>
      </c>
      <c r="C792" s="19" t="s">
        <v>40</v>
      </c>
      <c r="F792" s="34" t="s">
        <v>0</v>
      </c>
      <c r="G792" s="62" t="s">
        <v>41</v>
      </c>
      <c r="H792" s="61">
        <v>17786</v>
      </c>
      <c r="N792" s="67" t="s">
        <v>42</v>
      </c>
    </row>
    <row r="793" spans="2:14" ht="17" x14ac:dyDescent="0.2">
      <c r="B793" s="156" t="s">
        <v>165</v>
      </c>
      <c r="C793" s="19"/>
      <c r="N793" s="67" t="s">
        <v>45</v>
      </c>
    </row>
    <row r="794" spans="2:14" ht="48" x14ac:dyDescent="0.2">
      <c r="B794" s="151" t="s">
        <v>166</v>
      </c>
      <c r="C794" s="19" t="s">
        <v>40</v>
      </c>
      <c r="F794" s="34" t="s">
        <v>0</v>
      </c>
      <c r="G794" s="62" t="s">
        <v>41</v>
      </c>
      <c r="H794" s="61">
        <v>17786</v>
      </c>
      <c r="N794" s="67" t="s">
        <v>42</v>
      </c>
    </row>
    <row r="795" spans="2:14" ht="17" x14ac:dyDescent="0.2">
      <c r="B795" s="138" t="s">
        <v>167</v>
      </c>
      <c r="C795" s="19" t="s">
        <v>40</v>
      </c>
      <c r="F795" s="34" t="s">
        <v>0</v>
      </c>
      <c r="G795" s="62" t="s">
        <v>41</v>
      </c>
      <c r="H795" s="61">
        <v>17786</v>
      </c>
      <c r="N795" s="67" t="s">
        <v>42</v>
      </c>
    </row>
    <row r="796" spans="2:14" ht="17" x14ac:dyDescent="0.2">
      <c r="B796" s="157" t="s">
        <v>168</v>
      </c>
      <c r="N796" s="67" t="s">
        <v>45</v>
      </c>
    </row>
    <row r="797" spans="2:14" ht="51" x14ac:dyDescent="0.2">
      <c r="B797" s="158" t="s">
        <v>169</v>
      </c>
      <c r="C797" s="19" t="s">
        <v>40</v>
      </c>
      <c r="F797" s="34" t="s">
        <v>0</v>
      </c>
      <c r="G797" s="62" t="s">
        <v>41</v>
      </c>
      <c r="H797" s="61">
        <v>17786</v>
      </c>
      <c r="N797" s="67" t="s">
        <v>42</v>
      </c>
    </row>
    <row r="798" spans="2:14" ht="17" x14ac:dyDescent="0.2">
      <c r="B798" s="159" t="s">
        <v>170</v>
      </c>
      <c r="C798" s="19" t="s">
        <v>40</v>
      </c>
      <c r="F798" s="34" t="s">
        <v>0</v>
      </c>
      <c r="G798" s="62" t="s">
        <v>41</v>
      </c>
      <c r="H798" s="61">
        <v>17786</v>
      </c>
      <c r="N798" s="67" t="s">
        <v>42</v>
      </c>
    </row>
    <row r="799" spans="2:14" ht="17" x14ac:dyDescent="0.2">
      <c r="B799" s="157" t="s">
        <v>215</v>
      </c>
      <c r="C799" s="19"/>
      <c r="N799" s="67" t="s">
        <v>45</v>
      </c>
    </row>
    <row r="800" spans="2:14" ht="55.5" customHeight="1" x14ac:dyDescent="0.2">
      <c r="B800" s="158" t="s">
        <v>216</v>
      </c>
      <c r="C800" s="19" t="s">
        <v>40</v>
      </c>
      <c r="F800" s="34" t="s">
        <v>0</v>
      </c>
      <c r="G800" s="62" t="s">
        <v>41</v>
      </c>
      <c r="H800" s="61">
        <v>17786</v>
      </c>
      <c r="N800" s="67" t="s">
        <v>42</v>
      </c>
    </row>
    <row r="801" spans="2:14" ht="17" x14ac:dyDescent="0.2">
      <c r="B801" s="144" t="s">
        <v>217</v>
      </c>
      <c r="C801" s="19" t="s">
        <v>40</v>
      </c>
      <c r="F801" s="34" t="s">
        <v>0</v>
      </c>
      <c r="G801" s="62" t="s">
        <v>41</v>
      </c>
      <c r="H801" s="61">
        <v>17786</v>
      </c>
      <c r="N801" s="67" t="s">
        <v>42</v>
      </c>
    </row>
    <row r="802" spans="2:14" ht="17" x14ac:dyDescent="0.2">
      <c r="B802" s="157" t="s">
        <v>171</v>
      </c>
      <c r="C802" s="19"/>
      <c r="N802" s="67" t="s">
        <v>45</v>
      </c>
    </row>
    <row r="803" spans="2:14" ht="48" x14ac:dyDescent="0.2">
      <c r="B803" s="144" t="s">
        <v>172</v>
      </c>
      <c r="C803" s="19" t="s">
        <v>40</v>
      </c>
      <c r="F803" s="34" t="s">
        <v>0</v>
      </c>
      <c r="G803" s="62" t="s">
        <v>41</v>
      </c>
      <c r="H803" s="61">
        <v>17786</v>
      </c>
      <c r="N803" s="67" t="s">
        <v>42</v>
      </c>
    </row>
    <row r="804" spans="2:14" ht="17" x14ac:dyDescent="0.2">
      <c r="B804" s="160" t="s">
        <v>173</v>
      </c>
      <c r="C804" s="19" t="s">
        <v>40</v>
      </c>
      <c r="F804" s="34" t="s">
        <v>0</v>
      </c>
      <c r="G804" s="62" t="s">
        <v>41</v>
      </c>
      <c r="H804" s="61">
        <v>17786</v>
      </c>
      <c r="N804" s="67" t="s">
        <v>42</v>
      </c>
    </row>
    <row r="805" spans="2:14" ht="17" x14ac:dyDescent="0.2">
      <c r="B805" s="161" t="s">
        <v>174</v>
      </c>
      <c r="N805" s="67" t="s">
        <v>45</v>
      </c>
    </row>
    <row r="806" spans="2:14" ht="51" x14ac:dyDescent="0.2">
      <c r="B806" s="161" t="s">
        <v>175</v>
      </c>
      <c r="C806" s="19"/>
      <c r="N806" s="67" t="s">
        <v>45</v>
      </c>
    </row>
    <row r="807" spans="2:14" ht="17" x14ac:dyDescent="0.2">
      <c r="B807" s="131" t="s">
        <v>176</v>
      </c>
      <c r="C807" s="19" t="s">
        <v>40</v>
      </c>
      <c r="F807" s="34" t="s">
        <v>0</v>
      </c>
      <c r="G807" s="62" t="s">
        <v>41</v>
      </c>
      <c r="H807" s="61">
        <v>17786</v>
      </c>
      <c r="N807" s="67" t="s">
        <v>42</v>
      </c>
    </row>
    <row r="808" spans="2:14" ht="17" x14ac:dyDescent="0.2">
      <c r="B808" s="160" t="s">
        <v>177</v>
      </c>
      <c r="C808" s="19" t="s">
        <v>40</v>
      </c>
      <c r="F808" s="34" t="s">
        <v>0</v>
      </c>
      <c r="G808" s="62" t="s">
        <v>41</v>
      </c>
      <c r="H808" s="61">
        <v>17786</v>
      </c>
      <c r="N808" s="67" t="s">
        <v>42</v>
      </c>
    </row>
    <row r="809" spans="2:14" ht="17" x14ac:dyDescent="0.2">
      <c r="B809" s="160" t="s">
        <v>218</v>
      </c>
      <c r="C809" s="19" t="s">
        <v>40</v>
      </c>
      <c r="F809" s="34" t="s">
        <v>0</v>
      </c>
      <c r="G809" s="62" t="s">
        <v>41</v>
      </c>
      <c r="H809" s="61">
        <v>17786</v>
      </c>
      <c r="N809" s="67" t="s">
        <v>42</v>
      </c>
    </row>
    <row r="810" spans="2:14" ht="68" x14ac:dyDescent="0.2">
      <c r="B810" s="160" t="s">
        <v>219</v>
      </c>
      <c r="C810" s="19" t="s">
        <v>40</v>
      </c>
      <c r="F810" s="34" t="s">
        <v>0</v>
      </c>
      <c r="G810" s="62" t="s">
        <v>41</v>
      </c>
      <c r="H810" s="61">
        <v>17786</v>
      </c>
      <c r="N810" s="67" t="s">
        <v>42</v>
      </c>
    </row>
    <row r="811" spans="2:14" ht="17" x14ac:dyDescent="0.2">
      <c r="B811" s="131" t="s">
        <v>178</v>
      </c>
      <c r="C811" s="19" t="s">
        <v>40</v>
      </c>
      <c r="F811" s="34" t="s">
        <v>0</v>
      </c>
      <c r="G811" s="62" t="s">
        <v>41</v>
      </c>
      <c r="H811" s="61">
        <v>17786</v>
      </c>
      <c r="N811" s="67" t="s">
        <v>42</v>
      </c>
    </row>
    <row r="812" spans="2:14" ht="68" x14ac:dyDescent="0.2">
      <c r="B812" s="131" t="s">
        <v>179</v>
      </c>
      <c r="C812" s="19" t="s">
        <v>40</v>
      </c>
      <c r="F812" s="34" t="s">
        <v>0</v>
      </c>
      <c r="G812" s="62" t="s">
        <v>41</v>
      </c>
      <c r="H812" s="61">
        <v>17786</v>
      </c>
      <c r="N812" s="67" t="s">
        <v>42</v>
      </c>
    </row>
    <row r="813" spans="2:14" ht="17" x14ac:dyDescent="0.2">
      <c r="B813" s="131" t="s">
        <v>180</v>
      </c>
      <c r="C813" s="19" t="s">
        <v>40</v>
      </c>
      <c r="F813" s="34" t="s">
        <v>0</v>
      </c>
      <c r="G813" s="62" t="s">
        <v>41</v>
      </c>
      <c r="H813" s="61">
        <v>17786</v>
      </c>
      <c r="N813" s="67" t="s">
        <v>42</v>
      </c>
    </row>
    <row r="814" spans="2:14" ht="68" x14ac:dyDescent="0.2">
      <c r="B814" s="131" t="s">
        <v>181</v>
      </c>
      <c r="C814" s="19" t="s">
        <v>40</v>
      </c>
      <c r="F814" s="34" t="s">
        <v>0</v>
      </c>
      <c r="G814" s="62" t="s">
        <v>41</v>
      </c>
      <c r="H814" s="61">
        <v>17786</v>
      </c>
      <c r="N814" s="67" t="s">
        <v>42</v>
      </c>
    </row>
    <row r="815" spans="2:14" ht="17" x14ac:dyDescent="0.2">
      <c r="B815" s="160" t="s">
        <v>182</v>
      </c>
      <c r="C815" s="19" t="s">
        <v>40</v>
      </c>
      <c r="F815" s="34" t="s">
        <v>0</v>
      </c>
      <c r="G815" s="62" t="s">
        <v>41</v>
      </c>
      <c r="H815" s="61">
        <v>17786</v>
      </c>
      <c r="N815" s="67" t="s">
        <v>42</v>
      </c>
    </row>
    <row r="816" spans="2:14" ht="68" x14ac:dyDescent="0.2">
      <c r="B816" s="160" t="s">
        <v>183</v>
      </c>
      <c r="C816" s="19" t="s">
        <v>40</v>
      </c>
      <c r="F816" s="34" t="s">
        <v>0</v>
      </c>
      <c r="G816" s="62" t="s">
        <v>41</v>
      </c>
      <c r="H816" s="61">
        <v>17786</v>
      </c>
      <c r="N816" s="67" t="s">
        <v>42</v>
      </c>
    </row>
    <row r="817" spans="2:14" ht="17" x14ac:dyDescent="0.2">
      <c r="B817" s="162" t="s">
        <v>184</v>
      </c>
      <c r="C817" s="19" t="s">
        <v>40</v>
      </c>
      <c r="F817" s="34" t="s">
        <v>0</v>
      </c>
      <c r="G817" s="62" t="s">
        <v>41</v>
      </c>
      <c r="H817" s="61">
        <v>17786</v>
      </c>
      <c r="N817" s="67" t="s">
        <v>42</v>
      </c>
    </row>
    <row r="818" spans="2:14" ht="17" x14ac:dyDescent="0.2">
      <c r="B818" s="162" t="s">
        <v>185</v>
      </c>
      <c r="C818" s="19" t="s">
        <v>40</v>
      </c>
      <c r="F818" s="34" t="s">
        <v>0</v>
      </c>
      <c r="G818" s="62" t="s">
        <v>41</v>
      </c>
      <c r="H818" s="61">
        <v>17786</v>
      </c>
      <c r="N818" s="67" t="s">
        <v>42</v>
      </c>
    </row>
    <row r="819" spans="2:14" ht="17" x14ac:dyDescent="0.2">
      <c r="N819" s="67" t="s">
        <v>45</v>
      </c>
    </row>
    <row r="820" spans="2:14" ht="17" x14ac:dyDescent="0.2">
      <c r="N820" s="67" t="s">
        <v>45</v>
      </c>
    </row>
    <row r="821" spans="2:14" ht="25" x14ac:dyDescent="0.3">
      <c r="B821" s="125" t="s">
        <v>220</v>
      </c>
      <c r="C821" s="59"/>
      <c r="N821" s="67" t="s">
        <v>45</v>
      </c>
    </row>
    <row r="822" spans="2:14" ht="83.25" customHeight="1" x14ac:dyDescent="0.2">
      <c r="B822" s="170" t="s">
        <v>221</v>
      </c>
      <c r="C822" s="19"/>
      <c r="N822" s="67" t="s">
        <v>45</v>
      </c>
    </row>
    <row r="823" spans="2:14" ht="46" x14ac:dyDescent="0.2">
      <c r="B823" s="212" t="s">
        <v>202</v>
      </c>
      <c r="C823" s="19"/>
      <c r="N823" s="67" t="s">
        <v>45</v>
      </c>
    </row>
    <row r="824" spans="2:14" ht="17" x14ac:dyDescent="0.2">
      <c r="B824" s="127" t="s">
        <v>31</v>
      </c>
      <c r="C824" s="19"/>
      <c r="N824" s="67" t="s">
        <v>45</v>
      </c>
    </row>
    <row r="825" spans="2:14" ht="17" x14ac:dyDescent="0.2">
      <c r="B825" s="127" t="s">
        <v>32</v>
      </c>
      <c r="N825" s="67" t="s">
        <v>45</v>
      </c>
    </row>
    <row r="826" spans="2:14" ht="17" x14ac:dyDescent="0.2">
      <c r="B826" s="128" t="s">
        <v>33</v>
      </c>
      <c r="N826" s="67" t="s">
        <v>45</v>
      </c>
    </row>
    <row r="827" spans="2:14" ht="17" x14ac:dyDescent="0.2">
      <c r="B827" s="127" t="s">
        <v>34</v>
      </c>
      <c r="C827" s="19"/>
      <c r="N827" s="67" t="s">
        <v>45</v>
      </c>
    </row>
    <row r="828" spans="2:14" ht="51" x14ac:dyDescent="0.2">
      <c r="B828" s="163" t="s">
        <v>222</v>
      </c>
      <c r="C828" s="19"/>
      <c r="N828" s="67" t="s">
        <v>45</v>
      </c>
    </row>
    <row r="829" spans="2:14" ht="17" x14ac:dyDescent="0.2">
      <c r="B829" s="129" t="s">
        <v>36</v>
      </c>
      <c r="C829" s="19"/>
      <c r="N829" s="67" t="s">
        <v>45</v>
      </c>
    </row>
    <row r="830" spans="2:14" ht="17" x14ac:dyDescent="0.2">
      <c r="B830" s="129" t="s">
        <v>37</v>
      </c>
      <c r="C830" s="19"/>
      <c r="N830" s="67" t="s">
        <v>45</v>
      </c>
    </row>
    <row r="831" spans="2:14" ht="17" x14ac:dyDescent="0.2">
      <c r="B831" s="128" t="s">
        <v>38</v>
      </c>
      <c r="C831" s="19"/>
      <c r="N831" s="67" t="s">
        <v>45</v>
      </c>
    </row>
    <row r="832" spans="2:14" ht="51.75" customHeight="1" x14ac:dyDescent="0.2">
      <c r="B832" s="164" t="s">
        <v>223</v>
      </c>
      <c r="C832" s="19" t="s">
        <v>40</v>
      </c>
      <c r="F832" s="34" t="s">
        <v>0</v>
      </c>
      <c r="G832" s="62" t="s">
        <v>41</v>
      </c>
      <c r="H832" s="61">
        <v>17786</v>
      </c>
      <c r="N832" s="67" t="s">
        <v>42</v>
      </c>
    </row>
    <row r="833" spans="2:14" ht="32" x14ac:dyDescent="0.2">
      <c r="B833" s="164" t="s">
        <v>224</v>
      </c>
      <c r="C833" s="19" t="s">
        <v>40</v>
      </c>
      <c r="F833" s="34" t="s">
        <v>0</v>
      </c>
      <c r="G833" s="62" t="s">
        <v>41</v>
      </c>
      <c r="H833" s="61">
        <v>17786</v>
      </c>
      <c r="N833" s="67" t="s">
        <v>42</v>
      </c>
    </row>
    <row r="834" spans="2:14" ht="17" x14ac:dyDescent="0.2">
      <c r="B834" s="128" t="s">
        <v>44</v>
      </c>
      <c r="C834" s="19"/>
      <c r="N834" s="67" t="s">
        <v>45</v>
      </c>
    </row>
    <row r="835" spans="2:14" ht="17" x14ac:dyDescent="0.2">
      <c r="B835" s="164" t="s">
        <v>225</v>
      </c>
      <c r="C835" s="19" t="s">
        <v>40</v>
      </c>
      <c r="F835" s="34" t="s">
        <v>0</v>
      </c>
      <c r="G835" s="62" t="s">
        <v>41</v>
      </c>
      <c r="H835" s="61">
        <v>17786</v>
      </c>
      <c r="N835" s="67" t="s">
        <v>42</v>
      </c>
    </row>
    <row r="836" spans="2:14" ht="17" x14ac:dyDescent="0.2">
      <c r="B836" s="128" t="s">
        <v>47</v>
      </c>
      <c r="N836" s="67" t="s">
        <v>45</v>
      </c>
    </row>
    <row r="837" spans="2:14" ht="17" x14ac:dyDescent="0.2">
      <c r="B837" s="131" t="s">
        <v>48</v>
      </c>
      <c r="C837" s="19" t="s">
        <v>40</v>
      </c>
      <c r="F837" s="34" t="s">
        <v>0</v>
      </c>
      <c r="G837" s="62" t="s">
        <v>41</v>
      </c>
      <c r="H837" s="61">
        <v>17786</v>
      </c>
      <c r="N837" s="67" t="s">
        <v>42</v>
      </c>
    </row>
    <row r="838" spans="2:14" ht="17" x14ac:dyDescent="0.2">
      <c r="B838" s="131" t="s">
        <v>49</v>
      </c>
      <c r="C838" s="19" t="s">
        <v>40</v>
      </c>
      <c r="F838" s="34" t="s">
        <v>0</v>
      </c>
      <c r="G838" s="62" t="s">
        <v>41</v>
      </c>
      <c r="H838" s="61">
        <v>17786</v>
      </c>
      <c r="N838" s="67" t="s">
        <v>42</v>
      </c>
    </row>
    <row r="839" spans="2:14" ht="34" x14ac:dyDescent="0.2">
      <c r="B839" s="131" t="s">
        <v>50</v>
      </c>
      <c r="C839" s="19" t="s">
        <v>40</v>
      </c>
      <c r="F839" s="34" t="s">
        <v>0</v>
      </c>
      <c r="G839" s="62" t="s">
        <v>41</v>
      </c>
      <c r="H839" s="61">
        <v>17786</v>
      </c>
      <c r="N839" s="67" t="s">
        <v>42</v>
      </c>
    </row>
    <row r="840" spans="2:14" ht="17" x14ac:dyDescent="0.2">
      <c r="B840" s="128" t="s">
        <v>51</v>
      </c>
      <c r="C840" s="19"/>
      <c r="N840" s="67" t="s">
        <v>45</v>
      </c>
    </row>
    <row r="841" spans="2:14" ht="30.75" customHeight="1" x14ac:dyDescent="0.2">
      <c r="B841" s="131" t="s">
        <v>52</v>
      </c>
      <c r="C841" s="19" t="s">
        <v>40</v>
      </c>
      <c r="F841" s="34" t="s">
        <v>0</v>
      </c>
      <c r="G841" s="62" t="s">
        <v>41</v>
      </c>
      <c r="H841" s="61">
        <v>17786</v>
      </c>
      <c r="N841" s="67" t="s">
        <v>42</v>
      </c>
    </row>
    <row r="842" spans="2:14" ht="17" x14ac:dyDescent="0.2">
      <c r="B842" s="132" t="s">
        <v>226</v>
      </c>
      <c r="C842" s="19"/>
      <c r="N842" s="67" t="s">
        <v>45</v>
      </c>
    </row>
    <row r="843" spans="2:14" ht="51" x14ac:dyDescent="0.2">
      <c r="B843" s="133" t="s">
        <v>227</v>
      </c>
      <c r="C843" s="19" t="s">
        <v>40</v>
      </c>
      <c r="F843" s="34" t="s">
        <v>0</v>
      </c>
      <c r="G843" s="62" t="s">
        <v>41</v>
      </c>
      <c r="H843" s="61">
        <v>17786</v>
      </c>
      <c r="N843" s="67" t="s">
        <v>42</v>
      </c>
    </row>
    <row r="844" spans="2:14" ht="17" x14ac:dyDescent="0.2">
      <c r="B844" s="128" t="s">
        <v>55</v>
      </c>
      <c r="C844" s="19"/>
      <c r="N844" s="67" t="s">
        <v>45</v>
      </c>
    </row>
    <row r="845" spans="2:14" ht="51" x14ac:dyDescent="0.2">
      <c r="B845" s="134" t="s">
        <v>56</v>
      </c>
      <c r="C845" s="19" t="s">
        <v>57</v>
      </c>
      <c r="F845" s="34" t="s">
        <v>0</v>
      </c>
      <c r="G845" s="62" t="s">
        <v>41</v>
      </c>
      <c r="H845" s="61">
        <v>17786</v>
      </c>
      <c r="N845" s="67" t="s">
        <v>42</v>
      </c>
    </row>
    <row r="846" spans="2:14" ht="17" x14ac:dyDescent="0.2">
      <c r="B846" s="128" t="s">
        <v>58</v>
      </c>
      <c r="N846" s="67" t="s">
        <v>45</v>
      </c>
    </row>
    <row r="847" spans="2:14" ht="51" x14ac:dyDescent="0.2">
      <c r="B847" s="165" t="s">
        <v>228</v>
      </c>
      <c r="C847" s="19" t="s">
        <v>40</v>
      </c>
      <c r="F847" s="34" t="s">
        <v>0</v>
      </c>
      <c r="G847" s="62" t="s">
        <v>41</v>
      </c>
      <c r="H847" s="61">
        <v>17786</v>
      </c>
      <c r="N847" s="67" t="s">
        <v>42</v>
      </c>
    </row>
    <row r="848" spans="2:14" ht="17" x14ac:dyDescent="0.2">
      <c r="B848" s="231" t="s">
        <v>229</v>
      </c>
      <c r="C848" s="232"/>
      <c r="N848" s="67" t="s">
        <v>45</v>
      </c>
    </row>
    <row r="849" spans="2:15" ht="17" x14ac:dyDescent="0.2">
      <c r="B849" s="233" t="s">
        <v>230</v>
      </c>
      <c r="C849" s="232" t="s">
        <v>40</v>
      </c>
      <c r="F849" s="34" t="s">
        <v>0</v>
      </c>
      <c r="G849" s="62" t="s">
        <v>41</v>
      </c>
      <c r="H849" s="61">
        <v>17786</v>
      </c>
      <c r="N849" s="67" t="s">
        <v>42</v>
      </c>
    </row>
    <row r="850" spans="2:15" ht="17" x14ac:dyDescent="0.2">
      <c r="B850" s="233" t="s">
        <v>231</v>
      </c>
      <c r="C850" s="232" t="s">
        <v>40</v>
      </c>
      <c r="F850" s="34" t="s">
        <v>0</v>
      </c>
      <c r="G850" s="62" t="s">
        <v>41</v>
      </c>
      <c r="H850" s="61">
        <v>17786</v>
      </c>
      <c r="N850" s="67" t="s">
        <v>42</v>
      </c>
    </row>
    <row r="851" spans="2:15" ht="17" x14ac:dyDescent="0.2">
      <c r="B851" s="233" t="s">
        <v>232</v>
      </c>
      <c r="C851" s="232" t="s">
        <v>40</v>
      </c>
      <c r="F851" s="34" t="s">
        <v>0</v>
      </c>
      <c r="G851" s="62" t="s">
        <v>41</v>
      </c>
      <c r="H851" s="61">
        <v>17786</v>
      </c>
      <c r="N851" s="67" t="s">
        <v>42</v>
      </c>
    </row>
    <row r="852" spans="2:15" ht="17" x14ac:dyDescent="0.2">
      <c r="B852" s="233" t="s">
        <v>233</v>
      </c>
      <c r="C852" s="232" t="s">
        <v>40</v>
      </c>
      <c r="F852" s="34" t="s">
        <v>234</v>
      </c>
      <c r="G852" s="62" t="s">
        <v>41</v>
      </c>
      <c r="H852" s="61">
        <v>17786</v>
      </c>
      <c r="N852" s="67" t="s">
        <v>42</v>
      </c>
      <c r="O852" s="239" t="s">
        <v>235</v>
      </c>
    </row>
    <row r="853" spans="2:15" ht="17" x14ac:dyDescent="0.2">
      <c r="B853" s="233" t="s">
        <v>236</v>
      </c>
      <c r="C853" s="232" t="s">
        <v>40</v>
      </c>
      <c r="F853" s="34" t="s">
        <v>234</v>
      </c>
      <c r="G853" s="62" t="s">
        <v>41</v>
      </c>
      <c r="H853" s="61">
        <v>17786</v>
      </c>
      <c r="N853" s="67" t="s">
        <v>42</v>
      </c>
      <c r="O853" s="239" t="s">
        <v>235</v>
      </c>
    </row>
    <row r="854" spans="2:15" ht="17" x14ac:dyDescent="0.2">
      <c r="B854" s="128" t="s">
        <v>65</v>
      </c>
      <c r="N854" s="67" t="s">
        <v>45</v>
      </c>
    </row>
    <row r="855" spans="2:15" ht="17" x14ac:dyDescent="0.2">
      <c r="B855" s="174" t="s">
        <v>66</v>
      </c>
      <c r="C855" s="19" t="s">
        <v>40</v>
      </c>
      <c r="F855" s="34" t="s">
        <v>0</v>
      </c>
      <c r="G855" s="62" t="s">
        <v>41</v>
      </c>
      <c r="H855" s="61">
        <v>17786</v>
      </c>
      <c r="N855" s="67" t="s">
        <v>42</v>
      </c>
    </row>
    <row r="856" spans="2:15" ht="17" x14ac:dyDescent="0.2">
      <c r="B856" s="166" t="s">
        <v>67</v>
      </c>
      <c r="C856" s="19" t="s">
        <v>40</v>
      </c>
      <c r="F856" s="34" t="s">
        <v>0</v>
      </c>
      <c r="G856" s="62" t="s">
        <v>41</v>
      </c>
      <c r="H856" s="61">
        <v>17786</v>
      </c>
      <c r="N856" s="67" t="s">
        <v>42</v>
      </c>
    </row>
    <row r="857" spans="2:15" ht="17" x14ac:dyDescent="0.2">
      <c r="B857" s="166" t="s">
        <v>68</v>
      </c>
      <c r="C857" s="19" t="s">
        <v>40</v>
      </c>
      <c r="F857" s="34" t="s">
        <v>0</v>
      </c>
      <c r="G857" s="62" t="s">
        <v>41</v>
      </c>
      <c r="H857" s="61">
        <v>17786</v>
      </c>
      <c r="N857" s="67" t="s">
        <v>42</v>
      </c>
    </row>
    <row r="858" spans="2:15" ht="17" x14ac:dyDescent="0.2">
      <c r="B858" s="166" t="s">
        <v>69</v>
      </c>
      <c r="C858" s="19" t="s">
        <v>40</v>
      </c>
      <c r="F858" s="34" t="s">
        <v>0</v>
      </c>
      <c r="G858" s="62" t="s">
        <v>41</v>
      </c>
      <c r="H858" s="61">
        <v>17786</v>
      </c>
      <c r="N858" s="67" t="s">
        <v>42</v>
      </c>
    </row>
    <row r="859" spans="2:15" ht="17" x14ac:dyDescent="0.2">
      <c r="B859" s="166" t="s">
        <v>70</v>
      </c>
      <c r="C859" s="19" t="s">
        <v>40</v>
      </c>
      <c r="F859" s="34" t="s">
        <v>0</v>
      </c>
      <c r="G859" s="62" t="s">
        <v>41</v>
      </c>
      <c r="H859" s="61">
        <v>17786</v>
      </c>
      <c r="N859" s="67" t="s">
        <v>42</v>
      </c>
    </row>
    <row r="860" spans="2:15" ht="17" x14ac:dyDescent="0.2">
      <c r="B860" s="166" t="s">
        <v>71</v>
      </c>
      <c r="C860" s="19" t="s">
        <v>40</v>
      </c>
      <c r="F860" s="34" t="s">
        <v>0</v>
      </c>
      <c r="G860" s="62" t="s">
        <v>41</v>
      </c>
      <c r="H860" s="61">
        <v>17786</v>
      </c>
      <c r="N860" s="67" t="s">
        <v>42</v>
      </c>
    </row>
    <row r="861" spans="2:15" ht="17" x14ac:dyDescent="0.2">
      <c r="B861" s="139" t="s">
        <v>72</v>
      </c>
      <c r="C861" s="19" t="s">
        <v>40</v>
      </c>
      <c r="F861" s="34" t="s">
        <v>0</v>
      </c>
      <c r="G861" s="62" t="s">
        <v>41</v>
      </c>
      <c r="H861" s="61">
        <v>17786</v>
      </c>
      <c r="N861" s="67" t="s">
        <v>42</v>
      </c>
    </row>
    <row r="862" spans="2:15" ht="17" x14ac:dyDescent="0.2">
      <c r="B862" s="174" t="s">
        <v>73</v>
      </c>
      <c r="C862" s="19" t="s">
        <v>40</v>
      </c>
      <c r="F862" s="34" t="s">
        <v>0</v>
      </c>
      <c r="G862" s="62" t="s">
        <v>41</v>
      </c>
      <c r="H862" s="61">
        <v>17786</v>
      </c>
      <c r="N862" s="67" t="s">
        <v>42</v>
      </c>
    </row>
    <row r="863" spans="2:15" ht="17" x14ac:dyDescent="0.2">
      <c r="B863" s="139" t="s">
        <v>74</v>
      </c>
      <c r="C863" s="19" t="s">
        <v>40</v>
      </c>
      <c r="F863" s="34" t="s">
        <v>0</v>
      </c>
      <c r="G863" s="62" t="s">
        <v>41</v>
      </c>
      <c r="H863" s="61">
        <v>17786</v>
      </c>
      <c r="N863" s="67" t="s">
        <v>42</v>
      </c>
    </row>
    <row r="864" spans="2:15" ht="17" x14ac:dyDescent="0.2">
      <c r="B864" s="139" t="s">
        <v>75</v>
      </c>
      <c r="C864" s="19" t="s">
        <v>40</v>
      </c>
      <c r="F864" s="34" t="s">
        <v>0</v>
      </c>
      <c r="G864" s="62" t="s">
        <v>41</v>
      </c>
      <c r="H864" s="61">
        <v>17786</v>
      </c>
      <c r="N864" s="67" t="s">
        <v>42</v>
      </c>
    </row>
    <row r="865" spans="2:14" ht="17" x14ac:dyDescent="0.2">
      <c r="B865" s="138" t="s">
        <v>76</v>
      </c>
      <c r="C865" s="19" t="s">
        <v>40</v>
      </c>
      <c r="F865" s="34" t="s">
        <v>0</v>
      </c>
      <c r="G865" s="62" t="s">
        <v>41</v>
      </c>
      <c r="H865" s="61">
        <v>17786</v>
      </c>
      <c r="N865" s="67" t="s">
        <v>42</v>
      </c>
    </row>
    <row r="866" spans="2:14" ht="68" x14ac:dyDescent="0.2">
      <c r="B866" s="166" t="s">
        <v>204</v>
      </c>
      <c r="C866" s="19" t="s">
        <v>40</v>
      </c>
      <c r="F866" s="34" t="s">
        <v>0</v>
      </c>
      <c r="G866" s="62" t="s">
        <v>41</v>
      </c>
      <c r="H866" s="61">
        <v>17786</v>
      </c>
      <c r="N866" s="67" t="s">
        <v>42</v>
      </c>
    </row>
    <row r="867" spans="2:14" ht="17" x14ac:dyDescent="0.2">
      <c r="B867" s="166" t="s">
        <v>237</v>
      </c>
      <c r="C867" s="19" t="s">
        <v>40</v>
      </c>
      <c r="F867" s="34" t="s">
        <v>0</v>
      </c>
      <c r="G867" s="62" t="s">
        <v>41</v>
      </c>
      <c r="H867" s="61">
        <v>17786</v>
      </c>
      <c r="N867" s="67" t="s">
        <v>42</v>
      </c>
    </row>
    <row r="868" spans="2:14" ht="17" x14ac:dyDescent="0.2">
      <c r="B868" s="166" t="s">
        <v>79</v>
      </c>
      <c r="C868" s="19" t="s">
        <v>40</v>
      </c>
      <c r="F868" s="34" t="s">
        <v>0</v>
      </c>
      <c r="G868" s="62" t="s">
        <v>41</v>
      </c>
      <c r="H868" s="61">
        <v>17786</v>
      </c>
      <c r="N868" s="67" t="s">
        <v>42</v>
      </c>
    </row>
    <row r="869" spans="2:14" ht="17" x14ac:dyDescent="0.2">
      <c r="B869" s="138" t="s">
        <v>80</v>
      </c>
      <c r="C869" s="19" t="s">
        <v>40</v>
      </c>
      <c r="F869" s="34" t="s">
        <v>0</v>
      </c>
      <c r="G869" s="62" t="s">
        <v>41</v>
      </c>
      <c r="H869" s="61">
        <v>17786</v>
      </c>
      <c r="N869" s="67" t="s">
        <v>42</v>
      </c>
    </row>
    <row r="870" spans="2:14" ht="17" x14ac:dyDescent="0.2">
      <c r="B870" s="138" t="s">
        <v>81</v>
      </c>
      <c r="C870" s="19" t="s">
        <v>40</v>
      </c>
      <c r="F870" s="34" t="s">
        <v>0</v>
      </c>
      <c r="G870" s="62" t="s">
        <v>41</v>
      </c>
      <c r="H870" s="61">
        <v>17786</v>
      </c>
      <c r="N870" s="67" t="s">
        <v>42</v>
      </c>
    </row>
    <row r="871" spans="2:14" ht="17" x14ac:dyDescent="0.2">
      <c r="B871" s="138" t="s">
        <v>82</v>
      </c>
      <c r="C871" s="19" t="s">
        <v>40</v>
      </c>
      <c r="F871" s="34" t="s">
        <v>0</v>
      </c>
      <c r="G871" s="62" t="s">
        <v>41</v>
      </c>
      <c r="H871" s="61">
        <v>17786</v>
      </c>
      <c r="N871" s="67" t="s">
        <v>42</v>
      </c>
    </row>
    <row r="872" spans="2:14" ht="17" x14ac:dyDescent="0.2">
      <c r="B872" s="138" t="s">
        <v>83</v>
      </c>
      <c r="C872" s="19" t="s">
        <v>40</v>
      </c>
      <c r="F872" s="34" t="s">
        <v>0</v>
      </c>
      <c r="G872" s="62" t="s">
        <v>41</v>
      </c>
      <c r="H872" s="61">
        <v>17786</v>
      </c>
      <c r="N872" s="67" t="s">
        <v>42</v>
      </c>
    </row>
    <row r="873" spans="2:14" ht="17" x14ac:dyDescent="0.2">
      <c r="B873" s="138" t="s">
        <v>84</v>
      </c>
      <c r="C873" s="19" t="s">
        <v>40</v>
      </c>
      <c r="F873" s="34" t="s">
        <v>0</v>
      </c>
      <c r="G873" s="62" t="s">
        <v>41</v>
      </c>
      <c r="H873" s="61">
        <v>17786</v>
      </c>
      <c r="N873" s="67" t="s">
        <v>42</v>
      </c>
    </row>
    <row r="874" spans="2:14" ht="17" x14ac:dyDescent="0.2">
      <c r="B874" s="139" t="s">
        <v>85</v>
      </c>
      <c r="C874" s="19" t="s">
        <v>40</v>
      </c>
      <c r="F874" s="34" t="s">
        <v>0</v>
      </c>
      <c r="G874" s="62" t="s">
        <v>41</v>
      </c>
      <c r="H874" s="61">
        <v>17786</v>
      </c>
      <c r="N874" s="67" t="s">
        <v>42</v>
      </c>
    </row>
    <row r="875" spans="2:14" ht="17" x14ac:dyDescent="0.2">
      <c r="B875" s="140" t="s">
        <v>86</v>
      </c>
      <c r="N875" s="67" t="s">
        <v>45</v>
      </c>
    </row>
    <row r="876" spans="2:14" ht="17" x14ac:dyDescent="0.2">
      <c r="B876" s="141" t="s">
        <v>87</v>
      </c>
      <c r="C876" s="19" t="s">
        <v>40</v>
      </c>
      <c r="F876" s="34" t="s">
        <v>0</v>
      </c>
      <c r="G876" s="62" t="s">
        <v>41</v>
      </c>
      <c r="H876" s="61">
        <v>17786</v>
      </c>
      <c r="N876" s="67" t="s">
        <v>42</v>
      </c>
    </row>
    <row r="877" spans="2:14" ht="32" x14ac:dyDescent="0.2">
      <c r="B877" s="140" t="s">
        <v>88</v>
      </c>
      <c r="C877" s="19"/>
      <c r="N877" s="67" t="s">
        <v>45</v>
      </c>
    </row>
    <row r="878" spans="2:14" ht="32" x14ac:dyDescent="0.2">
      <c r="B878" s="142" t="s">
        <v>89</v>
      </c>
      <c r="C878" s="19" t="s">
        <v>40</v>
      </c>
      <c r="F878" s="34" t="s">
        <v>0</v>
      </c>
      <c r="G878" s="62" t="s">
        <v>41</v>
      </c>
      <c r="H878" s="61">
        <v>17786</v>
      </c>
      <c r="N878" s="67" t="s">
        <v>42</v>
      </c>
    </row>
    <row r="879" spans="2:14" ht="17" x14ac:dyDescent="0.2">
      <c r="B879" s="140" t="s">
        <v>90</v>
      </c>
      <c r="C879" s="19"/>
      <c r="N879" s="67" t="s">
        <v>45</v>
      </c>
    </row>
    <row r="880" spans="2:14" ht="32" x14ac:dyDescent="0.2">
      <c r="B880" s="142" t="s">
        <v>91</v>
      </c>
      <c r="C880" s="19" t="s">
        <v>40</v>
      </c>
      <c r="F880" s="210" t="s">
        <v>92</v>
      </c>
      <c r="G880" s="62" t="s">
        <v>41</v>
      </c>
      <c r="H880" s="61">
        <v>17786</v>
      </c>
      <c r="N880" s="67" t="s">
        <v>42</v>
      </c>
    </row>
    <row r="881" spans="2:14" ht="17" x14ac:dyDescent="0.2">
      <c r="B881" s="140" t="s">
        <v>93</v>
      </c>
      <c r="C881" s="19"/>
      <c r="N881" s="67" t="s">
        <v>45</v>
      </c>
    </row>
    <row r="882" spans="2:14" ht="32" x14ac:dyDescent="0.2">
      <c r="B882" s="142" t="s">
        <v>94</v>
      </c>
      <c r="C882" s="19" t="s">
        <v>40</v>
      </c>
      <c r="F882" s="210" t="s">
        <v>92</v>
      </c>
      <c r="G882" s="62" t="s">
        <v>41</v>
      </c>
      <c r="H882" s="61">
        <v>17786</v>
      </c>
      <c r="N882" s="67" t="s">
        <v>42</v>
      </c>
    </row>
    <row r="883" spans="2:14" ht="48" x14ac:dyDescent="0.2">
      <c r="B883" s="143" t="s">
        <v>95</v>
      </c>
      <c r="C883" s="19" t="s">
        <v>40</v>
      </c>
      <c r="F883" s="210" t="s">
        <v>92</v>
      </c>
      <c r="G883" s="62" t="s">
        <v>41</v>
      </c>
      <c r="H883" s="61">
        <v>17786</v>
      </c>
      <c r="N883" s="67" t="s">
        <v>42</v>
      </c>
    </row>
    <row r="884" spans="2:14" ht="17" x14ac:dyDescent="0.2">
      <c r="B884" s="144" t="s">
        <v>96</v>
      </c>
      <c r="C884" s="19" t="s">
        <v>40</v>
      </c>
      <c r="F884" s="210" t="s">
        <v>92</v>
      </c>
      <c r="G884" s="62" t="s">
        <v>41</v>
      </c>
      <c r="H884" s="61">
        <v>17786</v>
      </c>
      <c r="N884" s="67" t="s">
        <v>42</v>
      </c>
    </row>
    <row r="885" spans="2:14" ht="32" x14ac:dyDescent="0.2">
      <c r="B885" s="143" t="s">
        <v>97</v>
      </c>
      <c r="C885" s="19" t="s">
        <v>40</v>
      </c>
      <c r="F885" s="210" t="s">
        <v>92</v>
      </c>
      <c r="G885" s="62" t="s">
        <v>41</v>
      </c>
      <c r="H885" s="61">
        <v>17786</v>
      </c>
      <c r="N885" s="67" t="s">
        <v>42</v>
      </c>
    </row>
    <row r="886" spans="2:14" ht="17" x14ac:dyDescent="0.2">
      <c r="B886" s="142" t="s">
        <v>98</v>
      </c>
      <c r="C886" s="19" t="s">
        <v>40</v>
      </c>
      <c r="F886" s="210" t="s">
        <v>92</v>
      </c>
      <c r="G886" s="62" t="s">
        <v>41</v>
      </c>
      <c r="H886" s="61">
        <v>17786</v>
      </c>
      <c r="N886" s="67" t="s">
        <v>42</v>
      </c>
    </row>
    <row r="887" spans="2:14" ht="17" x14ac:dyDescent="0.2">
      <c r="B887" s="144" t="s">
        <v>99</v>
      </c>
      <c r="C887" s="19" t="s">
        <v>40</v>
      </c>
      <c r="F887" s="210" t="s">
        <v>92</v>
      </c>
      <c r="G887" s="62" t="s">
        <v>41</v>
      </c>
      <c r="H887" s="61">
        <v>17786</v>
      </c>
      <c r="N887" s="67" t="s">
        <v>42</v>
      </c>
    </row>
    <row r="888" spans="2:14" ht="17" x14ac:dyDescent="0.2">
      <c r="B888" s="143" t="s">
        <v>100</v>
      </c>
      <c r="C888" s="19" t="s">
        <v>40</v>
      </c>
      <c r="F888" s="210" t="s">
        <v>92</v>
      </c>
      <c r="G888" s="62" t="s">
        <v>41</v>
      </c>
      <c r="H888" s="61">
        <v>17786</v>
      </c>
      <c r="N888" s="67" t="s">
        <v>42</v>
      </c>
    </row>
    <row r="889" spans="2:14" ht="17" x14ac:dyDescent="0.2">
      <c r="B889" s="140" t="s">
        <v>101</v>
      </c>
      <c r="N889" s="67" t="s">
        <v>45</v>
      </c>
    </row>
    <row r="890" spans="2:14" ht="17" x14ac:dyDescent="0.2">
      <c r="B890" s="141" t="s">
        <v>87</v>
      </c>
      <c r="C890" s="19" t="s">
        <v>40</v>
      </c>
      <c r="F890" s="34" t="s">
        <v>0</v>
      </c>
      <c r="G890" s="62" t="s">
        <v>41</v>
      </c>
      <c r="H890" s="61">
        <v>17786</v>
      </c>
      <c r="N890" s="67" t="s">
        <v>42</v>
      </c>
    </row>
    <row r="891" spans="2:14" ht="32" x14ac:dyDescent="0.2">
      <c r="B891" s="142" t="s">
        <v>102</v>
      </c>
      <c r="C891" s="19" t="s">
        <v>40</v>
      </c>
      <c r="F891" s="34" t="s">
        <v>0</v>
      </c>
      <c r="G891" s="62" t="s">
        <v>41</v>
      </c>
      <c r="H891" s="61">
        <v>17786</v>
      </c>
      <c r="N891" s="67" t="s">
        <v>42</v>
      </c>
    </row>
    <row r="892" spans="2:14" ht="48" x14ac:dyDescent="0.2">
      <c r="B892" s="143" t="s">
        <v>103</v>
      </c>
      <c r="C892" s="19" t="s">
        <v>40</v>
      </c>
      <c r="F892" s="34" t="s">
        <v>0</v>
      </c>
      <c r="G892" s="62" t="s">
        <v>41</v>
      </c>
      <c r="H892" s="61">
        <v>17786</v>
      </c>
      <c r="N892" s="67" t="s">
        <v>42</v>
      </c>
    </row>
    <row r="893" spans="2:14" ht="17" x14ac:dyDescent="0.2">
      <c r="B893" s="144" t="s">
        <v>96</v>
      </c>
      <c r="C893" s="19" t="s">
        <v>40</v>
      </c>
      <c r="F893" s="34" t="s">
        <v>0</v>
      </c>
      <c r="G893" s="62" t="s">
        <v>41</v>
      </c>
      <c r="H893" s="61">
        <v>17786</v>
      </c>
      <c r="N893" s="67" t="s">
        <v>42</v>
      </c>
    </row>
    <row r="894" spans="2:14" ht="32" x14ac:dyDescent="0.2">
      <c r="B894" s="143" t="s">
        <v>104</v>
      </c>
      <c r="C894" s="19" t="s">
        <v>40</v>
      </c>
      <c r="F894" s="34" t="s">
        <v>0</v>
      </c>
      <c r="G894" s="62" t="s">
        <v>41</v>
      </c>
      <c r="H894" s="61">
        <v>17786</v>
      </c>
      <c r="N894" s="67" t="s">
        <v>42</v>
      </c>
    </row>
    <row r="895" spans="2:14" ht="32" x14ac:dyDescent="0.2">
      <c r="B895" s="142" t="s">
        <v>105</v>
      </c>
      <c r="C895" s="19" t="s">
        <v>40</v>
      </c>
      <c r="F895" s="34" t="s">
        <v>0</v>
      </c>
      <c r="G895" s="62" t="s">
        <v>41</v>
      </c>
      <c r="H895" s="61">
        <v>17786</v>
      </c>
      <c r="N895" s="67" t="s">
        <v>42</v>
      </c>
    </row>
    <row r="896" spans="2:14" ht="17" x14ac:dyDescent="0.2">
      <c r="B896" s="144" t="s">
        <v>99</v>
      </c>
      <c r="C896" s="19" t="s">
        <v>40</v>
      </c>
      <c r="F896" s="34" t="s">
        <v>0</v>
      </c>
      <c r="G896" s="62" t="s">
        <v>41</v>
      </c>
      <c r="H896" s="61">
        <v>17786</v>
      </c>
      <c r="N896" s="67" t="s">
        <v>42</v>
      </c>
    </row>
    <row r="897" spans="2:14" ht="17" x14ac:dyDescent="0.2">
      <c r="B897" s="143" t="s">
        <v>106</v>
      </c>
      <c r="C897" s="19" t="s">
        <v>40</v>
      </c>
      <c r="F897" s="34" t="s">
        <v>0</v>
      </c>
      <c r="N897" s="67" t="s">
        <v>42</v>
      </c>
    </row>
    <row r="898" spans="2:14" ht="17" x14ac:dyDescent="0.2">
      <c r="B898" s="140" t="s">
        <v>107</v>
      </c>
      <c r="N898" s="67" t="s">
        <v>45</v>
      </c>
    </row>
    <row r="899" spans="2:14" ht="17" x14ac:dyDescent="0.2">
      <c r="B899" s="141" t="s">
        <v>87</v>
      </c>
      <c r="C899" s="19" t="s">
        <v>40</v>
      </c>
      <c r="F899" s="34" t="s">
        <v>0</v>
      </c>
      <c r="G899" s="62" t="s">
        <v>41</v>
      </c>
      <c r="H899" s="61">
        <v>17786</v>
      </c>
      <c r="N899" s="67" t="s">
        <v>42</v>
      </c>
    </row>
    <row r="900" spans="2:14" ht="32" x14ac:dyDescent="0.2">
      <c r="B900" s="142" t="s">
        <v>102</v>
      </c>
      <c r="C900" s="19" t="s">
        <v>40</v>
      </c>
      <c r="F900" s="34" t="s">
        <v>0</v>
      </c>
      <c r="G900" s="62" t="s">
        <v>41</v>
      </c>
      <c r="H900" s="61">
        <v>17786</v>
      </c>
      <c r="N900" s="67" t="s">
        <v>42</v>
      </c>
    </row>
    <row r="901" spans="2:14" ht="48" x14ac:dyDescent="0.2">
      <c r="B901" s="143" t="s">
        <v>108</v>
      </c>
      <c r="C901" s="19" t="s">
        <v>40</v>
      </c>
      <c r="F901" s="34" t="s">
        <v>0</v>
      </c>
      <c r="G901" s="62" t="s">
        <v>41</v>
      </c>
      <c r="H901" s="61">
        <v>17786</v>
      </c>
      <c r="N901" s="67" t="s">
        <v>42</v>
      </c>
    </row>
    <row r="902" spans="2:14" ht="17" x14ac:dyDescent="0.2">
      <c r="B902" s="144" t="s">
        <v>96</v>
      </c>
      <c r="C902" s="19" t="s">
        <v>40</v>
      </c>
      <c r="F902" s="34" t="s">
        <v>0</v>
      </c>
      <c r="G902" s="62" t="s">
        <v>41</v>
      </c>
      <c r="H902" s="61">
        <v>17786</v>
      </c>
      <c r="N902" s="67" t="s">
        <v>42</v>
      </c>
    </row>
    <row r="903" spans="2:14" ht="32" x14ac:dyDescent="0.2">
      <c r="B903" s="143" t="s">
        <v>109</v>
      </c>
      <c r="C903" s="19" t="s">
        <v>40</v>
      </c>
      <c r="F903" s="34" t="s">
        <v>0</v>
      </c>
      <c r="G903" s="62" t="s">
        <v>41</v>
      </c>
      <c r="H903" s="61">
        <v>17786</v>
      </c>
      <c r="N903" s="67" t="s">
        <v>42</v>
      </c>
    </row>
    <row r="904" spans="2:14" ht="32" x14ac:dyDescent="0.2">
      <c r="B904" s="142" t="s">
        <v>110</v>
      </c>
      <c r="C904" s="19" t="s">
        <v>40</v>
      </c>
      <c r="F904" s="34" t="s">
        <v>0</v>
      </c>
      <c r="G904" s="62" t="s">
        <v>41</v>
      </c>
      <c r="H904" s="61">
        <v>17786</v>
      </c>
      <c r="N904" s="67" t="s">
        <v>42</v>
      </c>
    </row>
    <row r="905" spans="2:14" ht="17" x14ac:dyDescent="0.2">
      <c r="B905" s="144" t="s">
        <v>99</v>
      </c>
      <c r="C905" s="19" t="s">
        <v>40</v>
      </c>
      <c r="F905" s="34" t="s">
        <v>0</v>
      </c>
      <c r="G905" s="62" t="s">
        <v>41</v>
      </c>
      <c r="H905" s="61">
        <v>17786</v>
      </c>
      <c r="N905" s="67" t="s">
        <v>42</v>
      </c>
    </row>
    <row r="906" spans="2:14" ht="17" x14ac:dyDescent="0.2">
      <c r="B906" s="143" t="s">
        <v>111</v>
      </c>
      <c r="C906" s="19" t="s">
        <v>40</v>
      </c>
      <c r="F906" s="34" t="s">
        <v>0</v>
      </c>
      <c r="G906" s="62" t="s">
        <v>41</v>
      </c>
      <c r="H906" s="61">
        <v>17786</v>
      </c>
      <c r="N906" s="67" t="s">
        <v>42</v>
      </c>
    </row>
    <row r="907" spans="2:14" ht="17" x14ac:dyDescent="0.2">
      <c r="B907" s="140" t="s">
        <v>112</v>
      </c>
      <c r="N907" s="67" t="s">
        <v>45</v>
      </c>
    </row>
    <row r="908" spans="2:14" ht="17" x14ac:dyDescent="0.2">
      <c r="B908" s="141" t="s">
        <v>87</v>
      </c>
      <c r="C908" s="19" t="s">
        <v>40</v>
      </c>
      <c r="F908" s="34" t="s">
        <v>0</v>
      </c>
      <c r="G908" s="62" t="s">
        <v>41</v>
      </c>
      <c r="H908" s="61">
        <v>17786</v>
      </c>
      <c r="N908" s="67" t="s">
        <v>42</v>
      </c>
    </row>
    <row r="909" spans="2:14" ht="32" x14ac:dyDescent="0.2">
      <c r="B909" s="142" t="s">
        <v>102</v>
      </c>
      <c r="C909" s="19" t="s">
        <v>40</v>
      </c>
      <c r="F909" s="34" t="s">
        <v>0</v>
      </c>
      <c r="G909" s="62" t="s">
        <v>41</v>
      </c>
      <c r="H909" s="61">
        <v>17786</v>
      </c>
      <c r="N909" s="67" t="s">
        <v>42</v>
      </c>
    </row>
    <row r="910" spans="2:14" ht="48" x14ac:dyDescent="0.2">
      <c r="B910" s="143" t="s">
        <v>113</v>
      </c>
      <c r="C910" s="19" t="s">
        <v>40</v>
      </c>
      <c r="F910" s="34" t="s">
        <v>0</v>
      </c>
      <c r="G910" s="62" t="s">
        <v>41</v>
      </c>
      <c r="H910" s="61">
        <v>17786</v>
      </c>
      <c r="N910" s="67" t="s">
        <v>42</v>
      </c>
    </row>
    <row r="911" spans="2:14" ht="17" x14ac:dyDescent="0.2">
      <c r="B911" s="144" t="s">
        <v>96</v>
      </c>
      <c r="C911" s="19" t="s">
        <v>40</v>
      </c>
      <c r="F911" s="34" t="s">
        <v>0</v>
      </c>
      <c r="G911" s="62" t="s">
        <v>41</v>
      </c>
      <c r="H911" s="61">
        <v>17786</v>
      </c>
      <c r="N911" s="67" t="s">
        <v>42</v>
      </c>
    </row>
    <row r="912" spans="2:14" ht="32" x14ac:dyDescent="0.2">
      <c r="B912" s="143" t="s">
        <v>97</v>
      </c>
      <c r="C912" s="19" t="s">
        <v>40</v>
      </c>
      <c r="F912" s="34" t="s">
        <v>0</v>
      </c>
      <c r="G912" s="62" t="s">
        <v>41</v>
      </c>
      <c r="H912" s="61">
        <v>17786</v>
      </c>
      <c r="N912" s="67" t="s">
        <v>42</v>
      </c>
    </row>
    <row r="913" spans="2:14" ht="32" x14ac:dyDescent="0.2">
      <c r="B913" s="142" t="s">
        <v>114</v>
      </c>
      <c r="C913" s="19" t="s">
        <v>40</v>
      </c>
      <c r="F913" s="34" t="s">
        <v>0</v>
      </c>
      <c r="G913" s="62" t="s">
        <v>41</v>
      </c>
      <c r="H913" s="61">
        <v>17786</v>
      </c>
      <c r="N913" s="67" t="s">
        <v>42</v>
      </c>
    </row>
    <row r="914" spans="2:14" ht="17" x14ac:dyDescent="0.2">
      <c r="B914" s="144" t="s">
        <v>99</v>
      </c>
      <c r="C914" s="19" t="s">
        <v>40</v>
      </c>
      <c r="F914" s="34" t="s">
        <v>0</v>
      </c>
      <c r="G914" s="62" t="s">
        <v>41</v>
      </c>
      <c r="H914" s="61">
        <v>17786</v>
      </c>
      <c r="N914" s="67" t="s">
        <v>42</v>
      </c>
    </row>
    <row r="915" spans="2:14" ht="17" x14ac:dyDescent="0.2">
      <c r="B915" s="143" t="s">
        <v>115</v>
      </c>
      <c r="C915" s="19" t="s">
        <v>40</v>
      </c>
      <c r="F915" s="34" t="s">
        <v>0</v>
      </c>
      <c r="N915" s="67" t="s">
        <v>42</v>
      </c>
    </row>
    <row r="916" spans="2:14" ht="34" x14ac:dyDescent="0.2">
      <c r="B916" s="132" t="s">
        <v>116</v>
      </c>
      <c r="N916" s="67" t="s">
        <v>45</v>
      </c>
    </row>
    <row r="917" spans="2:14" ht="64" x14ac:dyDescent="0.2">
      <c r="B917" s="143" t="s">
        <v>117</v>
      </c>
      <c r="C917" s="19" t="s">
        <v>40</v>
      </c>
      <c r="F917" s="34" t="s">
        <v>92</v>
      </c>
      <c r="G917" s="62" t="s">
        <v>41</v>
      </c>
      <c r="H917" s="61">
        <v>17786</v>
      </c>
      <c r="N917" s="67" t="s">
        <v>42</v>
      </c>
    </row>
    <row r="918" spans="2:14" ht="64" x14ac:dyDescent="0.2">
      <c r="B918" s="143" t="s">
        <v>118</v>
      </c>
      <c r="C918" s="19" t="s">
        <v>40</v>
      </c>
      <c r="F918" s="34" t="s">
        <v>92</v>
      </c>
      <c r="G918" s="62" t="s">
        <v>41</v>
      </c>
      <c r="H918" s="61">
        <v>17786</v>
      </c>
      <c r="N918" s="67" t="s">
        <v>42</v>
      </c>
    </row>
    <row r="919" spans="2:14" ht="17" x14ac:dyDescent="0.2">
      <c r="B919" s="143" t="s">
        <v>119</v>
      </c>
      <c r="C919" s="19" t="s">
        <v>40</v>
      </c>
      <c r="F919" s="210" t="s">
        <v>92</v>
      </c>
      <c r="G919" s="62" t="s">
        <v>41</v>
      </c>
      <c r="H919" s="61">
        <v>17786</v>
      </c>
      <c r="N919" s="67" t="s">
        <v>42</v>
      </c>
    </row>
    <row r="920" spans="2:14" ht="32" x14ac:dyDescent="0.2">
      <c r="B920" s="143" t="s">
        <v>120</v>
      </c>
      <c r="C920" s="19" t="s">
        <v>40</v>
      </c>
      <c r="F920" s="210" t="s">
        <v>92</v>
      </c>
      <c r="G920" s="62" t="s">
        <v>41</v>
      </c>
      <c r="H920" s="61">
        <v>17786</v>
      </c>
      <c r="N920" s="67" t="s">
        <v>42</v>
      </c>
    </row>
    <row r="921" spans="2:14" ht="17" x14ac:dyDescent="0.2">
      <c r="B921" s="128" t="s">
        <v>121</v>
      </c>
      <c r="C921" s="19"/>
      <c r="N921" s="67" t="s">
        <v>45</v>
      </c>
    </row>
    <row r="922" spans="2:14" ht="17" x14ac:dyDescent="0.2">
      <c r="B922" s="145" t="s">
        <v>122</v>
      </c>
      <c r="C922" s="19" t="s">
        <v>40</v>
      </c>
      <c r="F922" s="34" t="s">
        <v>0</v>
      </c>
      <c r="G922" s="62" t="s">
        <v>41</v>
      </c>
      <c r="H922" s="61">
        <v>17786</v>
      </c>
      <c r="N922" s="67" t="s">
        <v>42</v>
      </c>
    </row>
    <row r="923" spans="2:14" ht="17" x14ac:dyDescent="0.2">
      <c r="B923" s="139" t="s">
        <v>123</v>
      </c>
      <c r="C923" s="19" t="s">
        <v>40</v>
      </c>
      <c r="F923" s="34" t="s">
        <v>0</v>
      </c>
      <c r="G923" s="62" t="s">
        <v>41</v>
      </c>
      <c r="H923" s="61">
        <v>17786</v>
      </c>
      <c r="N923" s="67" t="s">
        <v>42</v>
      </c>
    </row>
    <row r="924" spans="2:14" ht="17" x14ac:dyDescent="0.2">
      <c r="B924" s="139" t="s">
        <v>124</v>
      </c>
      <c r="C924" s="19" t="s">
        <v>40</v>
      </c>
      <c r="F924" s="34" t="s">
        <v>0</v>
      </c>
      <c r="G924" s="62" t="s">
        <v>41</v>
      </c>
      <c r="H924" s="61">
        <v>17786</v>
      </c>
      <c r="N924" s="67" t="s">
        <v>42</v>
      </c>
    </row>
    <row r="925" spans="2:14" ht="17" x14ac:dyDescent="0.2">
      <c r="B925" s="139" t="s">
        <v>125</v>
      </c>
      <c r="C925" s="19" t="s">
        <v>40</v>
      </c>
      <c r="F925" s="34" t="s">
        <v>0</v>
      </c>
      <c r="G925" s="62" t="s">
        <v>41</v>
      </c>
      <c r="H925" s="61">
        <v>17786</v>
      </c>
      <c r="N925" s="67" t="s">
        <v>42</v>
      </c>
    </row>
    <row r="926" spans="2:14" ht="17" x14ac:dyDescent="0.2">
      <c r="B926" s="145" t="s">
        <v>126</v>
      </c>
      <c r="C926" s="19" t="s">
        <v>40</v>
      </c>
      <c r="F926" s="34" t="s">
        <v>0</v>
      </c>
      <c r="G926" s="62" t="s">
        <v>41</v>
      </c>
      <c r="H926" s="61">
        <v>17786</v>
      </c>
      <c r="N926" s="67" t="s">
        <v>42</v>
      </c>
    </row>
    <row r="927" spans="2:14" ht="17" x14ac:dyDescent="0.2">
      <c r="B927" s="138" t="s">
        <v>127</v>
      </c>
      <c r="C927" s="19" t="s">
        <v>40</v>
      </c>
      <c r="F927" s="34" t="s">
        <v>0</v>
      </c>
      <c r="G927" s="62" t="s">
        <v>41</v>
      </c>
      <c r="H927" s="61">
        <v>17786</v>
      </c>
      <c r="N927" s="67" t="s">
        <v>42</v>
      </c>
    </row>
    <row r="928" spans="2:14" ht="17" x14ac:dyDescent="0.2">
      <c r="B928" s="138" t="s">
        <v>128</v>
      </c>
      <c r="C928" s="19" t="s">
        <v>40</v>
      </c>
      <c r="F928" s="34" t="s">
        <v>0</v>
      </c>
      <c r="G928" s="62" t="s">
        <v>41</v>
      </c>
      <c r="H928" s="61">
        <v>17786</v>
      </c>
      <c r="N928" s="67" t="s">
        <v>42</v>
      </c>
    </row>
    <row r="929" spans="1:14" ht="17" x14ac:dyDescent="0.2">
      <c r="A929" s="235"/>
      <c r="B929" s="220" t="s">
        <v>129</v>
      </c>
      <c r="C929" s="19" t="s">
        <v>40</v>
      </c>
      <c r="F929" s="34" t="s">
        <v>0</v>
      </c>
      <c r="G929" s="62" t="s">
        <v>41</v>
      </c>
      <c r="H929" s="61">
        <v>17786</v>
      </c>
      <c r="N929" s="67" t="s">
        <v>42</v>
      </c>
    </row>
    <row r="930" spans="1:14" ht="17" x14ac:dyDescent="0.2">
      <c r="B930" s="138" t="s">
        <v>130</v>
      </c>
      <c r="C930" s="19" t="s">
        <v>40</v>
      </c>
      <c r="F930" s="34" t="s">
        <v>0</v>
      </c>
      <c r="G930" s="62" t="s">
        <v>41</v>
      </c>
      <c r="H930" s="61">
        <v>17786</v>
      </c>
      <c r="N930" s="67" t="s">
        <v>42</v>
      </c>
    </row>
    <row r="931" spans="1:14" ht="17" x14ac:dyDescent="0.2">
      <c r="B931" s="147" t="s">
        <v>131</v>
      </c>
      <c r="C931" s="19" t="s">
        <v>40</v>
      </c>
      <c r="F931" s="34" t="s">
        <v>0</v>
      </c>
      <c r="G931" s="62" t="s">
        <v>41</v>
      </c>
      <c r="H931" s="61">
        <v>17786</v>
      </c>
      <c r="N931" s="67" t="s">
        <v>42</v>
      </c>
    </row>
    <row r="932" spans="1:14" ht="17" x14ac:dyDescent="0.2">
      <c r="B932" s="147" t="s">
        <v>132</v>
      </c>
      <c r="C932" s="19" t="s">
        <v>40</v>
      </c>
      <c r="F932" s="34" t="s">
        <v>0</v>
      </c>
      <c r="G932" s="62" t="s">
        <v>41</v>
      </c>
      <c r="H932" s="61">
        <v>17786</v>
      </c>
      <c r="N932" s="67" t="s">
        <v>42</v>
      </c>
    </row>
    <row r="933" spans="1:14" ht="17" x14ac:dyDescent="0.2">
      <c r="B933" s="147" t="s">
        <v>133</v>
      </c>
      <c r="C933" s="19" t="s">
        <v>40</v>
      </c>
      <c r="F933" s="34" t="s">
        <v>0</v>
      </c>
      <c r="G933" s="62" t="s">
        <v>41</v>
      </c>
      <c r="H933" s="61">
        <v>17786</v>
      </c>
      <c r="N933" s="67" t="s">
        <v>42</v>
      </c>
    </row>
    <row r="934" spans="1:14" ht="17" x14ac:dyDescent="0.2">
      <c r="B934" s="147" t="s">
        <v>134</v>
      </c>
      <c r="C934" s="19" t="s">
        <v>40</v>
      </c>
      <c r="F934" s="34" t="s">
        <v>0</v>
      </c>
      <c r="G934" s="62" t="s">
        <v>41</v>
      </c>
      <c r="H934" s="61">
        <v>17786</v>
      </c>
      <c r="N934" s="67" t="s">
        <v>42</v>
      </c>
    </row>
    <row r="935" spans="1:14" ht="17" x14ac:dyDescent="0.2">
      <c r="B935" s="147" t="s">
        <v>135</v>
      </c>
      <c r="C935" s="19" t="s">
        <v>40</v>
      </c>
      <c r="F935" s="34" t="s">
        <v>0</v>
      </c>
      <c r="G935" s="62" t="s">
        <v>41</v>
      </c>
      <c r="H935" s="61">
        <v>17786</v>
      </c>
      <c r="N935" s="67" t="s">
        <v>42</v>
      </c>
    </row>
    <row r="936" spans="1:14" ht="17" x14ac:dyDescent="0.2">
      <c r="B936" s="147" t="s">
        <v>136</v>
      </c>
      <c r="C936" s="19" t="s">
        <v>40</v>
      </c>
      <c r="F936" s="34" t="s">
        <v>0</v>
      </c>
      <c r="G936" s="62" t="s">
        <v>41</v>
      </c>
      <c r="H936" s="61">
        <v>17786</v>
      </c>
      <c r="N936" s="67" t="s">
        <v>42</v>
      </c>
    </row>
    <row r="937" spans="1:14" ht="20" x14ac:dyDescent="0.25">
      <c r="B937" s="230" t="s">
        <v>238</v>
      </c>
      <c r="C937" s="19"/>
      <c r="N937" s="67" t="s">
        <v>45</v>
      </c>
    </row>
    <row r="938" spans="1:14" ht="17" x14ac:dyDescent="0.2">
      <c r="B938" s="147" t="s">
        <v>239</v>
      </c>
      <c r="C938" s="19" t="s">
        <v>40</v>
      </c>
      <c r="F938" s="34" t="s">
        <v>0</v>
      </c>
      <c r="G938" s="62" t="s">
        <v>41</v>
      </c>
      <c r="H938" s="61">
        <v>17786</v>
      </c>
      <c r="N938" s="67" t="s">
        <v>42</v>
      </c>
    </row>
    <row r="939" spans="1:14" ht="23" x14ac:dyDescent="0.3">
      <c r="B939" s="148" t="s">
        <v>137</v>
      </c>
      <c r="C939" s="19"/>
      <c r="N939" s="67" t="s">
        <v>45</v>
      </c>
    </row>
    <row r="940" spans="1:14" ht="23" x14ac:dyDescent="0.3">
      <c r="B940" s="148" t="s">
        <v>138</v>
      </c>
      <c r="C940" s="19"/>
      <c r="N940" s="67" t="s">
        <v>45</v>
      </c>
    </row>
    <row r="941" spans="1:14" ht="17" x14ac:dyDescent="0.2">
      <c r="B941" s="168" t="s">
        <v>139</v>
      </c>
      <c r="C941" s="19" t="s">
        <v>40</v>
      </c>
      <c r="F941" s="34" t="s">
        <v>0</v>
      </c>
      <c r="G941" s="62" t="s">
        <v>41</v>
      </c>
      <c r="H941" s="61">
        <v>17786</v>
      </c>
      <c r="N941" s="67" t="s">
        <v>42</v>
      </c>
    </row>
    <row r="942" spans="1:14" ht="17" x14ac:dyDescent="0.2">
      <c r="B942" s="147" t="s">
        <v>140</v>
      </c>
      <c r="C942" s="19" t="s">
        <v>40</v>
      </c>
      <c r="F942" s="34" t="s">
        <v>0</v>
      </c>
      <c r="G942" s="62" t="s">
        <v>41</v>
      </c>
      <c r="H942" s="61">
        <v>17786</v>
      </c>
      <c r="N942" s="67" t="s">
        <v>42</v>
      </c>
    </row>
    <row r="943" spans="1:14" ht="17" x14ac:dyDescent="0.2">
      <c r="B943" s="147" t="s">
        <v>141</v>
      </c>
      <c r="C943" s="19" t="s">
        <v>40</v>
      </c>
      <c r="F943" s="34" t="s">
        <v>0</v>
      </c>
      <c r="G943" s="62" t="s">
        <v>41</v>
      </c>
      <c r="H943" s="61">
        <v>17786</v>
      </c>
      <c r="N943" s="67" t="s">
        <v>42</v>
      </c>
    </row>
    <row r="944" spans="1:14" ht="17" x14ac:dyDescent="0.2">
      <c r="B944" s="147" t="s">
        <v>142</v>
      </c>
      <c r="C944" s="19" t="s">
        <v>40</v>
      </c>
      <c r="F944" s="34" t="s">
        <v>0</v>
      </c>
      <c r="G944" s="62" t="s">
        <v>41</v>
      </c>
      <c r="H944" s="61">
        <v>17786</v>
      </c>
      <c r="N944" s="67" t="s">
        <v>42</v>
      </c>
    </row>
    <row r="945" spans="2:14" ht="17" x14ac:dyDescent="0.2">
      <c r="B945" s="147" t="s">
        <v>143</v>
      </c>
      <c r="C945" s="19" t="s">
        <v>40</v>
      </c>
      <c r="F945" s="34" t="s">
        <v>0</v>
      </c>
      <c r="G945" s="62" t="s">
        <v>41</v>
      </c>
      <c r="H945" s="61">
        <v>17786</v>
      </c>
      <c r="N945" s="67" t="s">
        <v>42</v>
      </c>
    </row>
    <row r="946" spans="2:14" ht="17" x14ac:dyDescent="0.2">
      <c r="B946" s="168" t="s">
        <v>240</v>
      </c>
      <c r="C946" s="19" t="s">
        <v>40</v>
      </c>
      <c r="F946" s="34" t="s">
        <v>0</v>
      </c>
      <c r="G946" s="62" t="s">
        <v>41</v>
      </c>
      <c r="H946" s="61">
        <v>17786</v>
      </c>
      <c r="N946" s="67" t="s">
        <v>42</v>
      </c>
    </row>
    <row r="947" spans="2:14" ht="23" x14ac:dyDescent="0.3">
      <c r="B947" s="148" t="s">
        <v>144</v>
      </c>
      <c r="C947" s="19"/>
      <c r="N947" s="67" t="s">
        <v>45</v>
      </c>
    </row>
    <row r="948" spans="2:14" ht="17" x14ac:dyDescent="0.2">
      <c r="B948" s="168" t="s">
        <v>145</v>
      </c>
      <c r="C948" s="19" t="s">
        <v>40</v>
      </c>
      <c r="F948" s="34" t="s">
        <v>0</v>
      </c>
      <c r="G948" s="62" t="s">
        <v>41</v>
      </c>
      <c r="H948" s="61">
        <v>17786</v>
      </c>
      <c r="N948" s="67" t="s">
        <v>42</v>
      </c>
    </row>
    <row r="949" spans="2:14" ht="17" x14ac:dyDescent="0.2">
      <c r="B949" s="168" t="s">
        <v>146</v>
      </c>
      <c r="C949" s="19" t="s">
        <v>40</v>
      </c>
      <c r="F949" s="34" t="s">
        <v>0</v>
      </c>
      <c r="G949" s="62" t="s">
        <v>41</v>
      </c>
      <c r="H949" s="61">
        <v>17786</v>
      </c>
      <c r="N949" s="67" t="s">
        <v>42</v>
      </c>
    </row>
    <row r="950" spans="2:14" ht="17" x14ac:dyDescent="0.2">
      <c r="B950" s="168" t="s">
        <v>147</v>
      </c>
      <c r="C950" s="19" t="s">
        <v>40</v>
      </c>
      <c r="F950" s="34" t="s">
        <v>0</v>
      </c>
      <c r="G950" s="62" t="s">
        <v>41</v>
      </c>
      <c r="H950" s="61">
        <v>17786</v>
      </c>
      <c r="N950" s="67" t="s">
        <v>42</v>
      </c>
    </row>
    <row r="951" spans="2:14" ht="17" x14ac:dyDescent="0.2">
      <c r="B951" s="168" t="s">
        <v>241</v>
      </c>
      <c r="C951" s="19" t="s">
        <v>40</v>
      </c>
      <c r="F951" s="34" t="s">
        <v>0</v>
      </c>
      <c r="G951" s="62" t="s">
        <v>41</v>
      </c>
      <c r="H951" s="61">
        <v>17786</v>
      </c>
      <c r="N951" s="67" t="s">
        <v>42</v>
      </c>
    </row>
    <row r="952" spans="2:14" ht="17" x14ac:dyDescent="0.2">
      <c r="B952" s="168" t="s">
        <v>149</v>
      </c>
      <c r="C952" s="19" t="s">
        <v>40</v>
      </c>
      <c r="F952" s="34" t="s">
        <v>0</v>
      </c>
      <c r="G952" s="62" t="s">
        <v>41</v>
      </c>
      <c r="H952" s="61">
        <v>17786</v>
      </c>
      <c r="N952" s="67" t="s">
        <v>42</v>
      </c>
    </row>
    <row r="953" spans="2:14" ht="20" x14ac:dyDescent="0.25">
      <c r="B953" s="149" t="s">
        <v>150</v>
      </c>
      <c r="C953" s="19"/>
      <c r="N953" s="67" t="s">
        <v>45</v>
      </c>
    </row>
    <row r="954" spans="2:14" ht="17" x14ac:dyDescent="0.2">
      <c r="B954" s="150" t="s">
        <v>151</v>
      </c>
      <c r="C954" s="19"/>
      <c r="N954" s="67" t="s">
        <v>45</v>
      </c>
    </row>
    <row r="955" spans="2:14" ht="17" x14ac:dyDescent="0.2">
      <c r="B955" s="151" t="s">
        <v>152</v>
      </c>
      <c r="C955" s="19" t="s">
        <v>40</v>
      </c>
      <c r="F955" s="34" t="s">
        <v>0</v>
      </c>
      <c r="G955" s="62" t="s">
        <v>41</v>
      </c>
      <c r="H955" s="61">
        <v>17786</v>
      </c>
      <c r="N955" s="67" t="s">
        <v>42</v>
      </c>
    </row>
    <row r="956" spans="2:14" ht="17" x14ac:dyDescent="0.2">
      <c r="B956" s="151" t="s">
        <v>153</v>
      </c>
      <c r="C956" s="19" t="s">
        <v>40</v>
      </c>
      <c r="F956" s="34" t="s">
        <v>0</v>
      </c>
      <c r="G956" s="62" t="s">
        <v>41</v>
      </c>
      <c r="H956" s="61">
        <v>17786</v>
      </c>
      <c r="N956" s="67" t="s">
        <v>42</v>
      </c>
    </row>
    <row r="957" spans="2:14" ht="17" x14ac:dyDescent="0.2">
      <c r="B957" s="152" t="s">
        <v>154</v>
      </c>
      <c r="C957" s="19" t="s">
        <v>40</v>
      </c>
      <c r="F957" s="34" t="s">
        <v>0</v>
      </c>
      <c r="G957" s="62" t="s">
        <v>41</v>
      </c>
      <c r="H957" s="61">
        <v>17786</v>
      </c>
      <c r="N957" s="67" t="s">
        <v>42</v>
      </c>
    </row>
    <row r="958" spans="2:14" ht="17" x14ac:dyDescent="0.2">
      <c r="B958" s="143" t="s">
        <v>155</v>
      </c>
      <c r="C958" s="19" t="s">
        <v>40</v>
      </c>
      <c r="F958" s="34" t="s">
        <v>0</v>
      </c>
      <c r="G958" s="62" t="s">
        <v>41</v>
      </c>
      <c r="H958" s="61">
        <v>17786</v>
      </c>
      <c r="N958" s="67" t="s">
        <v>42</v>
      </c>
    </row>
    <row r="959" spans="2:14" ht="17" x14ac:dyDescent="0.2">
      <c r="B959" s="153" t="s">
        <v>156</v>
      </c>
      <c r="N959" s="67" t="s">
        <v>45</v>
      </c>
    </row>
    <row r="960" spans="2:14" ht="17" x14ac:dyDescent="0.2">
      <c r="B960" s="153" t="s">
        <v>157</v>
      </c>
      <c r="C960" s="19"/>
      <c r="N960" s="67" t="s">
        <v>45</v>
      </c>
    </row>
    <row r="961" spans="2:14" ht="17" x14ac:dyDescent="0.2">
      <c r="B961" s="154" t="s">
        <v>158</v>
      </c>
      <c r="C961" s="19" t="s">
        <v>40</v>
      </c>
      <c r="F961" s="34" t="s">
        <v>0</v>
      </c>
      <c r="G961" s="62" t="s">
        <v>41</v>
      </c>
      <c r="H961" s="61">
        <v>17786</v>
      </c>
      <c r="N961" s="67" t="s">
        <v>42</v>
      </c>
    </row>
    <row r="962" spans="2:14" ht="17" x14ac:dyDescent="0.2">
      <c r="B962" s="155" t="s">
        <v>159</v>
      </c>
      <c r="C962" s="19" t="s">
        <v>40</v>
      </c>
      <c r="F962" s="34" t="s">
        <v>0</v>
      </c>
      <c r="G962" s="62" t="s">
        <v>41</v>
      </c>
      <c r="H962" s="61">
        <v>17786</v>
      </c>
      <c r="N962" s="67" t="s">
        <v>42</v>
      </c>
    </row>
    <row r="963" spans="2:14" ht="17" x14ac:dyDescent="0.2">
      <c r="B963" s="151" t="s">
        <v>160</v>
      </c>
      <c r="C963" s="19" t="s">
        <v>40</v>
      </c>
      <c r="F963" s="34" t="s">
        <v>0</v>
      </c>
      <c r="G963" s="62" t="s">
        <v>41</v>
      </c>
      <c r="H963" s="61">
        <v>17786</v>
      </c>
      <c r="N963" s="67" t="s">
        <v>42</v>
      </c>
    </row>
    <row r="964" spans="2:14" ht="17" x14ac:dyDescent="0.2">
      <c r="B964" s="153" t="s">
        <v>161</v>
      </c>
      <c r="C964" s="19"/>
      <c r="N964" s="67" t="s">
        <v>45</v>
      </c>
    </row>
    <row r="965" spans="2:14" ht="17" x14ac:dyDescent="0.2">
      <c r="B965" s="156" t="s">
        <v>162</v>
      </c>
      <c r="C965" s="19"/>
      <c r="N965" s="67" t="s">
        <v>45</v>
      </c>
    </row>
    <row r="966" spans="2:14" ht="48" x14ac:dyDescent="0.2">
      <c r="B966" s="151" t="s">
        <v>163</v>
      </c>
      <c r="C966" s="19" t="s">
        <v>40</v>
      </c>
      <c r="F966" s="34" t="s">
        <v>0</v>
      </c>
      <c r="G966" s="62" t="s">
        <v>41</v>
      </c>
      <c r="H966" s="61">
        <v>17786</v>
      </c>
      <c r="N966" s="67" t="s">
        <v>42</v>
      </c>
    </row>
    <row r="967" spans="2:14" ht="17" x14ac:dyDescent="0.2">
      <c r="B967" s="138" t="s">
        <v>164</v>
      </c>
      <c r="C967" s="19" t="s">
        <v>40</v>
      </c>
      <c r="F967" s="34" t="s">
        <v>0</v>
      </c>
      <c r="G967" s="62" t="s">
        <v>41</v>
      </c>
      <c r="H967" s="61">
        <v>17786</v>
      </c>
      <c r="N967" s="67" t="s">
        <v>42</v>
      </c>
    </row>
    <row r="968" spans="2:14" ht="17" x14ac:dyDescent="0.2">
      <c r="B968" s="156" t="s">
        <v>165</v>
      </c>
      <c r="C968" s="19"/>
      <c r="N968" s="67" t="s">
        <v>45</v>
      </c>
    </row>
    <row r="969" spans="2:14" ht="48" x14ac:dyDescent="0.2">
      <c r="B969" s="151" t="s">
        <v>166</v>
      </c>
      <c r="C969" s="19" t="s">
        <v>40</v>
      </c>
      <c r="F969" s="34" t="s">
        <v>0</v>
      </c>
      <c r="G969" s="62" t="s">
        <v>41</v>
      </c>
      <c r="H969" s="61">
        <v>17786</v>
      </c>
      <c r="N969" s="67" t="s">
        <v>42</v>
      </c>
    </row>
    <row r="970" spans="2:14" ht="17" x14ac:dyDescent="0.2">
      <c r="B970" s="138" t="s">
        <v>167</v>
      </c>
      <c r="C970" s="19" t="s">
        <v>40</v>
      </c>
      <c r="F970" s="34" t="s">
        <v>0</v>
      </c>
      <c r="G970" s="62" t="s">
        <v>41</v>
      </c>
      <c r="H970" s="61">
        <v>17786</v>
      </c>
      <c r="N970" s="67" t="s">
        <v>42</v>
      </c>
    </row>
    <row r="971" spans="2:14" ht="17" x14ac:dyDescent="0.2">
      <c r="B971" s="157" t="s">
        <v>168</v>
      </c>
      <c r="G971" s="62" t="s">
        <v>41</v>
      </c>
      <c r="H971" s="61">
        <v>17786</v>
      </c>
      <c r="N971" s="67" t="s">
        <v>45</v>
      </c>
    </row>
    <row r="972" spans="2:14" ht="51" x14ac:dyDescent="0.2">
      <c r="B972" s="158" t="s">
        <v>169</v>
      </c>
      <c r="C972" s="19" t="s">
        <v>40</v>
      </c>
      <c r="F972" s="34" t="s">
        <v>0</v>
      </c>
      <c r="G972" s="62" t="s">
        <v>41</v>
      </c>
      <c r="H972" s="61">
        <v>17786</v>
      </c>
      <c r="N972" s="67" t="s">
        <v>42</v>
      </c>
    </row>
    <row r="973" spans="2:14" ht="17" x14ac:dyDescent="0.2">
      <c r="B973" s="159" t="s">
        <v>170</v>
      </c>
      <c r="C973" s="19" t="s">
        <v>40</v>
      </c>
      <c r="F973" s="34" t="s">
        <v>0</v>
      </c>
      <c r="G973" s="62" t="s">
        <v>41</v>
      </c>
      <c r="H973" s="61">
        <v>17786</v>
      </c>
      <c r="N973" s="67" t="s">
        <v>42</v>
      </c>
    </row>
    <row r="974" spans="2:14" ht="17" x14ac:dyDescent="0.2">
      <c r="B974" s="157" t="s">
        <v>171</v>
      </c>
      <c r="C974" s="19"/>
      <c r="N974" s="67" t="s">
        <v>45</v>
      </c>
    </row>
    <row r="975" spans="2:14" ht="48" x14ac:dyDescent="0.2">
      <c r="B975" s="144" t="s">
        <v>172</v>
      </c>
      <c r="C975" s="19" t="s">
        <v>40</v>
      </c>
      <c r="F975" s="34" t="s">
        <v>0</v>
      </c>
      <c r="G975" s="62" t="s">
        <v>41</v>
      </c>
      <c r="H975" s="61">
        <v>17786</v>
      </c>
      <c r="N975" s="67" t="s">
        <v>42</v>
      </c>
    </row>
    <row r="976" spans="2:14" ht="17" x14ac:dyDescent="0.2">
      <c r="B976" s="160" t="s">
        <v>173</v>
      </c>
      <c r="C976" s="19" t="s">
        <v>40</v>
      </c>
      <c r="F976" s="34" t="s">
        <v>0</v>
      </c>
      <c r="G976" s="62" t="s">
        <v>41</v>
      </c>
      <c r="H976" s="61">
        <v>17786</v>
      </c>
      <c r="N976" s="67" t="s">
        <v>42</v>
      </c>
    </row>
    <row r="977" spans="2:14" ht="17" x14ac:dyDescent="0.2">
      <c r="B977" s="161" t="s">
        <v>174</v>
      </c>
      <c r="N977" s="67" t="s">
        <v>45</v>
      </c>
    </row>
    <row r="978" spans="2:14" ht="51" x14ac:dyDescent="0.2">
      <c r="B978" s="161" t="s">
        <v>175</v>
      </c>
      <c r="C978" s="19"/>
      <c r="N978" s="67" t="s">
        <v>45</v>
      </c>
    </row>
    <row r="979" spans="2:14" ht="17" x14ac:dyDescent="0.2">
      <c r="B979" s="131" t="s">
        <v>176</v>
      </c>
      <c r="C979" s="19" t="s">
        <v>40</v>
      </c>
      <c r="F979" s="34" t="s">
        <v>0</v>
      </c>
      <c r="G979" s="62" t="s">
        <v>41</v>
      </c>
      <c r="H979" s="61">
        <v>17786</v>
      </c>
      <c r="N979" s="67" t="s">
        <v>42</v>
      </c>
    </row>
    <row r="980" spans="2:14" ht="17" x14ac:dyDescent="0.2">
      <c r="B980" s="160" t="s">
        <v>177</v>
      </c>
      <c r="C980" s="19" t="s">
        <v>40</v>
      </c>
      <c r="F980" s="34" t="s">
        <v>0</v>
      </c>
      <c r="G980" s="62" t="s">
        <v>41</v>
      </c>
      <c r="H980" s="61">
        <v>17786</v>
      </c>
      <c r="N980" s="67" t="s">
        <v>42</v>
      </c>
    </row>
    <row r="981" spans="2:14" ht="17" x14ac:dyDescent="0.2">
      <c r="B981" s="131" t="s">
        <v>178</v>
      </c>
      <c r="C981" s="19" t="s">
        <v>40</v>
      </c>
      <c r="F981" s="34" t="s">
        <v>0</v>
      </c>
      <c r="G981" s="62" t="s">
        <v>41</v>
      </c>
      <c r="H981" s="61">
        <v>17786</v>
      </c>
      <c r="N981" s="67" t="s">
        <v>42</v>
      </c>
    </row>
    <row r="982" spans="2:14" ht="68" x14ac:dyDescent="0.2">
      <c r="B982" s="131" t="s">
        <v>179</v>
      </c>
      <c r="C982" s="19" t="s">
        <v>40</v>
      </c>
      <c r="F982" s="34" t="s">
        <v>0</v>
      </c>
      <c r="G982" s="62" t="s">
        <v>41</v>
      </c>
      <c r="H982" s="61">
        <v>17786</v>
      </c>
      <c r="N982" s="67" t="s">
        <v>42</v>
      </c>
    </row>
    <row r="983" spans="2:14" ht="17" x14ac:dyDescent="0.2">
      <c r="B983" s="131" t="s">
        <v>180</v>
      </c>
      <c r="C983" s="19" t="s">
        <v>40</v>
      </c>
      <c r="F983" s="34" t="s">
        <v>0</v>
      </c>
      <c r="G983" s="62" t="s">
        <v>41</v>
      </c>
      <c r="H983" s="61">
        <v>17786</v>
      </c>
      <c r="N983" s="67" t="s">
        <v>42</v>
      </c>
    </row>
    <row r="984" spans="2:14" ht="68" x14ac:dyDescent="0.2">
      <c r="B984" s="131" t="s">
        <v>181</v>
      </c>
      <c r="C984" s="19" t="s">
        <v>40</v>
      </c>
      <c r="F984" s="34" t="s">
        <v>0</v>
      </c>
      <c r="G984" s="62" t="s">
        <v>41</v>
      </c>
      <c r="H984" s="61">
        <v>17786</v>
      </c>
      <c r="N984" s="67" t="s">
        <v>42</v>
      </c>
    </row>
    <row r="985" spans="2:14" ht="17" x14ac:dyDescent="0.2">
      <c r="B985" s="160" t="s">
        <v>182</v>
      </c>
      <c r="C985" s="19" t="s">
        <v>40</v>
      </c>
      <c r="F985" s="34" t="s">
        <v>0</v>
      </c>
      <c r="G985" s="62" t="s">
        <v>41</v>
      </c>
      <c r="H985" s="61">
        <v>17786</v>
      </c>
      <c r="N985" s="67" t="s">
        <v>42</v>
      </c>
    </row>
    <row r="986" spans="2:14" ht="68" x14ac:dyDescent="0.2">
      <c r="B986" s="160" t="s">
        <v>183</v>
      </c>
      <c r="C986" s="19" t="s">
        <v>40</v>
      </c>
      <c r="F986" s="34" t="s">
        <v>0</v>
      </c>
      <c r="G986" s="62" t="s">
        <v>41</v>
      </c>
      <c r="H986" s="61">
        <v>17786</v>
      </c>
      <c r="N986" s="67" t="s">
        <v>42</v>
      </c>
    </row>
    <row r="987" spans="2:14" ht="17" x14ac:dyDescent="0.2">
      <c r="B987" s="162" t="s">
        <v>184</v>
      </c>
      <c r="C987" s="19" t="s">
        <v>40</v>
      </c>
      <c r="F987" s="34" t="s">
        <v>0</v>
      </c>
      <c r="G987" s="62" t="s">
        <v>41</v>
      </c>
      <c r="H987" s="61">
        <v>17786</v>
      </c>
      <c r="N987" s="67" t="s">
        <v>42</v>
      </c>
    </row>
    <row r="988" spans="2:14" ht="17" x14ac:dyDescent="0.2">
      <c r="B988" s="162" t="s">
        <v>185</v>
      </c>
      <c r="C988" s="19" t="s">
        <v>40</v>
      </c>
      <c r="F988" s="34" t="s">
        <v>0</v>
      </c>
      <c r="G988" s="62" t="s">
        <v>41</v>
      </c>
      <c r="H988" s="61">
        <v>17786</v>
      </c>
      <c r="N988" s="67" t="s">
        <v>42</v>
      </c>
    </row>
    <row r="989" spans="2:14" ht="17" x14ac:dyDescent="0.2">
      <c r="N989" s="67" t="s">
        <v>45</v>
      </c>
    </row>
    <row r="990" spans="2:14" ht="17" x14ac:dyDescent="0.2">
      <c r="N990" s="67" t="s">
        <v>45</v>
      </c>
    </row>
    <row r="991" spans="2:14" ht="25" x14ac:dyDescent="0.3">
      <c r="B991" s="125" t="s">
        <v>242</v>
      </c>
      <c r="C991" s="59"/>
      <c r="N991" s="67" t="s">
        <v>45</v>
      </c>
    </row>
    <row r="992" spans="2:14" ht="69" x14ac:dyDescent="0.2">
      <c r="B992" s="170" t="s">
        <v>243</v>
      </c>
      <c r="C992" s="19"/>
      <c r="N992" s="67" t="s">
        <v>45</v>
      </c>
    </row>
    <row r="993" spans="2:14" ht="17" x14ac:dyDescent="0.2">
      <c r="B993" s="127" t="s">
        <v>31</v>
      </c>
      <c r="C993" s="19"/>
      <c r="N993" s="67" t="s">
        <v>45</v>
      </c>
    </row>
    <row r="994" spans="2:14" ht="17" x14ac:dyDescent="0.2">
      <c r="B994" s="127" t="s">
        <v>32</v>
      </c>
      <c r="N994" s="67" t="s">
        <v>45</v>
      </c>
    </row>
    <row r="995" spans="2:14" ht="17" x14ac:dyDescent="0.2">
      <c r="B995" s="128" t="s">
        <v>33</v>
      </c>
      <c r="N995" s="67" t="s">
        <v>45</v>
      </c>
    </row>
    <row r="996" spans="2:14" ht="17" x14ac:dyDescent="0.2">
      <c r="B996" s="127" t="s">
        <v>34</v>
      </c>
      <c r="C996" s="19"/>
      <c r="N996" s="67" t="s">
        <v>45</v>
      </c>
    </row>
    <row r="997" spans="2:14" ht="51" x14ac:dyDescent="0.2">
      <c r="B997" s="163" t="s">
        <v>244</v>
      </c>
      <c r="C997" s="19"/>
      <c r="N997" s="67" t="s">
        <v>45</v>
      </c>
    </row>
    <row r="998" spans="2:14" ht="17" x14ac:dyDescent="0.2">
      <c r="B998" s="129" t="s">
        <v>36</v>
      </c>
      <c r="C998" s="19"/>
      <c r="N998" s="67" t="s">
        <v>45</v>
      </c>
    </row>
    <row r="999" spans="2:14" ht="17" x14ac:dyDescent="0.2">
      <c r="B999" s="129" t="s">
        <v>37</v>
      </c>
      <c r="C999" s="19"/>
      <c r="N999" s="67" t="s">
        <v>45</v>
      </c>
    </row>
    <row r="1000" spans="2:14" ht="17" x14ac:dyDescent="0.2">
      <c r="B1000" s="128" t="s">
        <v>38</v>
      </c>
      <c r="C1000" s="19"/>
      <c r="N1000" s="67" t="s">
        <v>45</v>
      </c>
    </row>
    <row r="1001" spans="2:14" ht="52" x14ac:dyDescent="0.2">
      <c r="B1001" s="130" t="s">
        <v>223</v>
      </c>
      <c r="C1001" s="19" t="s">
        <v>40</v>
      </c>
      <c r="K1001" s="34" t="s">
        <v>0</v>
      </c>
      <c r="L1001" s="62" t="s">
        <v>41</v>
      </c>
      <c r="M1001" s="34">
        <v>24850</v>
      </c>
      <c r="N1001" s="67" t="s">
        <v>42</v>
      </c>
    </row>
    <row r="1002" spans="2:14" ht="32" x14ac:dyDescent="0.2">
      <c r="B1002" s="130" t="s">
        <v>224</v>
      </c>
      <c r="C1002" s="19" t="s">
        <v>40</v>
      </c>
      <c r="K1002" s="34" t="s">
        <v>0</v>
      </c>
      <c r="L1002" s="62" t="s">
        <v>41</v>
      </c>
      <c r="M1002" s="34">
        <v>24850</v>
      </c>
      <c r="N1002" s="67" t="s">
        <v>42</v>
      </c>
    </row>
    <row r="1003" spans="2:14" ht="17" x14ac:dyDescent="0.2">
      <c r="B1003" s="128" t="s">
        <v>44</v>
      </c>
      <c r="C1003" s="19"/>
      <c r="N1003" s="67" t="s">
        <v>45</v>
      </c>
    </row>
    <row r="1004" spans="2:14" ht="17" x14ac:dyDescent="0.2">
      <c r="B1004" s="130" t="s">
        <v>225</v>
      </c>
      <c r="C1004" s="19" t="s">
        <v>40</v>
      </c>
      <c r="K1004" s="34" t="s">
        <v>0</v>
      </c>
      <c r="L1004" s="62" t="s">
        <v>41</v>
      </c>
      <c r="M1004" s="34">
        <v>24850</v>
      </c>
      <c r="N1004" s="67" t="s">
        <v>42</v>
      </c>
    </row>
    <row r="1005" spans="2:14" ht="17" x14ac:dyDescent="0.2">
      <c r="B1005" s="128" t="s">
        <v>47</v>
      </c>
      <c r="N1005" s="67" t="s">
        <v>45</v>
      </c>
    </row>
    <row r="1006" spans="2:14" ht="17" x14ac:dyDescent="0.2">
      <c r="B1006" s="131" t="s">
        <v>48</v>
      </c>
      <c r="C1006" s="19" t="s">
        <v>40</v>
      </c>
      <c r="K1006" s="34" t="s">
        <v>0</v>
      </c>
      <c r="L1006" s="62" t="s">
        <v>41</v>
      </c>
      <c r="M1006" s="34">
        <v>24850</v>
      </c>
      <c r="N1006" s="67" t="s">
        <v>42</v>
      </c>
    </row>
    <row r="1007" spans="2:14" ht="17" x14ac:dyDescent="0.2">
      <c r="B1007" s="131" t="s">
        <v>49</v>
      </c>
      <c r="C1007" s="19" t="s">
        <v>40</v>
      </c>
      <c r="K1007" s="34" t="s">
        <v>0</v>
      </c>
      <c r="L1007" s="62" t="s">
        <v>41</v>
      </c>
      <c r="M1007" s="34">
        <v>24850</v>
      </c>
      <c r="N1007" s="67" t="s">
        <v>42</v>
      </c>
    </row>
    <row r="1008" spans="2:14" ht="34" x14ac:dyDescent="0.2">
      <c r="B1008" s="131" t="s">
        <v>50</v>
      </c>
      <c r="C1008" s="19" t="s">
        <v>40</v>
      </c>
      <c r="K1008" s="34" t="s">
        <v>0</v>
      </c>
      <c r="L1008" s="62" t="s">
        <v>41</v>
      </c>
      <c r="M1008" s="34">
        <v>24850</v>
      </c>
      <c r="N1008" s="67" t="s">
        <v>42</v>
      </c>
    </row>
    <row r="1009" spans="2:14" ht="17" x14ac:dyDescent="0.2">
      <c r="B1009" s="128" t="s">
        <v>51</v>
      </c>
      <c r="C1009" s="19"/>
      <c r="N1009" s="67" t="s">
        <v>45</v>
      </c>
    </row>
    <row r="1010" spans="2:14" ht="30" customHeight="1" x14ac:dyDescent="0.2">
      <c r="B1010" s="131" t="s">
        <v>52</v>
      </c>
      <c r="C1010" s="19" t="s">
        <v>40</v>
      </c>
      <c r="K1010" s="34" t="s">
        <v>0</v>
      </c>
      <c r="L1010" s="62" t="s">
        <v>41</v>
      </c>
      <c r="M1010" s="34">
        <v>24850</v>
      </c>
      <c r="N1010" s="67" t="s">
        <v>42</v>
      </c>
    </row>
    <row r="1011" spans="2:14" ht="17" x14ac:dyDescent="0.2">
      <c r="B1011" s="132" t="s">
        <v>53</v>
      </c>
      <c r="C1011" s="19"/>
      <c r="N1011" s="67" t="s">
        <v>45</v>
      </c>
    </row>
    <row r="1012" spans="2:14" ht="51" x14ac:dyDescent="0.2">
      <c r="B1012" s="133" t="s">
        <v>227</v>
      </c>
      <c r="C1012" s="19" t="s">
        <v>40</v>
      </c>
      <c r="K1012" s="34" t="s">
        <v>0</v>
      </c>
      <c r="L1012" s="62" t="s">
        <v>41</v>
      </c>
      <c r="M1012" s="34">
        <v>24850</v>
      </c>
      <c r="N1012" s="67" t="s">
        <v>42</v>
      </c>
    </row>
    <row r="1013" spans="2:14" ht="17" x14ac:dyDescent="0.2">
      <c r="B1013" s="128" t="s">
        <v>55</v>
      </c>
      <c r="C1013" s="19"/>
      <c r="N1013" s="67" t="s">
        <v>45</v>
      </c>
    </row>
    <row r="1014" spans="2:14" ht="51" x14ac:dyDescent="0.2">
      <c r="B1014" s="134" t="s">
        <v>56</v>
      </c>
      <c r="C1014" s="19" t="s">
        <v>57</v>
      </c>
      <c r="K1014" s="34" t="s">
        <v>0</v>
      </c>
      <c r="L1014" s="62" t="s">
        <v>41</v>
      </c>
      <c r="M1014" s="34">
        <v>24850</v>
      </c>
      <c r="N1014" s="67" t="s">
        <v>42</v>
      </c>
    </row>
    <row r="1015" spans="2:14" ht="17" x14ac:dyDescent="0.2">
      <c r="B1015" s="128" t="s">
        <v>58</v>
      </c>
      <c r="N1015" s="67" t="s">
        <v>45</v>
      </c>
    </row>
    <row r="1016" spans="2:14" ht="51" x14ac:dyDescent="0.2">
      <c r="B1016" s="131" t="s">
        <v>228</v>
      </c>
      <c r="C1016" s="19" t="s">
        <v>40</v>
      </c>
      <c r="K1016" s="34" t="s">
        <v>0</v>
      </c>
      <c r="L1016" s="62" t="s">
        <v>41</v>
      </c>
      <c r="M1016" s="34">
        <v>24850</v>
      </c>
      <c r="N1016" s="67" t="s">
        <v>42</v>
      </c>
    </row>
    <row r="1017" spans="2:14" ht="17" x14ac:dyDescent="0.2">
      <c r="B1017" s="231" t="s">
        <v>229</v>
      </c>
      <c r="C1017" s="232"/>
      <c r="N1017" s="67" t="s">
        <v>45</v>
      </c>
    </row>
    <row r="1018" spans="2:14" ht="17" x14ac:dyDescent="0.2">
      <c r="B1018" s="233" t="s">
        <v>230</v>
      </c>
      <c r="C1018" s="232" t="s">
        <v>40</v>
      </c>
      <c r="K1018" s="34" t="s">
        <v>0</v>
      </c>
      <c r="L1018" s="62" t="s">
        <v>41</v>
      </c>
      <c r="M1018" s="34">
        <v>24850</v>
      </c>
      <c r="N1018" s="67" t="s">
        <v>42</v>
      </c>
    </row>
    <row r="1019" spans="2:14" ht="17" x14ac:dyDescent="0.2">
      <c r="B1019" s="233" t="s">
        <v>231</v>
      </c>
      <c r="C1019" s="232" t="s">
        <v>40</v>
      </c>
      <c r="K1019" s="34" t="s">
        <v>0</v>
      </c>
      <c r="L1019" s="62" t="s">
        <v>41</v>
      </c>
      <c r="M1019" s="34">
        <v>24850</v>
      </c>
      <c r="N1019" s="67" t="s">
        <v>42</v>
      </c>
    </row>
    <row r="1020" spans="2:14" ht="17" x14ac:dyDescent="0.2">
      <c r="B1020" s="233" t="s">
        <v>232</v>
      </c>
      <c r="C1020" s="232" t="s">
        <v>40</v>
      </c>
      <c r="K1020" s="34" t="s">
        <v>0</v>
      </c>
      <c r="L1020" s="62" t="s">
        <v>41</v>
      </c>
      <c r="M1020" s="34">
        <v>24850</v>
      </c>
      <c r="N1020" s="67" t="s">
        <v>42</v>
      </c>
    </row>
    <row r="1021" spans="2:14" ht="17" x14ac:dyDescent="0.2">
      <c r="B1021" s="233" t="s">
        <v>233</v>
      </c>
      <c r="C1021" s="232" t="s">
        <v>40</v>
      </c>
      <c r="K1021" s="34" t="s">
        <v>0</v>
      </c>
      <c r="L1021" s="62" t="s">
        <v>41</v>
      </c>
      <c r="M1021" s="34">
        <v>24850</v>
      </c>
      <c r="N1021" s="67" t="s">
        <v>42</v>
      </c>
    </row>
    <row r="1022" spans="2:14" ht="17" x14ac:dyDescent="0.2">
      <c r="B1022" s="233" t="s">
        <v>236</v>
      </c>
      <c r="C1022" s="232" t="s">
        <v>40</v>
      </c>
      <c r="K1022" s="34" t="s">
        <v>0</v>
      </c>
      <c r="L1022" s="62" t="s">
        <v>41</v>
      </c>
      <c r="M1022" s="34">
        <v>24850</v>
      </c>
      <c r="N1022" s="67" t="s">
        <v>42</v>
      </c>
    </row>
    <row r="1023" spans="2:14" ht="17" x14ac:dyDescent="0.2">
      <c r="B1023" s="128" t="s">
        <v>65</v>
      </c>
      <c r="N1023" s="67" t="s">
        <v>45</v>
      </c>
    </row>
    <row r="1024" spans="2:14" ht="17" x14ac:dyDescent="0.2">
      <c r="B1024" s="174" t="s">
        <v>66</v>
      </c>
      <c r="C1024" s="19" t="s">
        <v>40</v>
      </c>
      <c r="K1024" s="34" t="s">
        <v>0</v>
      </c>
      <c r="L1024" s="62" t="s">
        <v>41</v>
      </c>
      <c r="M1024" s="34">
        <v>24850</v>
      </c>
      <c r="N1024" s="67" t="s">
        <v>42</v>
      </c>
    </row>
    <row r="1025" spans="2:14" ht="17" x14ac:dyDescent="0.2">
      <c r="B1025" s="138" t="s">
        <v>67</v>
      </c>
      <c r="C1025" s="19" t="s">
        <v>40</v>
      </c>
      <c r="K1025" s="34" t="s">
        <v>0</v>
      </c>
      <c r="L1025" s="62" t="s">
        <v>41</v>
      </c>
      <c r="M1025" s="34">
        <v>24850</v>
      </c>
      <c r="N1025" s="67" t="s">
        <v>42</v>
      </c>
    </row>
    <row r="1026" spans="2:14" ht="17" x14ac:dyDescent="0.2">
      <c r="B1026" s="138" t="s">
        <v>68</v>
      </c>
      <c r="C1026" s="19" t="s">
        <v>40</v>
      </c>
      <c r="K1026" s="34" t="s">
        <v>0</v>
      </c>
      <c r="L1026" s="62" t="s">
        <v>41</v>
      </c>
      <c r="M1026" s="34">
        <v>24850</v>
      </c>
      <c r="N1026" s="67" t="s">
        <v>42</v>
      </c>
    </row>
    <row r="1027" spans="2:14" ht="17" x14ac:dyDescent="0.2">
      <c r="B1027" s="138" t="s">
        <v>69</v>
      </c>
      <c r="C1027" s="19" t="s">
        <v>40</v>
      </c>
      <c r="K1027" s="34" t="s">
        <v>0</v>
      </c>
      <c r="L1027" s="62" t="s">
        <v>41</v>
      </c>
      <c r="M1027" s="34">
        <v>24850</v>
      </c>
      <c r="N1027" s="67" t="s">
        <v>42</v>
      </c>
    </row>
    <row r="1028" spans="2:14" ht="17" x14ac:dyDescent="0.2">
      <c r="B1028" s="138" t="s">
        <v>70</v>
      </c>
      <c r="C1028" s="19" t="s">
        <v>40</v>
      </c>
      <c r="K1028" s="34" t="s">
        <v>0</v>
      </c>
      <c r="L1028" s="62" t="s">
        <v>41</v>
      </c>
      <c r="M1028" s="34">
        <v>24850</v>
      </c>
      <c r="N1028" s="67" t="s">
        <v>42</v>
      </c>
    </row>
    <row r="1029" spans="2:14" ht="17" x14ac:dyDescent="0.2">
      <c r="B1029" s="138" t="s">
        <v>245</v>
      </c>
      <c r="C1029" s="19" t="s">
        <v>40</v>
      </c>
      <c r="K1029" s="34" t="s">
        <v>0</v>
      </c>
      <c r="L1029" s="62" t="s">
        <v>41</v>
      </c>
      <c r="M1029" s="34">
        <v>24850</v>
      </c>
      <c r="N1029" s="67" t="s">
        <v>42</v>
      </c>
    </row>
    <row r="1030" spans="2:14" ht="17" x14ac:dyDescent="0.2">
      <c r="B1030" s="139" t="s">
        <v>72</v>
      </c>
      <c r="C1030" s="19" t="s">
        <v>40</v>
      </c>
      <c r="K1030" s="34" t="s">
        <v>0</v>
      </c>
      <c r="L1030" s="62" t="s">
        <v>41</v>
      </c>
      <c r="M1030" s="34">
        <v>24850</v>
      </c>
      <c r="N1030" s="67" t="s">
        <v>42</v>
      </c>
    </row>
    <row r="1031" spans="2:14" ht="17" x14ac:dyDescent="0.2">
      <c r="B1031" s="237" t="s">
        <v>73</v>
      </c>
      <c r="C1031" s="19" t="s">
        <v>40</v>
      </c>
      <c r="K1031" s="34" t="s">
        <v>0</v>
      </c>
      <c r="L1031" s="62" t="s">
        <v>41</v>
      </c>
      <c r="M1031" s="34">
        <v>24850</v>
      </c>
      <c r="N1031" s="67" t="s">
        <v>42</v>
      </c>
    </row>
    <row r="1032" spans="2:14" ht="17" x14ac:dyDescent="0.2">
      <c r="B1032" s="139" t="s">
        <v>74</v>
      </c>
      <c r="C1032" s="19" t="s">
        <v>40</v>
      </c>
      <c r="K1032" s="34" t="s">
        <v>0</v>
      </c>
      <c r="L1032" s="62" t="s">
        <v>41</v>
      </c>
      <c r="M1032" s="34">
        <v>24850</v>
      </c>
      <c r="N1032" s="67" t="s">
        <v>42</v>
      </c>
    </row>
    <row r="1033" spans="2:14" ht="17" x14ac:dyDescent="0.2">
      <c r="B1033" s="139" t="s">
        <v>75</v>
      </c>
      <c r="C1033" s="19" t="s">
        <v>40</v>
      </c>
      <c r="K1033" s="34" t="s">
        <v>0</v>
      </c>
      <c r="L1033" s="62" t="s">
        <v>41</v>
      </c>
      <c r="M1033" s="34">
        <v>24850</v>
      </c>
      <c r="N1033" s="67" t="s">
        <v>42</v>
      </c>
    </row>
    <row r="1034" spans="2:14" ht="17" x14ac:dyDescent="0.2">
      <c r="B1034" s="138" t="s">
        <v>76</v>
      </c>
      <c r="C1034" s="19" t="s">
        <v>40</v>
      </c>
      <c r="K1034" s="34" t="s">
        <v>0</v>
      </c>
      <c r="L1034" s="62" t="s">
        <v>41</v>
      </c>
      <c r="M1034" s="34">
        <v>24850</v>
      </c>
      <c r="N1034" s="67" t="s">
        <v>42</v>
      </c>
    </row>
    <row r="1035" spans="2:14" ht="68" x14ac:dyDescent="0.2">
      <c r="B1035" s="138" t="s">
        <v>204</v>
      </c>
      <c r="C1035" s="19" t="s">
        <v>40</v>
      </c>
      <c r="K1035" s="34" t="s">
        <v>0</v>
      </c>
      <c r="L1035" s="62" t="s">
        <v>41</v>
      </c>
      <c r="M1035" s="34">
        <v>24850</v>
      </c>
      <c r="N1035" s="67" t="s">
        <v>42</v>
      </c>
    </row>
    <row r="1036" spans="2:14" ht="17" x14ac:dyDescent="0.2">
      <c r="B1036" s="166" t="s">
        <v>246</v>
      </c>
      <c r="C1036" s="19" t="s">
        <v>40</v>
      </c>
      <c r="K1036" s="34" t="s">
        <v>0</v>
      </c>
      <c r="L1036" s="62" t="s">
        <v>41</v>
      </c>
      <c r="M1036" s="34">
        <v>24850</v>
      </c>
      <c r="N1036" s="67" t="s">
        <v>42</v>
      </c>
    </row>
    <row r="1037" spans="2:14" ht="17" x14ac:dyDescent="0.2">
      <c r="B1037" s="138" t="s">
        <v>79</v>
      </c>
      <c r="C1037" s="19" t="s">
        <v>40</v>
      </c>
      <c r="K1037" s="34" t="s">
        <v>0</v>
      </c>
      <c r="L1037" s="62" t="s">
        <v>41</v>
      </c>
      <c r="M1037" s="34">
        <v>24850</v>
      </c>
      <c r="N1037" s="67" t="s">
        <v>42</v>
      </c>
    </row>
    <row r="1038" spans="2:14" ht="17" x14ac:dyDescent="0.2">
      <c r="B1038" s="138" t="s">
        <v>80</v>
      </c>
      <c r="C1038" s="19" t="s">
        <v>40</v>
      </c>
      <c r="K1038" s="34" t="s">
        <v>0</v>
      </c>
      <c r="L1038" s="62" t="s">
        <v>41</v>
      </c>
      <c r="M1038" s="34">
        <v>24850</v>
      </c>
      <c r="N1038" s="67" t="s">
        <v>42</v>
      </c>
    </row>
    <row r="1039" spans="2:14" ht="17" x14ac:dyDescent="0.2">
      <c r="B1039" s="138" t="s">
        <v>81</v>
      </c>
      <c r="C1039" s="19" t="s">
        <v>40</v>
      </c>
      <c r="K1039" s="34" t="s">
        <v>0</v>
      </c>
      <c r="L1039" s="62" t="s">
        <v>41</v>
      </c>
      <c r="M1039" s="34">
        <v>24850</v>
      </c>
      <c r="N1039" s="67" t="s">
        <v>42</v>
      </c>
    </row>
    <row r="1040" spans="2:14" ht="17" x14ac:dyDescent="0.2">
      <c r="B1040" s="138" t="s">
        <v>82</v>
      </c>
      <c r="C1040" s="19" t="s">
        <v>40</v>
      </c>
      <c r="K1040" s="34" t="s">
        <v>0</v>
      </c>
      <c r="L1040" s="62" t="s">
        <v>41</v>
      </c>
      <c r="M1040" s="34">
        <v>24850</v>
      </c>
      <c r="N1040" s="67" t="s">
        <v>42</v>
      </c>
    </row>
    <row r="1041" spans="1:14" ht="17" x14ac:dyDescent="0.2">
      <c r="B1041" s="138" t="s">
        <v>83</v>
      </c>
      <c r="C1041" s="19" t="s">
        <v>40</v>
      </c>
      <c r="K1041" s="34" t="s">
        <v>0</v>
      </c>
      <c r="L1041" s="62" t="s">
        <v>41</v>
      </c>
      <c r="M1041" s="34">
        <v>24850</v>
      </c>
      <c r="N1041" s="67" t="s">
        <v>42</v>
      </c>
    </row>
    <row r="1042" spans="1:14" ht="17" x14ac:dyDescent="0.2">
      <c r="B1042" s="138" t="s">
        <v>84</v>
      </c>
      <c r="C1042" s="19" t="s">
        <v>40</v>
      </c>
      <c r="K1042" s="34" t="s">
        <v>0</v>
      </c>
      <c r="L1042" s="62" t="s">
        <v>41</v>
      </c>
      <c r="M1042" s="34">
        <v>24850</v>
      </c>
      <c r="N1042" s="67" t="s">
        <v>42</v>
      </c>
    </row>
    <row r="1043" spans="1:14" ht="17" x14ac:dyDescent="0.2">
      <c r="B1043" s="139" t="s">
        <v>85</v>
      </c>
      <c r="C1043" s="19" t="s">
        <v>40</v>
      </c>
      <c r="K1043" s="34" t="s">
        <v>0</v>
      </c>
      <c r="L1043" s="62" t="s">
        <v>41</v>
      </c>
      <c r="M1043" s="34">
        <v>24850</v>
      </c>
      <c r="N1043" s="67" t="s">
        <v>42</v>
      </c>
    </row>
    <row r="1044" spans="1:14" ht="17" x14ac:dyDescent="0.2">
      <c r="B1044" s="140" t="s">
        <v>86</v>
      </c>
      <c r="N1044" s="67" t="s">
        <v>45</v>
      </c>
    </row>
    <row r="1045" spans="1:14" ht="17" x14ac:dyDescent="0.2">
      <c r="B1045" s="141" t="s">
        <v>87</v>
      </c>
      <c r="C1045" s="19" t="s">
        <v>40</v>
      </c>
      <c r="K1045" s="34" t="s">
        <v>0</v>
      </c>
      <c r="L1045" s="62" t="s">
        <v>41</v>
      </c>
      <c r="M1045" s="34">
        <v>24850</v>
      </c>
      <c r="N1045" s="67" t="s">
        <v>42</v>
      </c>
    </row>
    <row r="1046" spans="1:14" ht="32" x14ac:dyDescent="0.2">
      <c r="B1046" s="140" t="s">
        <v>88</v>
      </c>
      <c r="C1046" s="19"/>
      <c r="N1046" s="67" t="s">
        <v>45</v>
      </c>
    </row>
    <row r="1047" spans="1:14" ht="32" x14ac:dyDescent="0.2">
      <c r="B1047" s="142" t="s">
        <v>89</v>
      </c>
      <c r="C1047" s="19" t="s">
        <v>40</v>
      </c>
      <c r="K1047" s="34" t="s">
        <v>0</v>
      </c>
      <c r="L1047" s="62" t="s">
        <v>41</v>
      </c>
      <c r="M1047" s="34">
        <v>24850</v>
      </c>
      <c r="N1047" s="67" t="s">
        <v>42</v>
      </c>
    </row>
    <row r="1048" spans="1:14" ht="17" x14ac:dyDescent="0.2">
      <c r="B1048" s="140" t="s">
        <v>90</v>
      </c>
      <c r="C1048" s="19"/>
      <c r="N1048" s="67" t="s">
        <v>45</v>
      </c>
    </row>
    <row r="1049" spans="1:14" ht="32" x14ac:dyDescent="0.2">
      <c r="B1049" s="142" t="s">
        <v>91</v>
      </c>
      <c r="C1049" s="19" t="s">
        <v>40</v>
      </c>
      <c r="K1049" s="34" t="s">
        <v>92</v>
      </c>
      <c r="L1049" s="62" t="s">
        <v>41</v>
      </c>
      <c r="M1049" s="34">
        <v>24850</v>
      </c>
      <c r="N1049" s="67" t="s">
        <v>42</v>
      </c>
    </row>
    <row r="1050" spans="1:14" ht="17" x14ac:dyDescent="0.2">
      <c r="B1050" s="140" t="s">
        <v>93</v>
      </c>
      <c r="C1050" s="19"/>
      <c r="N1050" s="67" t="s">
        <v>45</v>
      </c>
    </row>
    <row r="1051" spans="1:14" ht="32" x14ac:dyDescent="0.2">
      <c r="B1051" s="142" t="s">
        <v>94</v>
      </c>
      <c r="C1051" s="19" t="s">
        <v>40</v>
      </c>
      <c r="K1051" s="34" t="s">
        <v>92</v>
      </c>
      <c r="L1051" s="62" t="s">
        <v>41</v>
      </c>
      <c r="M1051" s="34">
        <v>24850</v>
      </c>
      <c r="N1051" s="67" t="s">
        <v>42</v>
      </c>
    </row>
    <row r="1052" spans="1:14" ht="48" x14ac:dyDescent="0.2">
      <c r="B1052" s="143" t="s">
        <v>95</v>
      </c>
      <c r="C1052" s="19" t="s">
        <v>40</v>
      </c>
      <c r="K1052" s="34" t="s">
        <v>92</v>
      </c>
      <c r="L1052" s="62" t="s">
        <v>41</v>
      </c>
      <c r="M1052" s="34">
        <v>24850</v>
      </c>
      <c r="N1052" s="67" t="s">
        <v>42</v>
      </c>
    </row>
    <row r="1053" spans="1:14" ht="17" x14ac:dyDescent="0.2">
      <c r="A1053" s="123"/>
      <c r="B1053" s="144" t="s">
        <v>96</v>
      </c>
      <c r="C1053" s="19" t="s">
        <v>40</v>
      </c>
      <c r="K1053" s="34" t="s">
        <v>92</v>
      </c>
      <c r="L1053" s="62" t="s">
        <v>41</v>
      </c>
      <c r="M1053" s="34">
        <v>24850</v>
      </c>
      <c r="N1053" s="67" t="s">
        <v>42</v>
      </c>
    </row>
    <row r="1054" spans="1:14" ht="32" x14ac:dyDescent="0.2">
      <c r="B1054" s="143" t="s">
        <v>97</v>
      </c>
      <c r="C1054" s="19" t="s">
        <v>40</v>
      </c>
      <c r="K1054" s="34" t="s">
        <v>92</v>
      </c>
      <c r="L1054" s="62" t="s">
        <v>41</v>
      </c>
      <c r="M1054" s="34">
        <v>24850</v>
      </c>
      <c r="N1054" s="67" t="s">
        <v>42</v>
      </c>
    </row>
    <row r="1055" spans="1:14" ht="17" x14ac:dyDescent="0.2">
      <c r="B1055" s="142" t="s">
        <v>98</v>
      </c>
      <c r="C1055" s="19" t="s">
        <v>40</v>
      </c>
      <c r="K1055" s="34" t="s">
        <v>92</v>
      </c>
      <c r="L1055" s="62" t="s">
        <v>41</v>
      </c>
      <c r="M1055" s="34">
        <v>24850</v>
      </c>
      <c r="N1055" s="67" t="s">
        <v>42</v>
      </c>
    </row>
    <row r="1056" spans="1:14" ht="17" x14ac:dyDescent="0.2">
      <c r="B1056" s="144" t="s">
        <v>99</v>
      </c>
      <c r="C1056" s="19" t="s">
        <v>40</v>
      </c>
      <c r="K1056" s="34" t="s">
        <v>92</v>
      </c>
      <c r="L1056" s="62" t="s">
        <v>41</v>
      </c>
      <c r="M1056" s="34">
        <v>24850</v>
      </c>
      <c r="N1056" s="67" t="s">
        <v>42</v>
      </c>
    </row>
    <row r="1057" spans="2:14" ht="17" x14ac:dyDescent="0.2">
      <c r="B1057" s="143" t="s">
        <v>100</v>
      </c>
      <c r="C1057" s="19" t="s">
        <v>40</v>
      </c>
      <c r="K1057" s="210" t="s">
        <v>92</v>
      </c>
      <c r="L1057" s="62" t="s">
        <v>41</v>
      </c>
      <c r="M1057" s="34">
        <v>24850</v>
      </c>
      <c r="N1057" s="67" t="s">
        <v>42</v>
      </c>
    </row>
    <row r="1058" spans="2:14" ht="17" x14ac:dyDescent="0.2">
      <c r="B1058" s="140" t="s">
        <v>101</v>
      </c>
      <c r="N1058" s="67" t="s">
        <v>45</v>
      </c>
    </row>
    <row r="1059" spans="2:14" ht="17" x14ac:dyDescent="0.2">
      <c r="B1059" s="141" t="s">
        <v>87</v>
      </c>
      <c r="C1059" s="19" t="s">
        <v>40</v>
      </c>
      <c r="K1059" s="34" t="s">
        <v>0</v>
      </c>
      <c r="L1059" s="62" t="s">
        <v>41</v>
      </c>
      <c r="M1059" s="34">
        <v>24850</v>
      </c>
      <c r="N1059" s="67" t="s">
        <v>42</v>
      </c>
    </row>
    <row r="1060" spans="2:14" ht="32" x14ac:dyDescent="0.2">
      <c r="B1060" s="142" t="s">
        <v>102</v>
      </c>
      <c r="C1060" s="19" t="s">
        <v>40</v>
      </c>
      <c r="K1060" s="34" t="s">
        <v>0</v>
      </c>
      <c r="L1060" s="62" t="s">
        <v>41</v>
      </c>
      <c r="M1060" s="34">
        <v>24850</v>
      </c>
      <c r="N1060" s="67" t="s">
        <v>42</v>
      </c>
    </row>
    <row r="1061" spans="2:14" ht="48" x14ac:dyDescent="0.2">
      <c r="B1061" s="143" t="s">
        <v>103</v>
      </c>
      <c r="C1061" s="19" t="s">
        <v>40</v>
      </c>
      <c r="K1061" s="34" t="s">
        <v>0</v>
      </c>
      <c r="L1061" s="62" t="s">
        <v>41</v>
      </c>
      <c r="M1061" s="34">
        <v>24850</v>
      </c>
      <c r="N1061" s="67" t="s">
        <v>42</v>
      </c>
    </row>
    <row r="1062" spans="2:14" ht="17" x14ac:dyDescent="0.2">
      <c r="B1062" s="144" t="s">
        <v>96</v>
      </c>
      <c r="C1062" s="19" t="s">
        <v>40</v>
      </c>
      <c r="K1062" s="34" t="s">
        <v>0</v>
      </c>
      <c r="L1062" s="62" t="s">
        <v>41</v>
      </c>
      <c r="M1062" s="34">
        <v>24850</v>
      </c>
      <c r="N1062" s="67" t="s">
        <v>42</v>
      </c>
    </row>
    <row r="1063" spans="2:14" ht="32" x14ac:dyDescent="0.2">
      <c r="B1063" s="143" t="s">
        <v>104</v>
      </c>
      <c r="C1063" s="19" t="s">
        <v>40</v>
      </c>
      <c r="K1063" s="34" t="s">
        <v>0</v>
      </c>
      <c r="L1063" s="62" t="s">
        <v>41</v>
      </c>
      <c r="M1063" s="34">
        <v>24850</v>
      </c>
      <c r="N1063" s="67" t="s">
        <v>42</v>
      </c>
    </row>
    <row r="1064" spans="2:14" ht="32" x14ac:dyDescent="0.2">
      <c r="B1064" s="142" t="s">
        <v>105</v>
      </c>
      <c r="C1064" s="19" t="s">
        <v>40</v>
      </c>
      <c r="K1064" s="34" t="s">
        <v>0</v>
      </c>
      <c r="L1064" s="62" t="s">
        <v>41</v>
      </c>
      <c r="M1064" s="34">
        <v>24850</v>
      </c>
      <c r="N1064" s="67" t="s">
        <v>42</v>
      </c>
    </row>
    <row r="1065" spans="2:14" ht="17" x14ac:dyDescent="0.2">
      <c r="B1065" s="144" t="s">
        <v>99</v>
      </c>
      <c r="C1065" s="19" t="s">
        <v>40</v>
      </c>
      <c r="K1065" s="34" t="s">
        <v>0</v>
      </c>
      <c r="L1065" s="62" t="s">
        <v>41</v>
      </c>
      <c r="M1065" s="34">
        <v>24850</v>
      </c>
      <c r="N1065" s="67" t="s">
        <v>42</v>
      </c>
    </row>
    <row r="1066" spans="2:14" ht="17" x14ac:dyDescent="0.2">
      <c r="B1066" s="143" t="s">
        <v>106</v>
      </c>
      <c r="C1066" s="19" t="s">
        <v>40</v>
      </c>
      <c r="K1066" s="34" t="s">
        <v>0</v>
      </c>
      <c r="L1066" s="62" t="s">
        <v>41</v>
      </c>
      <c r="M1066" s="34">
        <v>24850</v>
      </c>
      <c r="N1066" s="67" t="s">
        <v>42</v>
      </c>
    </row>
    <row r="1067" spans="2:14" ht="17" x14ac:dyDescent="0.2">
      <c r="B1067" s="140" t="s">
        <v>107</v>
      </c>
      <c r="N1067" s="67" t="s">
        <v>45</v>
      </c>
    </row>
    <row r="1068" spans="2:14" ht="17" x14ac:dyDescent="0.2">
      <c r="B1068" s="141" t="s">
        <v>87</v>
      </c>
      <c r="C1068" s="19" t="s">
        <v>40</v>
      </c>
      <c r="K1068" s="34" t="s">
        <v>0</v>
      </c>
      <c r="L1068" s="62" t="s">
        <v>41</v>
      </c>
      <c r="M1068" s="34">
        <v>24850</v>
      </c>
      <c r="N1068" s="67" t="s">
        <v>42</v>
      </c>
    </row>
    <row r="1069" spans="2:14" ht="32" x14ac:dyDescent="0.2">
      <c r="B1069" s="142" t="s">
        <v>102</v>
      </c>
      <c r="C1069" s="19" t="s">
        <v>40</v>
      </c>
      <c r="K1069" s="34" t="s">
        <v>0</v>
      </c>
      <c r="L1069" s="62" t="s">
        <v>41</v>
      </c>
      <c r="M1069" s="34">
        <v>24850</v>
      </c>
      <c r="N1069" s="67" t="s">
        <v>42</v>
      </c>
    </row>
    <row r="1070" spans="2:14" ht="48" x14ac:dyDescent="0.2">
      <c r="B1070" s="143" t="s">
        <v>108</v>
      </c>
      <c r="C1070" s="19" t="s">
        <v>40</v>
      </c>
      <c r="K1070" s="34" t="s">
        <v>0</v>
      </c>
      <c r="L1070" s="62" t="s">
        <v>41</v>
      </c>
      <c r="M1070" s="34">
        <v>24850</v>
      </c>
      <c r="N1070" s="67" t="s">
        <v>42</v>
      </c>
    </row>
    <row r="1071" spans="2:14" ht="17" x14ac:dyDescent="0.2">
      <c r="B1071" s="144" t="s">
        <v>96</v>
      </c>
      <c r="C1071" s="19" t="s">
        <v>40</v>
      </c>
      <c r="K1071" s="34" t="s">
        <v>0</v>
      </c>
      <c r="L1071" s="62" t="s">
        <v>41</v>
      </c>
      <c r="M1071" s="34">
        <v>24850</v>
      </c>
      <c r="N1071" s="67" t="s">
        <v>42</v>
      </c>
    </row>
    <row r="1072" spans="2:14" ht="32" x14ac:dyDescent="0.2">
      <c r="B1072" s="143" t="s">
        <v>109</v>
      </c>
      <c r="C1072" s="19" t="s">
        <v>40</v>
      </c>
      <c r="K1072" s="34" t="s">
        <v>0</v>
      </c>
      <c r="L1072" s="62" t="s">
        <v>41</v>
      </c>
      <c r="M1072" s="34">
        <v>24850</v>
      </c>
      <c r="N1072" s="67" t="s">
        <v>42</v>
      </c>
    </row>
    <row r="1073" spans="2:14" ht="32" x14ac:dyDescent="0.2">
      <c r="B1073" s="142" t="s">
        <v>110</v>
      </c>
      <c r="C1073" s="19" t="s">
        <v>40</v>
      </c>
      <c r="K1073" s="34" t="s">
        <v>0</v>
      </c>
      <c r="L1073" s="62" t="s">
        <v>41</v>
      </c>
      <c r="M1073" s="34">
        <v>24850</v>
      </c>
      <c r="N1073" s="67" t="s">
        <v>42</v>
      </c>
    </row>
    <row r="1074" spans="2:14" ht="17" x14ac:dyDescent="0.2">
      <c r="B1074" s="144" t="s">
        <v>99</v>
      </c>
      <c r="C1074" s="19" t="s">
        <v>40</v>
      </c>
      <c r="K1074" s="34" t="s">
        <v>0</v>
      </c>
      <c r="L1074" s="62" t="s">
        <v>41</v>
      </c>
      <c r="M1074" s="34">
        <v>24850</v>
      </c>
      <c r="N1074" s="67" t="s">
        <v>42</v>
      </c>
    </row>
    <row r="1075" spans="2:14" ht="17" x14ac:dyDescent="0.2">
      <c r="B1075" s="143" t="s">
        <v>111</v>
      </c>
      <c r="C1075" s="19" t="s">
        <v>40</v>
      </c>
      <c r="K1075" s="34" t="s">
        <v>0</v>
      </c>
      <c r="L1075" s="62" t="s">
        <v>41</v>
      </c>
      <c r="M1075" s="34">
        <v>24850</v>
      </c>
      <c r="N1075" s="67" t="s">
        <v>42</v>
      </c>
    </row>
    <row r="1076" spans="2:14" ht="17" x14ac:dyDescent="0.2">
      <c r="B1076" s="140" t="s">
        <v>112</v>
      </c>
      <c r="N1076" s="67" t="s">
        <v>45</v>
      </c>
    </row>
    <row r="1077" spans="2:14" ht="17" x14ac:dyDescent="0.2">
      <c r="B1077" s="141" t="s">
        <v>87</v>
      </c>
      <c r="C1077" s="19" t="s">
        <v>40</v>
      </c>
      <c r="K1077" s="34" t="s">
        <v>0</v>
      </c>
      <c r="L1077" s="62" t="s">
        <v>41</v>
      </c>
      <c r="M1077" s="34">
        <v>24850</v>
      </c>
      <c r="N1077" s="67" t="s">
        <v>42</v>
      </c>
    </row>
    <row r="1078" spans="2:14" ht="32" x14ac:dyDescent="0.2">
      <c r="B1078" s="142" t="s">
        <v>102</v>
      </c>
      <c r="C1078" s="19" t="s">
        <v>40</v>
      </c>
      <c r="K1078" s="34" t="s">
        <v>0</v>
      </c>
      <c r="L1078" s="62" t="s">
        <v>41</v>
      </c>
      <c r="M1078" s="34">
        <v>24850</v>
      </c>
      <c r="N1078" s="67" t="s">
        <v>42</v>
      </c>
    </row>
    <row r="1079" spans="2:14" ht="48" x14ac:dyDescent="0.2">
      <c r="B1079" s="143" t="s">
        <v>113</v>
      </c>
      <c r="C1079" s="19" t="s">
        <v>40</v>
      </c>
      <c r="K1079" s="34" t="s">
        <v>0</v>
      </c>
      <c r="L1079" s="62" t="s">
        <v>41</v>
      </c>
      <c r="M1079" s="34">
        <v>24850</v>
      </c>
      <c r="N1079" s="67" t="s">
        <v>42</v>
      </c>
    </row>
    <row r="1080" spans="2:14" ht="17" x14ac:dyDescent="0.2">
      <c r="B1080" s="144" t="s">
        <v>96</v>
      </c>
      <c r="C1080" s="19" t="s">
        <v>40</v>
      </c>
      <c r="K1080" s="34" t="s">
        <v>0</v>
      </c>
      <c r="L1080" s="62" t="s">
        <v>41</v>
      </c>
      <c r="M1080" s="34">
        <v>24850</v>
      </c>
      <c r="N1080" s="67" t="s">
        <v>42</v>
      </c>
    </row>
    <row r="1081" spans="2:14" ht="32" x14ac:dyDescent="0.2">
      <c r="B1081" s="143" t="s">
        <v>97</v>
      </c>
      <c r="C1081" s="19" t="s">
        <v>40</v>
      </c>
      <c r="K1081" s="34" t="s">
        <v>0</v>
      </c>
      <c r="L1081" s="62" t="s">
        <v>41</v>
      </c>
      <c r="M1081" s="34">
        <v>24850</v>
      </c>
      <c r="N1081" s="67" t="s">
        <v>42</v>
      </c>
    </row>
    <row r="1082" spans="2:14" ht="32" x14ac:dyDescent="0.2">
      <c r="B1082" s="142" t="s">
        <v>114</v>
      </c>
      <c r="C1082" s="19" t="s">
        <v>40</v>
      </c>
      <c r="K1082" s="34" t="s">
        <v>0</v>
      </c>
      <c r="L1082" s="62" t="s">
        <v>41</v>
      </c>
      <c r="M1082" s="34">
        <v>24850</v>
      </c>
      <c r="N1082" s="67" t="s">
        <v>42</v>
      </c>
    </row>
    <row r="1083" spans="2:14" ht="17" x14ac:dyDescent="0.2">
      <c r="B1083" s="144" t="s">
        <v>99</v>
      </c>
      <c r="C1083" s="19" t="s">
        <v>40</v>
      </c>
      <c r="K1083" s="34" t="s">
        <v>0</v>
      </c>
      <c r="L1083" s="62" t="s">
        <v>41</v>
      </c>
      <c r="M1083" s="34">
        <v>24850</v>
      </c>
      <c r="N1083" s="67" t="s">
        <v>42</v>
      </c>
    </row>
    <row r="1084" spans="2:14" ht="17" x14ac:dyDescent="0.2">
      <c r="B1084" s="143" t="s">
        <v>115</v>
      </c>
      <c r="C1084" s="19" t="s">
        <v>40</v>
      </c>
      <c r="K1084" s="34" t="s">
        <v>0</v>
      </c>
      <c r="L1084" s="62" t="s">
        <v>41</v>
      </c>
      <c r="M1084" s="34">
        <v>24850</v>
      </c>
      <c r="N1084" s="67" t="s">
        <v>42</v>
      </c>
    </row>
    <row r="1085" spans="2:14" ht="17" x14ac:dyDescent="0.2">
      <c r="B1085" s="140" t="s">
        <v>206</v>
      </c>
      <c r="C1085" s="19"/>
      <c r="N1085" s="67" t="s">
        <v>45</v>
      </c>
    </row>
    <row r="1086" spans="2:14" ht="17" x14ac:dyDescent="0.2">
      <c r="B1086" s="213" t="s">
        <v>87</v>
      </c>
      <c r="C1086" s="19" t="s">
        <v>40</v>
      </c>
      <c r="K1086" s="34" t="s">
        <v>0</v>
      </c>
      <c r="L1086" s="62" t="s">
        <v>41</v>
      </c>
      <c r="M1086" s="34">
        <v>24850</v>
      </c>
      <c r="N1086" s="67" t="s">
        <v>42</v>
      </c>
    </row>
    <row r="1087" spans="2:14" ht="32" x14ac:dyDescent="0.2">
      <c r="B1087" s="214" t="s">
        <v>207</v>
      </c>
      <c r="C1087" s="19" t="s">
        <v>40</v>
      </c>
      <c r="K1087" s="34" t="s">
        <v>0</v>
      </c>
      <c r="L1087" s="62" t="s">
        <v>41</v>
      </c>
      <c r="M1087" s="34">
        <v>24850</v>
      </c>
      <c r="N1087" s="67" t="s">
        <v>42</v>
      </c>
    </row>
    <row r="1088" spans="2:14" ht="48" x14ac:dyDescent="0.2">
      <c r="B1088" s="215" t="s">
        <v>208</v>
      </c>
      <c r="C1088" s="19" t="s">
        <v>40</v>
      </c>
      <c r="K1088" s="34" t="s">
        <v>0</v>
      </c>
      <c r="L1088" s="62" t="s">
        <v>41</v>
      </c>
      <c r="M1088" s="34">
        <v>24850</v>
      </c>
      <c r="N1088" s="67" t="s">
        <v>42</v>
      </c>
    </row>
    <row r="1089" spans="2:14" ht="17" x14ac:dyDescent="0.2">
      <c r="B1089" s="216" t="s">
        <v>96</v>
      </c>
      <c r="C1089" s="19" t="s">
        <v>40</v>
      </c>
      <c r="K1089" s="34" t="s">
        <v>0</v>
      </c>
      <c r="L1089" s="62" t="s">
        <v>41</v>
      </c>
      <c r="M1089" s="34">
        <v>24850</v>
      </c>
      <c r="N1089" s="67" t="s">
        <v>42</v>
      </c>
    </row>
    <row r="1090" spans="2:14" ht="32" x14ac:dyDescent="0.2">
      <c r="B1090" s="215" t="s">
        <v>209</v>
      </c>
      <c r="C1090" s="19" t="s">
        <v>40</v>
      </c>
      <c r="K1090" s="34" t="s">
        <v>0</v>
      </c>
      <c r="L1090" s="62" t="s">
        <v>41</v>
      </c>
      <c r="M1090" s="34">
        <v>24850</v>
      </c>
      <c r="N1090" s="67" t="s">
        <v>42</v>
      </c>
    </row>
    <row r="1091" spans="2:14" ht="32" x14ac:dyDescent="0.2">
      <c r="B1091" s="238" t="s">
        <v>210</v>
      </c>
      <c r="C1091" s="19" t="s">
        <v>40</v>
      </c>
      <c r="K1091" s="34" t="s">
        <v>0</v>
      </c>
      <c r="L1091" s="62" t="s">
        <v>41</v>
      </c>
      <c r="M1091" s="34">
        <v>24850</v>
      </c>
      <c r="N1091" s="67" t="s">
        <v>42</v>
      </c>
    </row>
    <row r="1092" spans="2:14" ht="17" x14ac:dyDescent="0.2">
      <c r="B1092" s="215" t="s">
        <v>99</v>
      </c>
      <c r="C1092" s="19" t="s">
        <v>40</v>
      </c>
      <c r="K1092" s="34" t="s">
        <v>0</v>
      </c>
      <c r="L1092" s="62" t="s">
        <v>41</v>
      </c>
      <c r="M1092" s="34">
        <v>24850</v>
      </c>
      <c r="N1092" s="67" t="s">
        <v>42</v>
      </c>
    </row>
    <row r="1093" spans="2:14" ht="17" x14ac:dyDescent="0.2">
      <c r="B1093" s="143" t="s">
        <v>247</v>
      </c>
      <c r="C1093" s="19" t="s">
        <v>40</v>
      </c>
      <c r="K1093" s="34" t="s">
        <v>0</v>
      </c>
      <c r="L1093" s="62" t="s">
        <v>41</v>
      </c>
      <c r="M1093" s="34">
        <v>24850</v>
      </c>
      <c r="N1093" s="67" t="s">
        <v>42</v>
      </c>
    </row>
    <row r="1094" spans="2:14" ht="34" x14ac:dyDescent="0.2">
      <c r="B1094" s="132" t="s">
        <v>116</v>
      </c>
      <c r="N1094" s="67" t="s">
        <v>45</v>
      </c>
    </row>
    <row r="1095" spans="2:14" ht="64" x14ac:dyDescent="0.2">
      <c r="B1095" s="143" t="s">
        <v>117</v>
      </c>
      <c r="C1095" s="19" t="s">
        <v>40</v>
      </c>
      <c r="K1095" s="34" t="s">
        <v>92</v>
      </c>
      <c r="L1095" s="62" t="s">
        <v>41</v>
      </c>
      <c r="M1095" s="34">
        <v>24850</v>
      </c>
      <c r="N1095" s="67" t="s">
        <v>42</v>
      </c>
    </row>
    <row r="1096" spans="2:14" ht="64" x14ac:dyDescent="0.2">
      <c r="B1096" s="143" t="s">
        <v>118</v>
      </c>
      <c r="C1096" s="19" t="s">
        <v>40</v>
      </c>
      <c r="K1096" s="34" t="s">
        <v>92</v>
      </c>
      <c r="L1096" s="62" t="s">
        <v>41</v>
      </c>
      <c r="M1096" s="34">
        <v>24850</v>
      </c>
      <c r="N1096" s="67" t="s">
        <v>42</v>
      </c>
    </row>
    <row r="1097" spans="2:14" ht="17" x14ac:dyDescent="0.2">
      <c r="B1097" s="143" t="s">
        <v>119</v>
      </c>
      <c r="C1097" s="19" t="s">
        <v>40</v>
      </c>
      <c r="K1097" s="210" t="s">
        <v>92</v>
      </c>
      <c r="L1097" s="62" t="s">
        <v>41</v>
      </c>
      <c r="M1097" s="34">
        <v>24850</v>
      </c>
      <c r="N1097" s="67" t="s">
        <v>42</v>
      </c>
    </row>
    <row r="1098" spans="2:14" ht="32" x14ac:dyDescent="0.2">
      <c r="B1098" s="143" t="s">
        <v>120</v>
      </c>
      <c r="C1098" s="19" t="s">
        <v>40</v>
      </c>
      <c r="K1098" s="34" t="s">
        <v>92</v>
      </c>
      <c r="L1098" s="62" t="s">
        <v>41</v>
      </c>
      <c r="M1098" s="34">
        <v>24850</v>
      </c>
      <c r="N1098" s="67" t="s">
        <v>42</v>
      </c>
    </row>
    <row r="1099" spans="2:14" ht="17" x14ac:dyDescent="0.2">
      <c r="B1099" s="128" t="s">
        <v>121</v>
      </c>
      <c r="C1099" s="19"/>
      <c r="N1099" s="67" t="s">
        <v>45</v>
      </c>
    </row>
    <row r="1100" spans="2:14" ht="17" x14ac:dyDescent="0.2">
      <c r="B1100" s="145" t="s">
        <v>122</v>
      </c>
      <c r="C1100" s="19" t="s">
        <v>40</v>
      </c>
      <c r="K1100" s="34" t="s">
        <v>0</v>
      </c>
      <c r="L1100" s="62" t="s">
        <v>41</v>
      </c>
      <c r="M1100" s="34">
        <v>24850</v>
      </c>
      <c r="N1100" s="67" t="s">
        <v>42</v>
      </c>
    </row>
    <row r="1101" spans="2:14" ht="17" x14ac:dyDescent="0.2">
      <c r="B1101" s="139" t="s">
        <v>123</v>
      </c>
      <c r="C1101" s="19" t="s">
        <v>40</v>
      </c>
      <c r="K1101" s="34" t="s">
        <v>0</v>
      </c>
      <c r="L1101" s="62" t="s">
        <v>41</v>
      </c>
      <c r="M1101" s="34">
        <v>24850</v>
      </c>
      <c r="N1101" s="67" t="s">
        <v>42</v>
      </c>
    </row>
    <row r="1102" spans="2:14" ht="17" x14ac:dyDescent="0.2">
      <c r="B1102" s="139" t="s">
        <v>124</v>
      </c>
      <c r="C1102" s="19" t="s">
        <v>40</v>
      </c>
      <c r="K1102" s="34" t="s">
        <v>0</v>
      </c>
      <c r="L1102" s="62" t="s">
        <v>41</v>
      </c>
      <c r="M1102" s="34">
        <v>24850</v>
      </c>
      <c r="N1102" s="67" t="s">
        <v>42</v>
      </c>
    </row>
    <row r="1103" spans="2:14" ht="17" x14ac:dyDescent="0.2">
      <c r="B1103" s="139" t="s">
        <v>125</v>
      </c>
      <c r="C1103" s="19" t="s">
        <v>40</v>
      </c>
      <c r="K1103" s="34" t="s">
        <v>0</v>
      </c>
      <c r="L1103" s="62" t="s">
        <v>41</v>
      </c>
      <c r="M1103" s="34">
        <v>24850</v>
      </c>
      <c r="N1103" s="67" t="s">
        <v>42</v>
      </c>
    </row>
    <row r="1104" spans="2:14" ht="17" x14ac:dyDescent="0.2">
      <c r="B1104" s="145" t="s">
        <v>126</v>
      </c>
      <c r="C1104" s="19" t="s">
        <v>40</v>
      </c>
      <c r="K1104" s="34" t="s">
        <v>0</v>
      </c>
      <c r="L1104" s="62" t="s">
        <v>41</v>
      </c>
      <c r="M1104" s="34">
        <v>24850</v>
      </c>
      <c r="N1104" s="67" t="s">
        <v>42</v>
      </c>
    </row>
    <row r="1105" spans="2:14" ht="17" x14ac:dyDescent="0.2">
      <c r="B1105" s="138" t="s">
        <v>127</v>
      </c>
      <c r="C1105" s="19" t="s">
        <v>40</v>
      </c>
      <c r="K1105" s="34" t="s">
        <v>0</v>
      </c>
      <c r="L1105" s="62" t="s">
        <v>41</v>
      </c>
      <c r="M1105" s="34">
        <v>24850</v>
      </c>
      <c r="N1105" s="67" t="s">
        <v>42</v>
      </c>
    </row>
    <row r="1106" spans="2:14" ht="17" x14ac:dyDescent="0.2">
      <c r="B1106" s="138" t="s">
        <v>128</v>
      </c>
      <c r="C1106" s="19" t="s">
        <v>40</v>
      </c>
      <c r="K1106" s="34" t="s">
        <v>0</v>
      </c>
      <c r="L1106" s="62" t="s">
        <v>41</v>
      </c>
      <c r="M1106" s="34">
        <v>24850</v>
      </c>
      <c r="N1106" s="67" t="s">
        <v>42</v>
      </c>
    </row>
    <row r="1107" spans="2:14" ht="17" x14ac:dyDescent="0.2">
      <c r="B1107" s="146" t="s">
        <v>248</v>
      </c>
      <c r="C1107" s="19" t="s">
        <v>40</v>
      </c>
      <c r="K1107" s="34" t="s">
        <v>0</v>
      </c>
      <c r="L1107" s="62" t="s">
        <v>41</v>
      </c>
      <c r="M1107" s="34">
        <v>24850</v>
      </c>
      <c r="N1107" s="67" t="s">
        <v>42</v>
      </c>
    </row>
    <row r="1108" spans="2:14" ht="17" x14ac:dyDescent="0.2">
      <c r="B1108" s="138" t="s">
        <v>130</v>
      </c>
      <c r="C1108" s="19" t="s">
        <v>40</v>
      </c>
      <c r="K1108" s="34" t="s">
        <v>0</v>
      </c>
      <c r="L1108" s="62" t="s">
        <v>41</v>
      </c>
      <c r="M1108" s="34">
        <v>24850</v>
      </c>
      <c r="N1108" s="67" t="s">
        <v>42</v>
      </c>
    </row>
    <row r="1109" spans="2:14" ht="17" x14ac:dyDescent="0.2">
      <c r="B1109" s="147" t="s">
        <v>131</v>
      </c>
      <c r="C1109" s="19" t="s">
        <v>40</v>
      </c>
      <c r="K1109" s="34" t="s">
        <v>0</v>
      </c>
      <c r="L1109" s="62" t="s">
        <v>41</v>
      </c>
      <c r="M1109" s="34">
        <v>24850</v>
      </c>
      <c r="N1109" s="67" t="s">
        <v>42</v>
      </c>
    </row>
    <row r="1110" spans="2:14" ht="17" x14ac:dyDescent="0.2">
      <c r="B1110" s="147" t="s">
        <v>132</v>
      </c>
      <c r="C1110" s="19" t="s">
        <v>40</v>
      </c>
      <c r="K1110" s="34" t="s">
        <v>0</v>
      </c>
      <c r="L1110" s="62" t="s">
        <v>41</v>
      </c>
      <c r="M1110" s="34">
        <v>24850</v>
      </c>
      <c r="N1110" s="67" t="s">
        <v>42</v>
      </c>
    </row>
    <row r="1111" spans="2:14" ht="17" x14ac:dyDescent="0.2">
      <c r="B1111" s="147" t="s">
        <v>133</v>
      </c>
      <c r="C1111" s="19" t="s">
        <v>40</v>
      </c>
      <c r="K1111" s="34" t="s">
        <v>0</v>
      </c>
      <c r="L1111" s="62" t="s">
        <v>41</v>
      </c>
      <c r="M1111" s="34">
        <v>24850</v>
      </c>
      <c r="N1111" s="67" t="s">
        <v>42</v>
      </c>
    </row>
    <row r="1112" spans="2:14" ht="17" x14ac:dyDescent="0.2">
      <c r="B1112" s="147" t="s">
        <v>134</v>
      </c>
      <c r="C1112" s="19" t="s">
        <v>40</v>
      </c>
      <c r="K1112" s="34" t="s">
        <v>0</v>
      </c>
      <c r="L1112" s="62" t="s">
        <v>41</v>
      </c>
      <c r="M1112" s="34">
        <v>24850</v>
      </c>
      <c r="N1112" s="67" t="s">
        <v>42</v>
      </c>
    </row>
    <row r="1113" spans="2:14" ht="17" x14ac:dyDescent="0.2">
      <c r="B1113" s="147" t="s">
        <v>135</v>
      </c>
      <c r="C1113" s="19" t="s">
        <v>40</v>
      </c>
      <c r="K1113" s="34" t="s">
        <v>0</v>
      </c>
      <c r="L1113" s="62" t="s">
        <v>41</v>
      </c>
      <c r="M1113" s="34">
        <v>24850</v>
      </c>
      <c r="N1113" s="67" t="s">
        <v>42</v>
      </c>
    </row>
    <row r="1114" spans="2:14" ht="17" x14ac:dyDescent="0.2">
      <c r="B1114" s="147" t="s">
        <v>136</v>
      </c>
      <c r="C1114" s="19" t="s">
        <v>40</v>
      </c>
      <c r="K1114" s="34" t="s">
        <v>0</v>
      </c>
      <c r="L1114" s="62" t="s">
        <v>41</v>
      </c>
      <c r="M1114" s="34">
        <v>24850</v>
      </c>
      <c r="N1114" s="67" t="s">
        <v>42</v>
      </c>
    </row>
    <row r="1115" spans="2:14" ht="20" x14ac:dyDescent="0.25">
      <c r="B1115" s="230" t="s">
        <v>238</v>
      </c>
      <c r="C1115" s="19"/>
      <c r="N1115" s="67" t="s">
        <v>45</v>
      </c>
    </row>
    <row r="1116" spans="2:14" ht="17" x14ac:dyDescent="0.2">
      <c r="B1116" s="147" t="s">
        <v>239</v>
      </c>
      <c r="C1116" s="19" t="s">
        <v>40</v>
      </c>
      <c r="K1116" s="34" t="s">
        <v>0</v>
      </c>
      <c r="L1116" s="62" t="s">
        <v>41</v>
      </c>
      <c r="M1116" s="34">
        <v>24850</v>
      </c>
      <c r="N1116" s="67" t="s">
        <v>42</v>
      </c>
    </row>
    <row r="1117" spans="2:14" ht="23" x14ac:dyDescent="0.3">
      <c r="B1117" s="148" t="s">
        <v>137</v>
      </c>
      <c r="C1117" s="19"/>
      <c r="N1117" s="67" t="s">
        <v>45</v>
      </c>
    </row>
    <row r="1118" spans="2:14" ht="23" x14ac:dyDescent="0.3">
      <c r="B1118" s="148" t="s">
        <v>138</v>
      </c>
      <c r="C1118" s="19"/>
      <c r="N1118" s="67" t="s">
        <v>45</v>
      </c>
    </row>
    <row r="1119" spans="2:14" ht="17" x14ac:dyDescent="0.2">
      <c r="B1119" s="147" t="s">
        <v>139</v>
      </c>
      <c r="C1119" s="19" t="s">
        <v>40</v>
      </c>
      <c r="K1119" s="34" t="s">
        <v>0</v>
      </c>
      <c r="L1119" s="62" t="s">
        <v>41</v>
      </c>
      <c r="M1119" s="34">
        <v>24850</v>
      </c>
      <c r="N1119" s="67" t="s">
        <v>42</v>
      </c>
    </row>
    <row r="1120" spans="2:14" ht="17" x14ac:dyDescent="0.2">
      <c r="B1120" s="147" t="s">
        <v>140</v>
      </c>
      <c r="C1120" s="19" t="s">
        <v>40</v>
      </c>
      <c r="K1120" s="34" t="s">
        <v>0</v>
      </c>
      <c r="L1120" s="62" t="s">
        <v>41</v>
      </c>
      <c r="M1120" s="34">
        <v>24850</v>
      </c>
      <c r="N1120" s="67" t="s">
        <v>42</v>
      </c>
    </row>
    <row r="1121" spans="2:14" ht="17" x14ac:dyDescent="0.2">
      <c r="B1121" s="147" t="s">
        <v>141</v>
      </c>
      <c r="C1121" s="19" t="s">
        <v>40</v>
      </c>
      <c r="K1121" s="34" t="s">
        <v>0</v>
      </c>
      <c r="L1121" s="62" t="s">
        <v>41</v>
      </c>
      <c r="M1121" s="34">
        <v>24850</v>
      </c>
      <c r="N1121" s="67" t="s">
        <v>42</v>
      </c>
    </row>
    <row r="1122" spans="2:14" ht="17" x14ac:dyDescent="0.2">
      <c r="B1122" s="147" t="s">
        <v>142</v>
      </c>
      <c r="C1122" s="19" t="s">
        <v>40</v>
      </c>
      <c r="K1122" s="34" t="s">
        <v>0</v>
      </c>
      <c r="L1122" s="62" t="s">
        <v>41</v>
      </c>
      <c r="M1122" s="34">
        <v>24850</v>
      </c>
      <c r="N1122" s="67" t="s">
        <v>42</v>
      </c>
    </row>
    <row r="1123" spans="2:14" ht="17" x14ac:dyDescent="0.2">
      <c r="B1123" s="147" t="s">
        <v>143</v>
      </c>
      <c r="C1123" s="19" t="s">
        <v>40</v>
      </c>
      <c r="K1123" s="34" t="s">
        <v>0</v>
      </c>
      <c r="L1123" s="62" t="s">
        <v>41</v>
      </c>
      <c r="M1123" s="34">
        <v>24850</v>
      </c>
      <c r="N1123" s="67" t="s">
        <v>42</v>
      </c>
    </row>
    <row r="1124" spans="2:14" ht="17" x14ac:dyDescent="0.2">
      <c r="B1124" s="147" t="s">
        <v>240</v>
      </c>
      <c r="C1124" s="19" t="s">
        <v>40</v>
      </c>
      <c r="K1124" s="34" t="s">
        <v>0</v>
      </c>
      <c r="L1124" s="62" t="s">
        <v>41</v>
      </c>
      <c r="M1124" s="34">
        <v>24850</v>
      </c>
      <c r="N1124" s="67" t="s">
        <v>42</v>
      </c>
    </row>
    <row r="1125" spans="2:14" ht="23" x14ac:dyDescent="0.3">
      <c r="B1125" s="148" t="s">
        <v>144</v>
      </c>
      <c r="C1125" s="19"/>
      <c r="N1125" s="67" t="s">
        <v>45</v>
      </c>
    </row>
    <row r="1126" spans="2:14" ht="17" x14ac:dyDescent="0.2">
      <c r="B1126" s="147" t="s">
        <v>145</v>
      </c>
      <c r="C1126" s="19" t="s">
        <v>40</v>
      </c>
      <c r="K1126" s="34" t="s">
        <v>0</v>
      </c>
      <c r="L1126" s="62" t="s">
        <v>41</v>
      </c>
      <c r="M1126" s="34">
        <v>24850</v>
      </c>
      <c r="N1126" s="67" t="s">
        <v>42</v>
      </c>
    </row>
    <row r="1127" spans="2:14" ht="17" x14ac:dyDescent="0.2">
      <c r="B1127" s="147" t="s">
        <v>146</v>
      </c>
      <c r="C1127" s="19" t="s">
        <v>40</v>
      </c>
      <c r="K1127" s="34" t="s">
        <v>0</v>
      </c>
      <c r="L1127" s="62" t="s">
        <v>41</v>
      </c>
      <c r="M1127" s="34">
        <v>24850</v>
      </c>
      <c r="N1127" s="67" t="s">
        <v>42</v>
      </c>
    </row>
    <row r="1128" spans="2:14" ht="17" x14ac:dyDescent="0.2">
      <c r="B1128" s="147" t="s">
        <v>147</v>
      </c>
      <c r="C1128" s="19" t="s">
        <v>40</v>
      </c>
      <c r="K1128" s="34" t="s">
        <v>0</v>
      </c>
      <c r="L1128" s="62" t="s">
        <v>41</v>
      </c>
      <c r="M1128" s="34">
        <v>24850</v>
      </c>
      <c r="N1128" s="67" t="s">
        <v>42</v>
      </c>
    </row>
    <row r="1129" spans="2:14" ht="17" x14ac:dyDescent="0.2">
      <c r="B1129" s="147" t="s">
        <v>249</v>
      </c>
      <c r="C1129" s="19" t="s">
        <v>40</v>
      </c>
      <c r="K1129" s="34" t="s">
        <v>0</v>
      </c>
      <c r="L1129" s="62" t="s">
        <v>41</v>
      </c>
      <c r="M1129" s="34">
        <v>24850</v>
      </c>
      <c r="N1129" s="67" t="s">
        <v>42</v>
      </c>
    </row>
    <row r="1130" spans="2:14" ht="17" x14ac:dyDescent="0.2">
      <c r="B1130" s="147" t="s">
        <v>149</v>
      </c>
      <c r="C1130" s="19" t="s">
        <v>40</v>
      </c>
      <c r="K1130" s="34" t="s">
        <v>0</v>
      </c>
      <c r="L1130" s="62" t="s">
        <v>41</v>
      </c>
      <c r="M1130" s="34">
        <v>24850</v>
      </c>
      <c r="N1130" s="67" t="s">
        <v>42</v>
      </c>
    </row>
    <row r="1131" spans="2:14" ht="20" x14ac:dyDescent="0.25">
      <c r="B1131" s="149" t="s">
        <v>150</v>
      </c>
      <c r="C1131" s="19"/>
      <c r="N1131" s="67" t="s">
        <v>45</v>
      </c>
    </row>
    <row r="1132" spans="2:14" ht="17" x14ac:dyDescent="0.2">
      <c r="B1132" s="150" t="s">
        <v>151</v>
      </c>
      <c r="C1132" s="19"/>
      <c r="N1132" s="67" t="s">
        <v>45</v>
      </c>
    </row>
    <row r="1133" spans="2:14" ht="17" x14ac:dyDescent="0.2">
      <c r="B1133" s="151" t="s">
        <v>152</v>
      </c>
      <c r="C1133" s="19" t="s">
        <v>40</v>
      </c>
      <c r="K1133" s="34" t="s">
        <v>0</v>
      </c>
      <c r="L1133" s="62" t="s">
        <v>41</v>
      </c>
      <c r="M1133" s="34">
        <v>24850</v>
      </c>
      <c r="N1133" s="67" t="s">
        <v>42</v>
      </c>
    </row>
    <row r="1134" spans="2:14" ht="17" x14ac:dyDescent="0.2">
      <c r="B1134" s="151" t="s">
        <v>153</v>
      </c>
      <c r="C1134" s="19" t="s">
        <v>40</v>
      </c>
      <c r="K1134" s="34" t="s">
        <v>0</v>
      </c>
      <c r="L1134" s="62" t="s">
        <v>41</v>
      </c>
      <c r="M1134" s="34">
        <v>24850</v>
      </c>
      <c r="N1134" s="67" t="s">
        <v>42</v>
      </c>
    </row>
    <row r="1135" spans="2:14" ht="17" x14ac:dyDescent="0.2">
      <c r="B1135" s="152" t="s">
        <v>154</v>
      </c>
      <c r="C1135" s="19" t="s">
        <v>40</v>
      </c>
      <c r="K1135" s="34" t="s">
        <v>0</v>
      </c>
      <c r="L1135" s="62" t="s">
        <v>41</v>
      </c>
      <c r="M1135" s="34">
        <v>24850</v>
      </c>
      <c r="N1135" s="67" t="s">
        <v>42</v>
      </c>
    </row>
    <row r="1136" spans="2:14" ht="17" x14ac:dyDescent="0.2">
      <c r="B1136" s="143" t="s">
        <v>155</v>
      </c>
      <c r="C1136" s="19" t="s">
        <v>40</v>
      </c>
      <c r="K1136" s="34" t="s">
        <v>0</v>
      </c>
      <c r="L1136" s="62" t="s">
        <v>41</v>
      </c>
      <c r="M1136" s="34">
        <v>24850</v>
      </c>
      <c r="N1136" s="67" t="s">
        <v>42</v>
      </c>
    </row>
    <row r="1137" spans="2:14" ht="17" x14ac:dyDescent="0.2">
      <c r="B1137" s="153" t="s">
        <v>156</v>
      </c>
      <c r="N1137" s="67" t="s">
        <v>45</v>
      </c>
    </row>
    <row r="1138" spans="2:14" ht="17" x14ac:dyDescent="0.2">
      <c r="B1138" s="153" t="s">
        <v>157</v>
      </c>
      <c r="C1138" s="19"/>
      <c r="N1138" s="67" t="s">
        <v>45</v>
      </c>
    </row>
    <row r="1139" spans="2:14" ht="17" x14ac:dyDescent="0.2">
      <c r="B1139" s="154" t="s">
        <v>158</v>
      </c>
      <c r="C1139" s="19" t="s">
        <v>40</v>
      </c>
      <c r="K1139" s="34" t="s">
        <v>0</v>
      </c>
      <c r="L1139" s="62" t="s">
        <v>41</v>
      </c>
      <c r="M1139" s="34">
        <v>24850</v>
      </c>
      <c r="N1139" s="67" t="s">
        <v>42</v>
      </c>
    </row>
    <row r="1140" spans="2:14" ht="17" x14ac:dyDescent="0.2">
      <c r="B1140" s="155" t="s">
        <v>159</v>
      </c>
      <c r="C1140" s="19" t="s">
        <v>40</v>
      </c>
      <c r="K1140" s="34" t="s">
        <v>0</v>
      </c>
      <c r="L1140" s="62" t="s">
        <v>41</v>
      </c>
      <c r="M1140" s="34">
        <v>24850</v>
      </c>
      <c r="N1140" s="67" t="s">
        <v>42</v>
      </c>
    </row>
    <row r="1141" spans="2:14" ht="17" x14ac:dyDescent="0.2">
      <c r="B1141" s="151" t="s">
        <v>160</v>
      </c>
      <c r="C1141" s="19" t="s">
        <v>40</v>
      </c>
      <c r="K1141" s="34" t="s">
        <v>0</v>
      </c>
      <c r="L1141" s="62" t="s">
        <v>41</v>
      </c>
      <c r="M1141" s="34">
        <v>24850</v>
      </c>
      <c r="N1141" s="67" t="s">
        <v>42</v>
      </c>
    </row>
    <row r="1142" spans="2:14" ht="17" x14ac:dyDescent="0.2">
      <c r="B1142" s="153" t="s">
        <v>161</v>
      </c>
      <c r="C1142" s="19"/>
      <c r="N1142" s="67" t="s">
        <v>45</v>
      </c>
    </row>
    <row r="1143" spans="2:14" ht="17" x14ac:dyDescent="0.2">
      <c r="B1143" s="156" t="s">
        <v>162</v>
      </c>
      <c r="C1143" s="19"/>
      <c r="N1143" s="67" t="s">
        <v>45</v>
      </c>
    </row>
    <row r="1144" spans="2:14" ht="48" x14ac:dyDescent="0.2">
      <c r="B1144" s="151" t="s">
        <v>163</v>
      </c>
      <c r="C1144" s="19" t="s">
        <v>40</v>
      </c>
      <c r="K1144" s="34" t="s">
        <v>0</v>
      </c>
      <c r="L1144" s="62" t="s">
        <v>41</v>
      </c>
      <c r="M1144" s="34">
        <v>24850</v>
      </c>
      <c r="N1144" s="67" t="s">
        <v>42</v>
      </c>
    </row>
    <row r="1145" spans="2:14" ht="17" x14ac:dyDescent="0.2">
      <c r="B1145" s="138" t="s">
        <v>164</v>
      </c>
      <c r="C1145" s="19" t="s">
        <v>40</v>
      </c>
      <c r="K1145" s="34" t="s">
        <v>0</v>
      </c>
      <c r="L1145" s="62" t="s">
        <v>41</v>
      </c>
      <c r="M1145" s="34">
        <v>24850</v>
      </c>
      <c r="N1145" s="67" t="s">
        <v>42</v>
      </c>
    </row>
    <row r="1146" spans="2:14" ht="17" x14ac:dyDescent="0.2">
      <c r="B1146" s="156" t="s">
        <v>165</v>
      </c>
      <c r="C1146" s="19"/>
      <c r="N1146" s="67" t="s">
        <v>45</v>
      </c>
    </row>
    <row r="1147" spans="2:14" ht="48" x14ac:dyDescent="0.2">
      <c r="B1147" s="151" t="s">
        <v>166</v>
      </c>
      <c r="C1147" s="19" t="s">
        <v>40</v>
      </c>
      <c r="K1147" s="34" t="s">
        <v>0</v>
      </c>
      <c r="L1147" s="62" t="s">
        <v>41</v>
      </c>
      <c r="M1147" s="34">
        <v>24850</v>
      </c>
      <c r="N1147" s="67" t="s">
        <v>42</v>
      </c>
    </row>
    <row r="1148" spans="2:14" ht="17" x14ac:dyDescent="0.2">
      <c r="B1148" s="138" t="s">
        <v>167</v>
      </c>
      <c r="C1148" s="19" t="s">
        <v>40</v>
      </c>
      <c r="K1148" s="34" t="s">
        <v>0</v>
      </c>
      <c r="L1148" s="62" t="s">
        <v>41</v>
      </c>
      <c r="M1148" s="34">
        <v>24850</v>
      </c>
      <c r="N1148" s="67" t="s">
        <v>42</v>
      </c>
    </row>
    <row r="1149" spans="2:14" ht="17" x14ac:dyDescent="0.2">
      <c r="B1149" s="157" t="s">
        <v>168</v>
      </c>
      <c r="N1149" s="67" t="s">
        <v>45</v>
      </c>
    </row>
    <row r="1150" spans="2:14" ht="51" x14ac:dyDescent="0.2">
      <c r="B1150" s="158" t="s">
        <v>169</v>
      </c>
      <c r="C1150" s="19" t="s">
        <v>40</v>
      </c>
      <c r="K1150" s="34" t="s">
        <v>0</v>
      </c>
      <c r="L1150" s="62" t="s">
        <v>41</v>
      </c>
      <c r="M1150" s="34">
        <v>24850</v>
      </c>
      <c r="N1150" s="67" t="s">
        <v>42</v>
      </c>
    </row>
    <row r="1151" spans="2:14" ht="17" x14ac:dyDescent="0.2">
      <c r="B1151" s="159" t="s">
        <v>170</v>
      </c>
      <c r="C1151" s="19" t="s">
        <v>40</v>
      </c>
      <c r="K1151" s="34" t="s">
        <v>0</v>
      </c>
      <c r="L1151" s="62" t="s">
        <v>41</v>
      </c>
      <c r="M1151" s="34">
        <v>24850</v>
      </c>
      <c r="N1151" s="67" t="s">
        <v>42</v>
      </c>
    </row>
    <row r="1152" spans="2:14" ht="17" x14ac:dyDescent="0.2">
      <c r="B1152" s="157" t="s">
        <v>215</v>
      </c>
      <c r="C1152" s="19"/>
      <c r="N1152" s="67" t="s">
        <v>45</v>
      </c>
    </row>
    <row r="1153" spans="2:14" ht="51" x14ac:dyDescent="0.2">
      <c r="B1153" s="158" t="s">
        <v>216</v>
      </c>
      <c r="C1153" s="19" t="s">
        <v>40</v>
      </c>
      <c r="K1153" s="34" t="s">
        <v>0</v>
      </c>
      <c r="L1153" s="62" t="s">
        <v>41</v>
      </c>
      <c r="M1153" s="34">
        <v>24850</v>
      </c>
      <c r="N1153" s="67" t="s">
        <v>42</v>
      </c>
    </row>
    <row r="1154" spans="2:14" ht="17" x14ac:dyDescent="0.2">
      <c r="B1154" s="144" t="s">
        <v>217</v>
      </c>
      <c r="C1154" s="19" t="s">
        <v>40</v>
      </c>
      <c r="K1154" s="34" t="s">
        <v>0</v>
      </c>
      <c r="L1154" s="62" t="s">
        <v>41</v>
      </c>
      <c r="M1154" s="34">
        <v>24850</v>
      </c>
      <c r="N1154" s="67" t="s">
        <v>42</v>
      </c>
    </row>
    <row r="1155" spans="2:14" ht="17" x14ac:dyDescent="0.2">
      <c r="B1155" s="157" t="s">
        <v>171</v>
      </c>
      <c r="C1155" s="19"/>
      <c r="N1155" s="67" t="s">
        <v>45</v>
      </c>
    </row>
    <row r="1156" spans="2:14" ht="48" x14ac:dyDescent="0.2">
      <c r="B1156" s="144" t="s">
        <v>172</v>
      </c>
      <c r="C1156" s="19" t="s">
        <v>40</v>
      </c>
      <c r="K1156" s="34" t="s">
        <v>0</v>
      </c>
      <c r="L1156" s="62" t="s">
        <v>41</v>
      </c>
      <c r="M1156" s="34">
        <v>24850</v>
      </c>
      <c r="N1156" s="67" t="s">
        <v>42</v>
      </c>
    </row>
    <row r="1157" spans="2:14" ht="17" x14ac:dyDescent="0.2">
      <c r="B1157" s="160" t="s">
        <v>173</v>
      </c>
      <c r="C1157" s="19" t="s">
        <v>40</v>
      </c>
      <c r="K1157" s="34" t="s">
        <v>0</v>
      </c>
      <c r="L1157" s="62" t="s">
        <v>41</v>
      </c>
      <c r="M1157" s="34">
        <v>24850</v>
      </c>
      <c r="N1157" s="67" t="s">
        <v>42</v>
      </c>
    </row>
    <row r="1158" spans="2:14" ht="17" x14ac:dyDescent="0.2">
      <c r="B1158" s="161" t="s">
        <v>174</v>
      </c>
      <c r="N1158" s="67" t="s">
        <v>45</v>
      </c>
    </row>
    <row r="1159" spans="2:14" ht="51" x14ac:dyDescent="0.2">
      <c r="B1159" s="161" t="s">
        <v>175</v>
      </c>
      <c r="C1159" s="19"/>
      <c r="N1159" s="67" t="s">
        <v>45</v>
      </c>
    </row>
    <row r="1160" spans="2:14" ht="17" x14ac:dyDescent="0.2">
      <c r="B1160" s="131" t="s">
        <v>176</v>
      </c>
      <c r="C1160" s="19" t="s">
        <v>40</v>
      </c>
      <c r="K1160" s="34" t="s">
        <v>0</v>
      </c>
      <c r="L1160" s="62" t="s">
        <v>41</v>
      </c>
      <c r="M1160" s="34">
        <v>24850</v>
      </c>
      <c r="N1160" s="67" t="s">
        <v>42</v>
      </c>
    </row>
    <row r="1161" spans="2:14" ht="17" x14ac:dyDescent="0.2">
      <c r="B1161" s="160" t="s">
        <v>177</v>
      </c>
      <c r="C1161" s="19" t="s">
        <v>40</v>
      </c>
      <c r="K1161" s="34" t="s">
        <v>0</v>
      </c>
      <c r="L1161" s="62" t="s">
        <v>41</v>
      </c>
      <c r="M1161" s="34">
        <v>24850</v>
      </c>
      <c r="N1161" s="67" t="s">
        <v>42</v>
      </c>
    </row>
    <row r="1162" spans="2:14" ht="17" x14ac:dyDescent="0.2">
      <c r="B1162" s="160" t="s">
        <v>250</v>
      </c>
      <c r="C1162" s="19" t="s">
        <v>40</v>
      </c>
      <c r="K1162" s="34" t="s">
        <v>0</v>
      </c>
      <c r="L1162" s="62" t="s">
        <v>41</v>
      </c>
      <c r="M1162" s="34">
        <v>24850</v>
      </c>
      <c r="N1162" s="67" t="s">
        <v>42</v>
      </c>
    </row>
    <row r="1163" spans="2:14" ht="68" x14ac:dyDescent="0.2">
      <c r="B1163" s="160" t="s">
        <v>251</v>
      </c>
      <c r="C1163" s="19" t="s">
        <v>40</v>
      </c>
      <c r="K1163" s="34" t="s">
        <v>0</v>
      </c>
      <c r="L1163" s="62" t="s">
        <v>41</v>
      </c>
      <c r="M1163" s="34">
        <v>24850</v>
      </c>
      <c r="N1163" s="67" t="s">
        <v>42</v>
      </c>
    </row>
    <row r="1164" spans="2:14" ht="17" x14ac:dyDescent="0.2">
      <c r="B1164" s="131" t="s">
        <v>178</v>
      </c>
      <c r="C1164" s="19" t="s">
        <v>40</v>
      </c>
      <c r="K1164" s="34" t="s">
        <v>0</v>
      </c>
      <c r="L1164" s="62" t="s">
        <v>41</v>
      </c>
      <c r="M1164" s="34">
        <v>24850</v>
      </c>
      <c r="N1164" s="67" t="s">
        <v>42</v>
      </c>
    </row>
    <row r="1165" spans="2:14" ht="68" x14ac:dyDescent="0.2">
      <c r="B1165" s="131" t="s">
        <v>179</v>
      </c>
      <c r="C1165" s="19" t="s">
        <v>40</v>
      </c>
      <c r="K1165" s="34" t="s">
        <v>0</v>
      </c>
      <c r="L1165" s="62" t="s">
        <v>41</v>
      </c>
      <c r="M1165" s="34">
        <v>24850</v>
      </c>
      <c r="N1165" s="67" t="s">
        <v>42</v>
      </c>
    </row>
    <row r="1166" spans="2:14" ht="17" x14ac:dyDescent="0.2">
      <c r="B1166" s="131" t="s">
        <v>180</v>
      </c>
      <c r="C1166" s="19" t="s">
        <v>40</v>
      </c>
      <c r="K1166" s="34" t="s">
        <v>0</v>
      </c>
      <c r="L1166" s="62" t="s">
        <v>41</v>
      </c>
      <c r="M1166" s="34">
        <v>24850</v>
      </c>
      <c r="N1166" s="67" t="s">
        <v>42</v>
      </c>
    </row>
    <row r="1167" spans="2:14" ht="68" x14ac:dyDescent="0.2">
      <c r="B1167" s="131" t="s">
        <v>181</v>
      </c>
      <c r="C1167" s="19" t="s">
        <v>40</v>
      </c>
      <c r="K1167" s="34" t="s">
        <v>0</v>
      </c>
      <c r="L1167" s="62" t="s">
        <v>41</v>
      </c>
      <c r="M1167" s="34">
        <v>24850</v>
      </c>
      <c r="N1167" s="67" t="s">
        <v>42</v>
      </c>
    </row>
    <row r="1168" spans="2:14" ht="17" x14ac:dyDescent="0.2">
      <c r="B1168" s="160" t="s">
        <v>182</v>
      </c>
      <c r="C1168" s="19" t="s">
        <v>40</v>
      </c>
      <c r="K1168" s="34" t="s">
        <v>0</v>
      </c>
      <c r="L1168" s="62" t="s">
        <v>41</v>
      </c>
      <c r="M1168" s="34">
        <v>24850</v>
      </c>
      <c r="N1168" s="67" t="s">
        <v>42</v>
      </c>
    </row>
    <row r="1169" spans="2:14" ht="68" x14ac:dyDescent="0.2">
      <c r="B1169" s="160" t="s">
        <v>183</v>
      </c>
      <c r="C1169" s="19" t="s">
        <v>40</v>
      </c>
      <c r="K1169" s="34" t="s">
        <v>0</v>
      </c>
      <c r="L1169" s="62" t="s">
        <v>41</v>
      </c>
      <c r="M1169" s="34">
        <v>24850</v>
      </c>
      <c r="N1169" s="67" t="s">
        <v>42</v>
      </c>
    </row>
    <row r="1170" spans="2:14" ht="17" x14ac:dyDescent="0.2">
      <c r="B1170" s="162" t="s">
        <v>184</v>
      </c>
      <c r="C1170" s="19" t="s">
        <v>40</v>
      </c>
      <c r="K1170" s="34" t="s">
        <v>0</v>
      </c>
      <c r="L1170" s="62" t="s">
        <v>41</v>
      </c>
      <c r="M1170" s="34">
        <v>24850</v>
      </c>
      <c r="N1170" s="67" t="s">
        <v>42</v>
      </c>
    </row>
    <row r="1171" spans="2:14" ht="17" x14ac:dyDescent="0.2">
      <c r="B1171" s="162" t="s">
        <v>185</v>
      </c>
      <c r="C1171" s="19" t="s">
        <v>40</v>
      </c>
      <c r="K1171" s="34" t="s">
        <v>0</v>
      </c>
      <c r="L1171" s="62" t="s">
        <v>41</v>
      </c>
      <c r="M1171" s="34">
        <v>24850</v>
      </c>
      <c r="N1171" s="67" t="s">
        <v>42</v>
      </c>
    </row>
    <row r="1172" spans="2:14" ht="17" x14ac:dyDescent="0.2">
      <c r="N1172" s="67" t="s">
        <v>45</v>
      </c>
    </row>
    <row r="1173" spans="2:14" ht="17" x14ac:dyDescent="0.2">
      <c r="N1173" s="67" t="s">
        <v>45</v>
      </c>
    </row>
    <row r="1174" spans="2:14" ht="25" x14ac:dyDescent="0.3">
      <c r="B1174" s="125" t="s">
        <v>252</v>
      </c>
      <c r="C1174" s="59"/>
      <c r="N1174" s="67" t="s">
        <v>45</v>
      </c>
    </row>
    <row r="1175" spans="2:14" ht="69" x14ac:dyDescent="0.2">
      <c r="B1175" s="170" t="s">
        <v>253</v>
      </c>
      <c r="C1175" s="19"/>
      <c r="N1175" s="67" t="s">
        <v>45</v>
      </c>
    </row>
    <row r="1176" spans="2:14" ht="17" x14ac:dyDescent="0.2">
      <c r="B1176" s="127" t="s">
        <v>31</v>
      </c>
      <c r="C1176" s="19"/>
      <c r="N1176" s="67" t="s">
        <v>45</v>
      </c>
    </row>
    <row r="1177" spans="2:14" ht="17" x14ac:dyDescent="0.2">
      <c r="B1177" s="127" t="s">
        <v>32</v>
      </c>
      <c r="N1177" s="67" t="s">
        <v>45</v>
      </c>
    </row>
    <row r="1178" spans="2:14" ht="17" x14ac:dyDescent="0.2">
      <c r="B1178" s="128" t="s">
        <v>33</v>
      </c>
      <c r="N1178" s="67" t="s">
        <v>45</v>
      </c>
    </row>
    <row r="1179" spans="2:14" ht="17" x14ac:dyDescent="0.2">
      <c r="B1179" s="127" t="s">
        <v>34</v>
      </c>
      <c r="C1179" s="19"/>
      <c r="N1179" s="67" t="s">
        <v>45</v>
      </c>
    </row>
    <row r="1180" spans="2:14" ht="40" x14ac:dyDescent="0.2">
      <c r="B1180" s="240" t="s">
        <v>254</v>
      </c>
      <c r="C1180" s="19"/>
      <c r="N1180" s="67" t="s">
        <v>45</v>
      </c>
    </row>
    <row r="1181" spans="2:14" ht="51" x14ac:dyDescent="0.2">
      <c r="B1181" s="163" t="s">
        <v>35</v>
      </c>
      <c r="C1181" s="19"/>
      <c r="N1181" s="67" t="s">
        <v>45</v>
      </c>
    </row>
    <row r="1182" spans="2:14" ht="17" x14ac:dyDescent="0.2">
      <c r="B1182" s="129" t="s">
        <v>36</v>
      </c>
      <c r="C1182" s="19"/>
      <c r="N1182" s="67" t="s">
        <v>45</v>
      </c>
    </row>
    <row r="1183" spans="2:14" ht="17" x14ac:dyDescent="0.2">
      <c r="B1183" s="129" t="s">
        <v>37</v>
      </c>
      <c r="C1183" s="19"/>
      <c r="N1183" s="67" t="s">
        <v>45</v>
      </c>
    </row>
    <row r="1184" spans="2:14" ht="17" x14ac:dyDescent="0.2">
      <c r="B1184" s="128" t="s">
        <v>38</v>
      </c>
      <c r="C1184" s="19"/>
      <c r="N1184" s="67" t="s">
        <v>45</v>
      </c>
    </row>
    <row r="1185" spans="2:14" ht="32" x14ac:dyDescent="0.2">
      <c r="B1185" s="164" t="s">
        <v>39</v>
      </c>
      <c r="C1185" s="19" t="s">
        <v>40</v>
      </c>
      <c r="F1185" s="34" t="s">
        <v>0</v>
      </c>
      <c r="G1185" s="62" t="s">
        <v>41</v>
      </c>
      <c r="H1185" s="61">
        <v>17786</v>
      </c>
      <c r="N1185" s="67" t="s">
        <v>42</v>
      </c>
    </row>
    <row r="1186" spans="2:14" ht="32" x14ac:dyDescent="0.2">
      <c r="B1186" s="130" t="s">
        <v>43</v>
      </c>
      <c r="C1186" s="19" t="s">
        <v>40</v>
      </c>
      <c r="F1186" s="34" t="s">
        <v>0</v>
      </c>
      <c r="G1186" s="62" t="s">
        <v>41</v>
      </c>
      <c r="H1186" s="61">
        <v>17786</v>
      </c>
      <c r="N1186" s="67" t="s">
        <v>42</v>
      </c>
    </row>
    <row r="1187" spans="2:14" ht="17" x14ac:dyDescent="0.2">
      <c r="B1187" s="128" t="s">
        <v>44</v>
      </c>
      <c r="C1187" s="19"/>
      <c r="N1187" s="67" t="s">
        <v>45</v>
      </c>
    </row>
    <row r="1188" spans="2:14" ht="17" x14ac:dyDescent="0.2">
      <c r="B1188" s="130" t="s">
        <v>46</v>
      </c>
      <c r="C1188" s="19" t="s">
        <v>40</v>
      </c>
      <c r="F1188" s="34" t="s">
        <v>0</v>
      </c>
      <c r="G1188" s="62" t="s">
        <v>41</v>
      </c>
      <c r="H1188" s="61">
        <v>17786</v>
      </c>
      <c r="N1188" s="67" t="s">
        <v>42</v>
      </c>
    </row>
    <row r="1189" spans="2:14" ht="17" x14ac:dyDescent="0.2">
      <c r="B1189" s="128" t="s">
        <v>47</v>
      </c>
      <c r="N1189" s="67" t="s">
        <v>45</v>
      </c>
    </row>
    <row r="1190" spans="2:14" ht="17" x14ac:dyDescent="0.2">
      <c r="B1190" s="131" t="s">
        <v>48</v>
      </c>
      <c r="C1190" s="19" t="s">
        <v>40</v>
      </c>
      <c r="F1190" s="34" t="s">
        <v>0</v>
      </c>
      <c r="G1190" s="62" t="s">
        <v>41</v>
      </c>
      <c r="H1190" s="61">
        <v>17786</v>
      </c>
      <c r="N1190" s="67" t="s">
        <v>42</v>
      </c>
    </row>
    <row r="1191" spans="2:14" ht="17" x14ac:dyDescent="0.2">
      <c r="B1191" s="131" t="s">
        <v>49</v>
      </c>
      <c r="C1191" s="19" t="s">
        <v>40</v>
      </c>
      <c r="F1191" s="34" t="s">
        <v>0</v>
      </c>
      <c r="G1191" s="62" t="s">
        <v>41</v>
      </c>
      <c r="H1191" s="61">
        <v>17786</v>
      </c>
      <c r="N1191" s="67" t="s">
        <v>42</v>
      </c>
    </row>
    <row r="1192" spans="2:14" ht="34" x14ac:dyDescent="0.2">
      <c r="B1192" s="131" t="s">
        <v>50</v>
      </c>
      <c r="C1192" s="19" t="s">
        <v>40</v>
      </c>
      <c r="F1192" s="34" t="s">
        <v>0</v>
      </c>
      <c r="G1192" s="62" t="s">
        <v>41</v>
      </c>
      <c r="H1192" s="61">
        <v>17786</v>
      </c>
      <c r="N1192" s="67" t="s">
        <v>42</v>
      </c>
    </row>
    <row r="1193" spans="2:14" ht="17" x14ac:dyDescent="0.2">
      <c r="B1193" s="128" t="s">
        <v>51</v>
      </c>
      <c r="C1193" s="19"/>
      <c r="N1193" s="67" t="s">
        <v>45</v>
      </c>
    </row>
    <row r="1194" spans="2:14" ht="29.25" customHeight="1" x14ac:dyDescent="0.2">
      <c r="B1194" s="131" t="s">
        <v>52</v>
      </c>
      <c r="C1194" s="19" t="s">
        <v>40</v>
      </c>
      <c r="F1194" s="34" t="s">
        <v>0</v>
      </c>
      <c r="G1194" s="62" t="s">
        <v>41</v>
      </c>
      <c r="H1194" s="61">
        <v>17786</v>
      </c>
      <c r="N1194" s="67" t="s">
        <v>42</v>
      </c>
    </row>
    <row r="1195" spans="2:14" ht="17" x14ac:dyDescent="0.2">
      <c r="B1195" s="132" t="s">
        <v>53</v>
      </c>
      <c r="C1195" s="19"/>
      <c r="N1195" s="67" t="s">
        <v>45</v>
      </c>
    </row>
    <row r="1196" spans="2:14" ht="51" x14ac:dyDescent="0.2">
      <c r="B1196" s="133" t="s">
        <v>54</v>
      </c>
      <c r="C1196" s="19" t="s">
        <v>40</v>
      </c>
      <c r="F1196" s="34" t="s">
        <v>0</v>
      </c>
      <c r="G1196" s="62" t="s">
        <v>41</v>
      </c>
      <c r="H1196" s="61">
        <v>17786</v>
      </c>
      <c r="N1196" s="67" t="s">
        <v>42</v>
      </c>
    </row>
    <row r="1197" spans="2:14" ht="17" x14ac:dyDescent="0.2">
      <c r="B1197" s="128" t="s">
        <v>55</v>
      </c>
      <c r="C1197" s="19"/>
      <c r="N1197" s="67" t="s">
        <v>45</v>
      </c>
    </row>
    <row r="1198" spans="2:14" ht="51" x14ac:dyDescent="0.2">
      <c r="B1198" s="134" t="s">
        <v>56</v>
      </c>
      <c r="C1198" s="19" t="s">
        <v>57</v>
      </c>
      <c r="F1198" s="34" t="s">
        <v>0</v>
      </c>
      <c r="G1198" s="62" t="s">
        <v>41</v>
      </c>
      <c r="H1198" s="61">
        <v>17786</v>
      </c>
      <c r="N1198" s="67" t="s">
        <v>42</v>
      </c>
    </row>
    <row r="1199" spans="2:14" ht="17" x14ac:dyDescent="0.2">
      <c r="B1199" s="128" t="s">
        <v>58</v>
      </c>
      <c r="N1199" s="67" t="s">
        <v>45</v>
      </c>
    </row>
    <row r="1200" spans="2:14" ht="51" x14ac:dyDescent="0.2">
      <c r="B1200" s="131" t="s">
        <v>59</v>
      </c>
      <c r="C1200" s="19" t="s">
        <v>40</v>
      </c>
      <c r="F1200" s="34" t="s">
        <v>0</v>
      </c>
      <c r="G1200" s="62" t="s">
        <v>41</v>
      </c>
      <c r="H1200" s="61">
        <v>17786</v>
      </c>
      <c r="N1200" s="67" t="s">
        <v>42</v>
      </c>
    </row>
    <row r="1201" spans="2:14" ht="17" x14ac:dyDescent="0.2">
      <c r="B1201" s="132" t="s">
        <v>60</v>
      </c>
      <c r="C1201" s="19"/>
      <c r="N1201" s="67" t="s">
        <v>45</v>
      </c>
    </row>
    <row r="1202" spans="2:14" ht="17" x14ac:dyDescent="0.2">
      <c r="B1202" s="135" t="s">
        <v>61</v>
      </c>
      <c r="C1202" s="19" t="s">
        <v>40</v>
      </c>
      <c r="G1202" s="62" t="s">
        <v>41</v>
      </c>
      <c r="H1202" s="61">
        <v>17786</v>
      </c>
      <c r="N1202" s="67" t="s">
        <v>42</v>
      </c>
    </row>
    <row r="1203" spans="2:14" ht="17" x14ac:dyDescent="0.2">
      <c r="B1203" s="136" t="s">
        <v>62</v>
      </c>
      <c r="C1203" s="19" t="s">
        <v>40</v>
      </c>
      <c r="G1203" s="62" t="s">
        <v>41</v>
      </c>
      <c r="H1203" s="61">
        <v>17786</v>
      </c>
      <c r="N1203" s="67" t="s">
        <v>42</v>
      </c>
    </row>
    <row r="1204" spans="2:14" ht="96" x14ac:dyDescent="0.2">
      <c r="B1204" s="211" t="s">
        <v>63</v>
      </c>
      <c r="C1204" s="19" t="s">
        <v>40</v>
      </c>
      <c r="F1204" s="34" t="s">
        <v>0</v>
      </c>
      <c r="G1204" s="62" t="s">
        <v>41</v>
      </c>
      <c r="H1204" s="61">
        <v>17786</v>
      </c>
      <c r="N1204" s="67" t="s">
        <v>42</v>
      </c>
    </row>
    <row r="1205" spans="2:14" ht="17" x14ac:dyDescent="0.2">
      <c r="B1205" s="136" t="s">
        <v>64</v>
      </c>
      <c r="C1205" s="19" t="s">
        <v>40</v>
      </c>
      <c r="F1205" s="34" t="s">
        <v>0</v>
      </c>
      <c r="G1205" s="62" t="s">
        <v>41</v>
      </c>
      <c r="H1205" s="61">
        <v>17786</v>
      </c>
      <c r="N1205" s="67" t="s">
        <v>42</v>
      </c>
    </row>
    <row r="1206" spans="2:14" ht="17" x14ac:dyDescent="0.2">
      <c r="B1206" s="128" t="s">
        <v>65</v>
      </c>
      <c r="N1206" s="67" t="s">
        <v>45</v>
      </c>
    </row>
    <row r="1207" spans="2:14" ht="17" x14ac:dyDescent="0.2">
      <c r="B1207" s="174" t="s">
        <v>66</v>
      </c>
      <c r="C1207" s="19" t="s">
        <v>40</v>
      </c>
      <c r="F1207" s="34" t="s">
        <v>0</v>
      </c>
      <c r="G1207" s="62" t="s">
        <v>41</v>
      </c>
      <c r="H1207" s="61">
        <v>17786</v>
      </c>
      <c r="N1207" s="67" t="s">
        <v>42</v>
      </c>
    </row>
    <row r="1208" spans="2:14" ht="17" x14ac:dyDescent="0.2">
      <c r="B1208" s="166" t="s">
        <v>67</v>
      </c>
      <c r="C1208" s="19" t="s">
        <v>40</v>
      </c>
      <c r="F1208" s="34" t="s">
        <v>0</v>
      </c>
      <c r="G1208" s="62" t="s">
        <v>41</v>
      </c>
      <c r="H1208" s="61">
        <v>17786</v>
      </c>
      <c r="N1208" s="67" t="s">
        <v>42</v>
      </c>
    </row>
    <row r="1209" spans="2:14" ht="17" x14ac:dyDescent="0.2">
      <c r="B1209" s="166" t="s">
        <v>255</v>
      </c>
      <c r="C1209" s="19" t="s">
        <v>40</v>
      </c>
      <c r="F1209" s="34" t="s">
        <v>0</v>
      </c>
      <c r="G1209" s="62" t="s">
        <v>41</v>
      </c>
      <c r="H1209" s="61">
        <v>17786</v>
      </c>
      <c r="N1209" s="67" t="s">
        <v>42</v>
      </c>
    </row>
    <row r="1210" spans="2:14" ht="17" x14ac:dyDescent="0.2">
      <c r="B1210" s="166" t="s">
        <v>69</v>
      </c>
      <c r="C1210" s="19" t="s">
        <v>40</v>
      </c>
      <c r="F1210" s="34" t="s">
        <v>0</v>
      </c>
      <c r="G1210" s="62" t="s">
        <v>41</v>
      </c>
      <c r="H1210" s="61">
        <v>17786</v>
      </c>
      <c r="N1210" s="67" t="s">
        <v>42</v>
      </c>
    </row>
    <row r="1211" spans="2:14" ht="17" x14ac:dyDescent="0.2">
      <c r="B1211" s="166" t="s">
        <v>70</v>
      </c>
      <c r="C1211" s="19" t="s">
        <v>40</v>
      </c>
      <c r="F1211" s="34" t="s">
        <v>0</v>
      </c>
      <c r="G1211" s="62" t="s">
        <v>41</v>
      </c>
      <c r="H1211" s="61">
        <v>17786</v>
      </c>
      <c r="N1211" s="67" t="s">
        <v>42</v>
      </c>
    </row>
    <row r="1212" spans="2:14" ht="17" x14ac:dyDescent="0.2">
      <c r="B1212" s="138" t="s">
        <v>71</v>
      </c>
      <c r="C1212" s="19" t="s">
        <v>40</v>
      </c>
      <c r="F1212" s="34" t="s">
        <v>0</v>
      </c>
      <c r="G1212" s="62" t="s">
        <v>41</v>
      </c>
      <c r="H1212" s="61">
        <v>17786</v>
      </c>
      <c r="N1212" s="67" t="s">
        <v>42</v>
      </c>
    </row>
    <row r="1213" spans="2:14" ht="17" x14ac:dyDescent="0.2">
      <c r="B1213" s="139" t="s">
        <v>72</v>
      </c>
      <c r="C1213" s="19" t="s">
        <v>40</v>
      </c>
      <c r="F1213" s="34" t="s">
        <v>0</v>
      </c>
      <c r="G1213" s="62" t="s">
        <v>41</v>
      </c>
      <c r="H1213" s="61">
        <v>17786</v>
      </c>
      <c r="N1213" s="67" t="s">
        <v>42</v>
      </c>
    </row>
    <row r="1214" spans="2:14" ht="17" x14ac:dyDescent="0.2">
      <c r="B1214" s="174" t="s">
        <v>73</v>
      </c>
      <c r="C1214" s="19" t="s">
        <v>40</v>
      </c>
      <c r="F1214" s="34" t="s">
        <v>0</v>
      </c>
      <c r="G1214" s="62" t="s">
        <v>41</v>
      </c>
      <c r="H1214" s="61">
        <v>17786</v>
      </c>
      <c r="N1214" s="67" t="s">
        <v>42</v>
      </c>
    </row>
    <row r="1215" spans="2:14" ht="17" x14ac:dyDescent="0.2">
      <c r="B1215" s="139" t="s">
        <v>74</v>
      </c>
      <c r="C1215" s="19" t="s">
        <v>40</v>
      </c>
      <c r="F1215" s="34" t="s">
        <v>0</v>
      </c>
      <c r="G1215" s="62" t="s">
        <v>41</v>
      </c>
      <c r="H1215" s="61">
        <v>17786</v>
      </c>
      <c r="N1215" s="67" t="s">
        <v>42</v>
      </c>
    </row>
    <row r="1216" spans="2:14" ht="17" x14ac:dyDescent="0.2">
      <c r="B1216" s="139" t="s">
        <v>75</v>
      </c>
      <c r="C1216" s="19" t="s">
        <v>40</v>
      </c>
      <c r="F1216" s="34" t="s">
        <v>0</v>
      </c>
      <c r="G1216" s="62" t="s">
        <v>41</v>
      </c>
      <c r="H1216" s="61">
        <v>17786</v>
      </c>
      <c r="N1216" s="67" t="s">
        <v>42</v>
      </c>
    </row>
    <row r="1217" spans="2:14" ht="17" x14ac:dyDescent="0.2">
      <c r="B1217" s="138" t="s">
        <v>76</v>
      </c>
      <c r="C1217" s="19" t="s">
        <v>40</v>
      </c>
      <c r="F1217" s="34" t="s">
        <v>0</v>
      </c>
      <c r="G1217" s="62" t="s">
        <v>41</v>
      </c>
      <c r="H1217" s="61">
        <v>17786</v>
      </c>
      <c r="N1217" s="67" t="s">
        <v>42</v>
      </c>
    </row>
    <row r="1218" spans="2:14" ht="85" x14ac:dyDescent="0.2">
      <c r="B1218" s="138" t="s">
        <v>77</v>
      </c>
      <c r="C1218" s="19" t="s">
        <v>40</v>
      </c>
      <c r="F1218" s="34" t="s">
        <v>0</v>
      </c>
      <c r="G1218" s="62" t="s">
        <v>41</v>
      </c>
      <c r="H1218" s="61">
        <v>17786</v>
      </c>
      <c r="N1218" s="67" t="s">
        <v>42</v>
      </c>
    </row>
    <row r="1219" spans="2:14" ht="17" x14ac:dyDescent="0.2">
      <c r="B1219" s="166" t="s">
        <v>78</v>
      </c>
      <c r="C1219" s="19" t="s">
        <v>40</v>
      </c>
      <c r="F1219" s="34" t="s">
        <v>0</v>
      </c>
      <c r="G1219" s="62" t="s">
        <v>41</v>
      </c>
      <c r="H1219" s="61">
        <v>17786</v>
      </c>
      <c r="N1219" s="67" t="s">
        <v>42</v>
      </c>
    </row>
    <row r="1220" spans="2:14" ht="17" x14ac:dyDescent="0.2">
      <c r="B1220" s="138" t="s">
        <v>79</v>
      </c>
      <c r="C1220" s="19" t="s">
        <v>40</v>
      </c>
      <c r="F1220" s="34" t="s">
        <v>0</v>
      </c>
      <c r="G1220" s="62" t="s">
        <v>41</v>
      </c>
      <c r="H1220" s="61">
        <v>17786</v>
      </c>
      <c r="N1220" s="67" t="s">
        <v>42</v>
      </c>
    </row>
    <row r="1221" spans="2:14" ht="17" x14ac:dyDescent="0.2">
      <c r="B1221" s="138" t="s">
        <v>80</v>
      </c>
      <c r="C1221" s="19" t="s">
        <v>40</v>
      </c>
      <c r="F1221" s="34" t="s">
        <v>0</v>
      </c>
      <c r="G1221" s="62" t="s">
        <v>41</v>
      </c>
      <c r="H1221" s="61">
        <v>17786</v>
      </c>
      <c r="N1221" s="67" t="s">
        <v>42</v>
      </c>
    </row>
    <row r="1222" spans="2:14" ht="17" x14ac:dyDescent="0.2">
      <c r="B1222" s="138" t="s">
        <v>81</v>
      </c>
      <c r="C1222" s="19" t="s">
        <v>40</v>
      </c>
      <c r="F1222" s="34" t="s">
        <v>0</v>
      </c>
      <c r="G1222" s="62" t="s">
        <v>41</v>
      </c>
      <c r="H1222" s="61">
        <v>17786</v>
      </c>
      <c r="N1222" s="67" t="s">
        <v>42</v>
      </c>
    </row>
    <row r="1223" spans="2:14" ht="17" x14ac:dyDescent="0.2">
      <c r="B1223" s="166" t="s">
        <v>256</v>
      </c>
      <c r="C1223" s="19" t="s">
        <v>40</v>
      </c>
      <c r="F1223" s="34" t="s">
        <v>0</v>
      </c>
      <c r="G1223" s="62" t="s">
        <v>41</v>
      </c>
      <c r="H1223" s="61">
        <v>17786</v>
      </c>
      <c r="N1223" s="67" t="s">
        <v>42</v>
      </c>
    </row>
    <row r="1224" spans="2:14" ht="17" x14ac:dyDescent="0.2">
      <c r="B1224" s="138" t="s">
        <v>83</v>
      </c>
      <c r="C1224" s="19" t="s">
        <v>40</v>
      </c>
      <c r="F1224" s="34" t="s">
        <v>0</v>
      </c>
      <c r="G1224" s="62" t="s">
        <v>41</v>
      </c>
      <c r="H1224" s="61">
        <v>17786</v>
      </c>
      <c r="N1224" s="67" t="s">
        <v>42</v>
      </c>
    </row>
    <row r="1225" spans="2:14" ht="17" x14ac:dyDescent="0.2">
      <c r="B1225" s="138" t="s">
        <v>84</v>
      </c>
      <c r="C1225" s="19" t="s">
        <v>40</v>
      </c>
      <c r="F1225" s="34" t="s">
        <v>0</v>
      </c>
      <c r="G1225" s="62" t="s">
        <v>41</v>
      </c>
      <c r="H1225" s="61">
        <v>17786</v>
      </c>
      <c r="N1225" s="67" t="s">
        <v>42</v>
      </c>
    </row>
    <row r="1226" spans="2:14" ht="17" x14ac:dyDescent="0.2">
      <c r="B1226" s="139" t="s">
        <v>85</v>
      </c>
      <c r="C1226" s="19" t="s">
        <v>40</v>
      </c>
      <c r="F1226" s="34" t="s">
        <v>0</v>
      </c>
      <c r="G1226" s="62" t="s">
        <v>41</v>
      </c>
      <c r="H1226" s="61">
        <v>17786</v>
      </c>
      <c r="N1226" s="67" t="s">
        <v>42</v>
      </c>
    </row>
    <row r="1227" spans="2:14" ht="17" x14ac:dyDescent="0.2">
      <c r="B1227" s="140" t="s">
        <v>86</v>
      </c>
      <c r="N1227" s="67" t="s">
        <v>45</v>
      </c>
    </row>
    <row r="1228" spans="2:14" ht="17" x14ac:dyDescent="0.2">
      <c r="B1228" s="141" t="s">
        <v>87</v>
      </c>
      <c r="C1228" s="19" t="s">
        <v>40</v>
      </c>
      <c r="F1228" s="34" t="s">
        <v>0</v>
      </c>
      <c r="G1228" s="62" t="s">
        <v>41</v>
      </c>
      <c r="H1228" s="61">
        <v>17786</v>
      </c>
      <c r="N1228" s="67" t="s">
        <v>42</v>
      </c>
    </row>
    <row r="1229" spans="2:14" ht="32" x14ac:dyDescent="0.2">
      <c r="B1229" s="140" t="s">
        <v>88</v>
      </c>
      <c r="C1229" s="19"/>
      <c r="N1229" s="67" t="s">
        <v>45</v>
      </c>
    </row>
    <row r="1230" spans="2:14" ht="32" x14ac:dyDescent="0.2">
      <c r="B1230" s="142" t="s">
        <v>89</v>
      </c>
      <c r="C1230" s="19" t="s">
        <v>40</v>
      </c>
      <c r="F1230" s="34" t="s">
        <v>0</v>
      </c>
      <c r="G1230" s="62" t="s">
        <v>41</v>
      </c>
      <c r="H1230" s="61">
        <v>17786</v>
      </c>
      <c r="N1230" s="67" t="s">
        <v>42</v>
      </c>
    </row>
    <row r="1231" spans="2:14" ht="17" x14ac:dyDescent="0.2">
      <c r="B1231" s="140" t="s">
        <v>90</v>
      </c>
      <c r="C1231" s="19"/>
      <c r="N1231" s="67" t="s">
        <v>45</v>
      </c>
    </row>
    <row r="1232" spans="2:14" ht="32" x14ac:dyDescent="0.2">
      <c r="B1232" s="142" t="s">
        <v>91</v>
      </c>
      <c r="C1232" s="19" t="s">
        <v>40</v>
      </c>
      <c r="F1232" s="210" t="s">
        <v>92</v>
      </c>
      <c r="G1232" s="62" t="s">
        <v>41</v>
      </c>
      <c r="H1232" s="61">
        <v>17786</v>
      </c>
      <c r="N1232" s="67" t="s">
        <v>42</v>
      </c>
    </row>
    <row r="1233" spans="2:14" ht="17" x14ac:dyDescent="0.2">
      <c r="B1233" s="140" t="s">
        <v>93</v>
      </c>
      <c r="C1233" s="19"/>
      <c r="N1233" s="67" t="s">
        <v>45</v>
      </c>
    </row>
    <row r="1234" spans="2:14" ht="32" x14ac:dyDescent="0.2">
      <c r="B1234" s="142" t="s">
        <v>94</v>
      </c>
      <c r="C1234" s="19" t="s">
        <v>40</v>
      </c>
      <c r="F1234" s="210" t="s">
        <v>92</v>
      </c>
      <c r="G1234" s="62" t="s">
        <v>41</v>
      </c>
      <c r="H1234" s="61">
        <v>17786</v>
      </c>
      <c r="N1234" s="67" t="s">
        <v>42</v>
      </c>
    </row>
    <row r="1235" spans="2:14" ht="48" x14ac:dyDescent="0.2">
      <c r="B1235" s="143" t="s">
        <v>95</v>
      </c>
      <c r="C1235" s="19" t="s">
        <v>40</v>
      </c>
      <c r="F1235" s="210" t="s">
        <v>92</v>
      </c>
      <c r="G1235" s="62" t="s">
        <v>41</v>
      </c>
      <c r="H1235" s="61">
        <v>17786</v>
      </c>
      <c r="N1235" s="67" t="s">
        <v>42</v>
      </c>
    </row>
    <row r="1236" spans="2:14" ht="17" x14ac:dyDescent="0.2">
      <c r="B1236" s="144" t="s">
        <v>96</v>
      </c>
      <c r="C1236" s="19" t="s">
        <v>40</v>
      </c>
      <c r="F1236" s="210" t="s">
        <v>92</v>
      </c>
      <c r="G1236" s="62" t="s">
        <v>41</v>
      </c>
      <c r="H1236" s="61">
        <v>17786</v>
      </c>
      <c r="N1236" s="67" t="s">
        <v>42</v>
      </c>
    </row>
    <row r="1237" spans="2:14" ht="32" x14ac:dyDescent="0.2">
      <c r="B1237" s="143" t="s">
        <v>97</v>
      </c>
      <c r="C1237" s="19" t="s">
        <v>40</v>
      </c>
      <c r="F1237" s="210" t="s">
        <v>92</v>
      </c>
      <c r="G1237" s="62" t="s">
        <v>41</v>
      </c>
      <c r="H1237" s="61">
        <v>17786</v>
      </c>
      <c r="N1237" s="67" t="s">
        <v>42</v>
      </c>
    </row>
    <row r="1238" spans="2:14" ht="17" x14ac:dyDescent="0.2">
      <c r="B1238" s="142" t="s">
        <v>98</v>
      </c>
      <c r="C1238" s="19" t="s">
        <v>40</v>
      </c>
      <c r="F1238" s="210" t="s">
        <v>92</v>
      </c>
      <c r="G1238" s="62" t="s">
        <v>41</v>
      </c>
      <c r="H1238" s="61">
        <v>17786</v>
      </c>
      <c r="N1238" s="67" t="s">
        <v>42</v>
      </c>
    </row>
    <row r="1239" spans="2:14" ht="17" x14ac:dyDescent="0.2">
      <c r="B1239" s="144" t="s">
        <v>99</v>
      </c>
      <c r="C1239" s="19" t="s">
        <v>40</v>
      </c>
      <c r="F1239" s="210" t="s">
        <v>92</v>
      </c>
      <c r="G1239" s="62" t="s">
        <v>41</v>
      </c>
      <c r="H1239" s="61">
        <v>17786</v>
      </c>
      <c r="N1239" s="67" t="s">
        <v>42</v>
      </c>
    </row>
    <row r="1240" spans="2:14" ht="17" x14ac:dyDescent="0.2">
      <c r="B1240" s="143" t="s">
        <v>100</v>
      </c>
      <c r="C1240" s="19" t="s">
        <v>40</v>
      </c>
      <c r="F1240" s="210" t="s">
        <v>92</v>
      </c>
      <c r="G1240" s="62" t="s">
        <v>41</v>
      </c>
      <c r="H1240" s="61">
        <v>17786</v>
      </c>
      <c r="N1240" s="67" t="s">
        <v>42</v>
      </c>
    </row>
    <row r="1241" spans="2:14" ht="17" x14ac:dyDescent="0.2">
      <c r="B1241" s="140" t="s">
        <v>101</v>
      </c>
      <c r="N1241" s="67" t="s">
        <v>45</v>
      </c>
    </row>
    <row r="1242" spans="2:14" ht="17" x14ac:dyDescent="0.2">
      <c r="B1242" s="141" t="s">
        <v>87</v>
      </c>
      <c r="C1242" s="19" t="s">
        <v>40</v>
      </c>
      <c r="F1242" s="34" t="s">
        <v>0</v>
      </c>
      <c r="G1242" s="62" t="s">
        <v>41</v>
      </c>
      <c r="H1242" s="61">
        <v>17786</v>
      </c>
      <c r="N1242" s="67" t="s">
        <v>42</v>
      </c>
    </row>
    <row r="1243" spans="2:14" ht="32" x14ac:dyDescent="0.2">
      <c r="B1243" s="142" t="s">
        <v>102</v>
      </c>
      <c r="C1243" s="19" t="s">
        <v>40</v>
      </c>
      <c r="F1243" s="34" t="s">
        <v>0</v>
      </c>
      <c r="G1243" s="62" t="s">
        <v>41</v>
      </c>
      <c r="H1243" s="61">
        <v>17786</v>
      </c>
      <c r="N1243" s="67" t="s">
        <v>42</v>
      </c>
    </row>
    <row r="1244" spans="2:14" ht="48" x14ac:dyDescent="0.2">
      <c r="B1244" s="143" t="s">
        <v>108</v>
      </c>
      <c r="C1244" s="19" t="s">
        <v>40</v>
      </c>
      <c r="F1244" s="34" t="s">
        <v>0</v>
      </c>
      <c r="G1244" s="62" t="s">
        <v>41</v>
      </c>
      <c r="H1244" s="61">
        <v>17786</v>
      </c>
      <c r="N1244" s="67" t="s">
        <v>42</v>
      </c>
    </row>
    <row r="1245" spans="2:14" ht="17" x14ac:dyDescent="0.2">
      <c r="B1245" s="144" t="s">
        <v>96</v>
      </c>
      <c r="C1245" s="19" t="s">
        <v>40</v>
      </c>
      <c r="F1245" s="34" t="s">
        <v>0</v>
      </c>
      <c r="G1245" s="62" t="s">
        <v>41</v>
      </c>
      <c r="H1245" s="61">
        <v>17786</v>
      </c>
      <c r="N1245" s="67" t="s">
        <v>42</v>
      </c>
    </row>
    <row r="1246" spans="2:14" ht="32" x14ac:dyDescent="0.2">
      <c r="B1246" s="143" t="s">
        <v>109</v>
      </c>
      <c r="C1246" s="19" t="s">
        <v>40</v>
      </c>
      <c r="F1246" s="34" t="s">
        <v>0</v>
      </c>
      <c r="G1246" s="62" t="s">
        <v>41</v>
      </c>
      <c r="H1246" s="61">
        <v>17786</v>
      </c>
      <c r="N1246" s="67" t="s">
        <v>42</v>
      </c>
    </row>
    <row r="1247" spans="2:14" ht="32" x14ac:dyDescent="0.2">
      <c r="B1247" s="142" t="s">
        <v>110</v>
      </c>
      <c r="C1247" s="19" t="s">
        <v>40</v>
      </c>
      <c r="F1247" s="34" t="s">
        <v>0</v>
      </c>
      <c r="G1247" s="62" t="s">
        <v>41</v>
      </c>
      <c r="H1247" s="61">
        <v>17786</v>
      </c>
      <c r="N1247" s="67" t="s">
        <v>42</v>
      </c>
    </row>
    <row r="1248" spans="2:14" ht="17" x14ac:dyDescent="0.2">
      <c r="B1248" s="144" t="s">
        <v>99</v>
      </c>
      <c r="C1248" s="19" t="s">
        <v>40</v>
      </c>
      <c r="F1248" s="34" t="s">
        <v>0</v>
      </c>
      <c r="G1248" s="62" t="s">
        <v>41</v>
      </c>
      <c r="H1248" s="61">
        <v>17786</v>
      </c>
      <c r="N1248" s="67" t="s">
        <v>42</v>
      </c>
    </row>
    <row r="1249" spans="2:14" ht="17" x14ac:dyDescent="0.2">
      <c r="B1249" s="143" t="s">
        <v>111</v>
      </c>
      <c r="C1249" s="19" t="s">
        <v>40</v>
      </c>
      <c r="F1249" s="34" t="s">
        <v>0</v>
      </c>
      <c r="G1249" s="62" t="s">
        <v>41</v>
      </c>
      <c r="H1249" s="61">
        <v>17786</v>
      </c>
      <c r="N1249" s="67" t="s">
        <v>42</v>
      </c>
    </row>
    <row r="1250" spans="2:14" ht="17" x14ac:dyDescent="0.2">
      <c r="B1250" s="140" t="s">
        <v>107</v>
      </c>
      <c r="N1250" s="67" t="s">
        <v>45</v>
      </c>
    </row>
    <row r="1251" spans="2:14" ht="17" x14ac:dyDescent="0.2">
      <c r="B1251" s="141" t="s">
        <v>87</v>
      </c>
      <c r="C1251" s="19" t="s">
        <v>40</v>
      </c>
      <c r="F1251" s="34" t="s">
        <v>0</v>
      </c>
      <c r="G1251" s="62" t="s">
        <v>41</v>
      </c>
      <c r="H1251" s="61">
        <v>17786</v>
      </c>
      <c r="N1251" s="67" t="s">
        <v>42</v>
      </c>
    </row>
    <row r="1252" spans="2:14" ht="32" x14ac:dyDescent="0.2">
      <c r="B1252" s="142" t="s">
        <v>102</v>
      </c>
      <c r="C1252" s="19" t="s">
        <v>40</v>
      </c>
      <c r="F1252" s="34" t="s">
        <v>0</v>
      </c>
      <c r="G1252" s="62" t="s">
        <v>41</v>
      </c>
      <c r="H1252" s="61">
        <v>17786</v>
      </c>
      <c r="N1252" s="67" t="s">
        <v>42</v>
      </c>
    </row>
    <row r="1253" spans="2:14" ht="48" x14ac:dyDescent="0.2">
      <c r="B1253" s="143" t="s">
        <v>113</v>
      </c>
      <c r="C1253" s="19" t="s">
        <v>40</v>
      </c>
      <c r="F1253" s="34" t="s">
        <v>0</v>
      </c>
      <c r="G1253" s="62" t="s">
        <v>41</v>
      </c>
      <c r="H1253" s="61">
        <v>17786</v>
      </c>
      <c r="N1253" s="67" t="s">
        <v>42</v>
      </c>
    </row>
    <row r="1254" spans="2:14" ht="17" x14ac:dyDescent="0.2">
      <c r="B1254" s="144" t="s">
        <v>96</v>
      </c>
      <c r="C1254" s="19" t="s">
        <v>40</v>
      </c>
      <c r="F1254" s="34" t="s">
        <v>0</v>
      </c>
      <c r="G1254" s="62" t="s">
        <v>41</v>
      </c>
      <c r="H1254" s="61">
        <v>17786</v>
      </c>
      <c r="N1254" s="67" t="s">
        <v>42</v>
      </c>
    </row>
    <row r="1255" spans="2:14" ht="32" x14ac:dyDescent="0.2">
      <c r="B1255" s="143" t="s">
        <v>97</v>
      </c>
      <c r="C1255" s="19" t="s">
        <v>40</v>
      </c>
      <c r="F1255" s="34" t="s">
        <v>0</v>
      </c>
      <c r="G1255" s="62" t="s">
        <v>41</v>
      </c>
      <c r="H1255" s="61">
        <v>17786</v>
      </c>
      <c r="N1255" s="67" t="s">
        <v>42</v>
      </c>
    </row>
    <row r="1256" spans="2:14" ht="32" x14ac:dyDescent="0.2">
      <c r="B1256" s="142" t="s">
        <v>114</v>
      </c>
      <c r="C1256" s="19" t="s">
        <v>40</v>
      </c>
      <c r="F1256" s="34" t="s">
        <v>0</v>
      </c>
      <c r="G1256" s="62" t="s">
        <v>41</v>
      </c>
      <c r="H1256" s="61">
        <v>17786</v>
      </c>
      <c r="N1256" s="67" t="s">
        <v>42</v>
      </c>
    </row>
    <row r="1257" spans="2:14" ht="17" x14ac:dyDescent="0.2">
      <c r="B1257" s="144" t="s">
        <v>99</v>
      </c>
      <c r="C1257" s="19" t="s">
        <v>40</v>
      </c>
      <c r="F1257" s="34" t="s">
        <v>0</v>
      </c>
      <c r="G1257" s="62" t="s">
        <v>41</v>
      </c>
      <c r="H1257" s="61">
        <v>17786</v>
      </c>
      <c r="N1257" s="67" t="s">
        <v>42</v>
      </c>
    </row>
    <row r="1258" spans="2:14" ht="17" x14ac:dyDescent="0.2">
      <c r="B1258" s="143" t="s">
        <v>115</v>
      </c>
      <c r="C1258" s="19" t="s">
        <v>40</v>
      </c>
      <c r="F1258" s="34" t="s">
        <v>0</v>
      </c>
      <c r="G1258" s="62" t="s">
        <v>41</v>
      </c>
      <c r="H1258" s="61">
        <v>17786</v>
      </c>
      <c r="N1258" s="67" t="s">
        <v>42</v>
      </c>
    </row>
    <row r="1259" spans="2:14" ht="34" x14ac:dyDescent="0.2">
      <c r="B1259" s="132" t="s">
        <v>116</v>
      </c>
      <c r="N1259" s="67" t="s">
        <v>45</v>
      </c>
    </row>
    <row r="1260" spans="2:14" ht="64" x14ac:dyDescent="0.2">
      <c r="B1260" s="143" t="s">
        <v>117</v>
      </c>
      <c r="C1260" s="19" t="s">
        <v>40</v>
      </c>
      <c r="F1260" s="210" t="s">
        <v>92</v>
      </c>
      <c r="G1260" s="62" t="s">
        <v>41</v>
      </c>
      <c r="H1260" s="61">
        <v>17786</v>
      </c>
      <c r="N1260" s="67" t="s">
        <v>42</v>
      </c>
    </row>
    <row r="1261" spans="2:14" ht="64" x14ac:dyDescent="0.2">
      <c r="B1261" s="143" t="s">
        <v>118</v>
      </c>
      <c r="C1261" s="19" t="s">
        <v>40</v>
      </c>
      <c r="F1261" s="210" t="s">
        <v>92</v>
      </c>
      <c r="G1261" s="62" t="s">
        <v>41</v>
      </c>
      <c r="H1261" s="61">
        <v>17786</v>
      </c>
      <c r="N1261" s="67" t="s">
        <v>42</v>
      </c>
    </row>
    <row r="1262" spans="2:14" ht="17" x14ac:dyDescent="0.2">
      <c r="B1262" s="143" t="s">
        <v>119</v>
      </c>
      <c r="C1262" s="19" t="s">
        <v>40</v>
      </c>
      <c r="F1262" s="210" t="s">
        <v>92</v>
      </c>
      <c r="G1262" s="62" t="s">
        <v>41</v>
      </c>
      <c r="H1262" s="61">
        <v>17786</v>
      </c>
      <c r="N1262" s="67" t="s">
        <v>42</v>
      </c>
    </row>
    <row r="1263" spans="2:14" ht="32" x14ac:dyDescent="0.2">
      <c r="B1263" s="143" t="s">
        <v>120</v>
      </c>
      <c r="C1263" s="19" t="s">
        <v>40</v>
      </c>
      <c r="F1263" s="210" t="s">
        <v>92</v>
      </c>
      <c r="G1263" s="62" t="s">
        <v>41</v>
      </c>
      <c r="H1263" s="61">
        <v>17786</v>
      </c>
      <c r="N1263" s="67" t="s">
        <v>42</v>
      </c>
    </row>
    <row r="1264" spans="2:14" ht="17" x14ac:dyDescent="0.2">
      <c r="B1264" s="128" t="s">
        <v>121</v>
      </c>
      <c r="C1264" s="19"/>
      <c r="N1264" s="67" t="s">
        <v>45</v>
      </c>
    </row>
    <row r="1265" spans="2:14" ht="17" x14ac:dyDescent="0.2">
      <c r="B1265" s="145" t="s">
        <v>122</v>
      </c>
      <c r="C1265" s="19" t="s">
        <v>40</v>
      </c>
      <c r="F1265" s="34" t="s">
        <v>0</v>
      </c>
      <c r="G1265" s="62" t="s">
        <v>41</v>
      </c>
      <c r="H1265" s="61">
        <v>17786</v>
      </c>
      <c r="N1265" s="67" t="s">
        <v>42</v>
      </c>
    </row>
    <row r="1266" spans="2:14" ht="17" x14ac:dyDescent="0.2">
      <c r="B1266" s="139" t="s">
        <v>123</v>
      </c>
      <c r="C1266" s="19" t="s">
        <v>40</v>
      </c>
      <c r="F1266" s="34" t="s">
        <v>0</v>
      </c>
      <c r="G1266" s="62" t="s">
        <v>41</v>
      </c>
      <c r="H1266" s="61">
        <v>17786</v>
      </c>
      <c r="N1266" s="67" t="s">
        <v>42</v>
      </c>
    </row>
    <row r="1267" spans="2:14" ht="17" x14ac:dyDescent="0.2">
      <c r="B1267" s="139" t="s">
        <v>124</v>
      </c>
      <c r="C1267" s="19" t="s">
        <v>40</v>
      </c>
      <c r="F1267" s="34" t="s">
        <v>0</v>
      </c>
      <c r="G1267" s="62" t="s">
        <v>41</v>
      </c>
      <c r="H1267" s="61">
        <v>17786</v>
      </c>
      <c r="N1267" s="67" t="s">
        <v>42</v>
      </c>
    </row>
    <row r="1268" spans="2:14" ht="17" x14ac:dyDescent="0.2">
      <c r="B1268" s="139" t="s">
        <v>125</v>
      </c>
      <c r="C1268" s="19" t="s">
        <v>40</v>
      </c>
      <c r="F1268" s="34" t="s">
        <v>0</v>
      </c>
      <c r="G1268" s="62" t="s">
        <v>41</v>
      </c>
      <c r="H1268" s="61">
        <v>17786</v>
      </c>
      <c r="N1268" s="67" t="s">
        <v>42</v>
      </c>
    </row>
    <row r="1269" spans="2:14" ht="17" x14ac:dyDescent="0.2">
      <c r="B1269" s="145" t="s">
        <v>126</v>
      </c>
      <c r="C1269" s="19" t="s">
        <v>40</v>
      </c>
      <c r="F1269" s="34" t="s">
        <v>0</v>
      </c>
      <c r="G1269" s="62" t="s">
        <v>41</v>
      </c>
      <c r="H1269" s="61">
        <v>17786</v>
      </c>
      <c r="N1269" s="67" t="s">
        <v>42</v>
      </c>
    </row>
    <row r="1270" spans="2:14" ht="17" x14ac:dyDescent="0.2">
      <c r="B1270" s="138" t="s">
        <v>127</v>
      </c>
      <c r="C1270" s="19" t="s">
        <v>40</v>
      </c>
      <c r="F1270" s="34" t="s">
        <v>0</v>
      </c>
      <c r="G1270" s="62" t="s">
        <v>41</v>
      </c>
      <c r="H1270" s="61">
        <v>17786</v>
      </c>
      <c r="N1270" s="67" t="s">
        <v>42</v>
      </c>
    </row>
    <row r="1271" spans="2:14" ht="17" x14ac:dyDescent="0.2">
      <c r="B1271" s="138" t="s">
        <v>128</v>
      </c>
      <c r="C1271" s="19" t="s">
        <v>40</v>
      </c>
      <c r="F1271" s="34" t="s">
        <v>0</v>
      </c>
      <c r="G1271" s="62" t="s">
        <v>41</v>
      </c>
      <c r="H1271" s="61">
        <v>17786</v>
      </c>
      <c r="N1271" s="67" t="s">
        <v>42</v>
      </c>
    </row>
    <row r="1272" spans="2:14" ht="17" x14ac:dyDescent="0.2">
      <c r="B1272" s="146" t="s">
        <v>129</v>
      </c>
      <c r="C1272" s="19" t="s">
        <v>40</v>
      </c>
      <c r="F1272" s="34" t="s">
        <v>0</v>
      </c>
      <c r="G1272" s="62" t="s">
        <v>41</v>
      </c>
      <c r="H1272" s="61">
        <v>17786</v>
      </c>
      <c r="N1272" s="67" t="s">
        <v>42</v>
      </c>
    </row>
    <row r="1273" spans="2:14" ht="17" x14ac:dyDescent="0.2">
      <c r="B1273" s="166" t="s">
        <v>257</v>
      </c>
      <c r="C1273" s="19" t="s">
        <v>40</v>
      </c>
      <c r="F1273" s="34" t="s">
        <v>0</v>
      </c>
      <c r="G1273" s="62" t="s">
        <v>41</v>
      </c>
      <c r="H1273" s="61">
        <v>17786</v>
      </c>
      <c r="N1273" s="67" t="s">
        <v>42</v>
      </c>
    </row>
    <row r="1274" spans="2:14" ht="17" x14ac:dyDescent="0.2">
      <c r="B1274" s="147" t="s">
        <v>131</v>
      </c>
      <c r="C1274" s="19" t="s">
        <v>40</v>
      </c>
      <c r="F1274" s="34" t="s">
        <v>0</v>
      </c>
      <c r="G1274" s="62" t="s">
        <v>41</v>
      </c>
      <c r="H1274" s="61">
        <v>17786</v>
      </c>
      <c r="N1274" s="67" t="s">
        <v>42</v>
      </c>
    </row>
    <row r="1275" spans="2:14" ht="17" x14ac:dyDescent="0.2">
      <c r="B1275" s="147" t="s">
        <v>132</v>
      </c>
      <c r="C1275" s="19" t="s">
        <v>40</v>
      </c>
      <c r="F1275" s="34" t="s">
        <v>0</v>
      </c>
      <c r="G1275" s="62" t="s">
        <v>41</v>
      </c>
      <c r="H1275" s="61">
        <v>17786</v>
      </c>
      <c r="N1275" s="67" t="s">
        <v>42</v>
      </c>
    </row>
    <row r="1276" spans="2:14" ht="17" x14ac:dyDescent="0.2">
      <c r="B1276" s="147" t="s">
        <v>133</v>
      </c>
      <c r="C1276" s="19" t="s">
        <v>40</v>
      </c>
      <c r="F1276" s="34" t="s">
        <v>0</v>
      </c>
      <c r="G1276" s="62" t="s">
        <v>41</v>
      </c>
      <c r="H1276" s="61">
        <v>17786</v>
      </c>
      <c r="N1276" s="67" t="s">
        <v>42</v>
      </c>
    </row>
    <row r="1277" spans="2:14" ht="17" x14ac:dyDescent="0.2">
      <c r="B1277" s="147" t="s">
        <v>134</v>
      </c>
      <c r="C1277" s="19" t="s">
        <v>40</v>
      </c>
      <c r="F1277" s="34" t="s">
        <v>0</v>
      </c>
      <c r="G1277" s="62" t="s">
        <v>41</v>
      </c>
      <c r="H1277" s="61">
        <v>17786</v>
      </c>
      <c r="N1277" s="67" t="s">
        <v>42</v>
      </c>
    </row>
    <row r="1278" spans="2:14" ht="17" x14ac:dyDescent="0.2">
      <c r="B1278" s="147" t="s">
        <v>135</v>
      </c>
      <c r="C1278" s="19" t="s">
        <v>40</v>
      </c>
      <c r="F1278" s="34" t="s">
        <v>0</v>
      </c>
      <c r="G1278" s="62" t="s">
        <v>41</v>
      </c>
      <c r="H1278" s="61">
        <v>17786</v>
      </c>
      <c r="N1278" s="67" t="s">
        <v>42</v>
      </c>
    </row>
    <row r="1279" spans="2:14" ht="17" x14ac:dyDescent="0.2">
      <c r="B1279" s="147" t="s">
        <v>136</v>
      </c>
      <c r="C1279" s="19" t="s">
        <v>40</v>
      </c>
      <c r="F1279" s="34" t="s">
        <v>0</v>
      </c>
      <c r="G1279" s="62" t="s">
        <v>41</v>
      </c>
      <c r="H1279" s="61">
        <v>17786</v>
      </c>
      <c r="N1279" s="67" t="s">
        <v>42</v>
      </c>
    </row>
    <row r="1280" spans="2:14" ht="23" x14ac:dyDescent="0.3">
      <c r="B1280" s="148" t="s">
        <v>137</v>
      </c>
      <c r="C1280" s="19"/>
      <c r="N1280" s="67" t="s">
        <v>45</v>
      </c>
    </row>
    <row r="1281" spans="2:14" ht="23" x14ac:dyDescent="0.3">
      <c r="B1281" s="148" t="s">
        <v>138</v>
      </c>
      <c r="C1281" s="19"/>
      <c r="N1281" s="67" t="s">
        <v>45</v>
      </c>
    </row>
    <row r="1282" spans="2:14" ht="17" x14ac:dyDescent="0.2">
      <c r="B1282" s="168" t="s">
        <v>139</v>
      </c>
      <c r="C1282" s="19" t="s">
        <v>40</v>
      </c>
      <c r="F1282" s="34" t="s">
        <v>0</v>
      </c>
      <c r="G1282" s="62" t="s">
        <v>41</v>
      </c>
      <c r="H1282" s="61">
        <v>17786</v>
      </c>
      <c r="N1282" s="67" t="s">
        <v>42</v>
      </c>
    </row>
    <row r="1283" spans="2:14" ht="17" x14ac:dyDescent="0.2">
      <c r="B1283" s="147" t="s">
        <v>140</v>
      </c>
      <c r="C1283" s="19" t="s">
        <v>40</v>
      </c>
      <c r="F1283" s="34" t="s">
        <v>0</v>
      </c>
      <c r="G1283" s="62" t="s">
        <v>41</v>
      </c>
      <c r="H1283" s="61">
        <v>17786</v>
      </c>
      <c r="N1283" s="67" t="s">
        <v>42</v>
      </c>
    </row>
    <row r="1284" spans="2:14" ht="17" x14ac:dyDescent="0.2">
      <c r="B1284" s="147" t="s">
        <v>141</v>
      </c>
      <c r="C1284" s="19" t="s">
        <v>40</v>
      </c>
      <c r="F1284" s="34" t="s">
        <v>0</v>
      </c>
      <c r="G1284" s="62" t="s">
        <v>41</v>
      </c>
      <c r="H1284" s="61">
        <v>17786</v>
      </c>
      <c r="N1284" s="67" t="s">
        <v>42</v>
      </c>
    </row>
    <row r="1285" spans="2:14" ht="17" x14ac:dyDescent="0.2">
      <c r="B1285" s="147" t="s">
        <v>142</v>
      </c>
      <c r="C1285" s="19" t="s">
        <v>40</v>
      </c>
      <c r="F1285" s="34" t="s">
        <v>0</v>
      </c>
      <c r="G1285" s="62" t="s">
        <v>41</v>
      </c>
      <c r="H1285" s="61">
        <v>17786</v>
      </c>
      <c r="N1285" s="67" t="s">
        <v>42</v>
      </c>
    </row>
    <row r="1286" spans="2:14" ht="17" x14ac:dyDescent="0.2">
      <c r="B1286" s="168" t="s">
        <v>258</v>
      </c>
      <c r="C1286" s="19" t="s">
        <v>40</v>
      </c>
      <c r="F1286" s="34" t="s">
        <v>0</v>
      </c>
      <c r="G1286" s="62" t="s">
        <v>41</v>
      </c>
      <c r="H1286" s="61">
        <v>17786</v>
      </c>
      <c r="N1286" s="67" t="s">
        <v>42</v>
      </c>
    </row>
    <row r="1287" spans="2:14" ht="23" x14ac:dyDescent="0.3">
      <c r="B1287" s="148" t="s">
        <v>144</v>
      </c>
      <c r="C1287" s="19"/>
      <c r="N1287" s="67" t="s">
        <v>45</v>
      </c>
    </row>
    <row r="1288" spans="2:14" ht="17" x14ac:dyDescent="0.2">
      <c r="B1288" s="168" t="s">
        <v>145</v>
      </c>
      <c r="C1288" s="19" t="s">
        <v>40</v>
      </c>
      <c r="F1288" s="34" t="s">
        <v>0</v>
      </c>
      <c r="G1288" s="62" t="s">
        <v>41</v>
      </c>
      <c r="H1288" s="61">
        <v>17786</v>
      </c>
      <c r="N1288" s="67" t="s">
        <v>42</v>
      </c>
    </row>
    <row r="1289" spans="2:14" ht="17" x14ac:dyDescent="0.2">
      <c r="B1289" s="168" t="s">
        <v>146</v>
      </c>
      <c r="C1289" s="19" t="s">
        <v>40</v>
      </c>
      <c r="F1289" s="34" t="s">
        <v>0</v>
      </c>
      <c r="G1289" s="62" t="s">
        <v>41</v>
      </c>
      <c r="H1289" s="61">
        <v>17786</v>
      </c>
      <c r="N1289" s="67" t="s">
        <v>42</v>
      </c>
    </row>
    <row r="1290" spans="2:14" ht="17" x14ac:dyDescent="0.2">
      <c r="B1290" s="168" t="s">
        <v>147</v>
      </c>
      <c r="C1290" s="19" t="s">
        <v>40</v>
      </c>
      <c r="F1290" s="34" t="s">
        <v>0</v>
      </c>
      <c r="G1290" s="62" t="s">
        <v>41</v>
      </c>
      <c r="H1290" s="61">
        <v>17786</v>
      </c>
      <c r="N1290" s="67" t="s">
        <v>42</v>
      </c>
    </row>
    <row r="1291" spans="2:14" ht="17" x14ac:dyDescent="0.2">
      <c r="B1291" s="168" t="s">
        <v>148</v>
      </c>
      <c r="C1291" s="19" t="s">
        <v>40</v>
      </c>
      <c r="F1291" s="34" t="s">
        <v>0</v>
      </c>
      <c r="G1291" s="62" t="s">
        <v>41</v>
      </c>
      <c r="H1291" s="61">
        <v>17786</v>
      </c>
      <c r="N1291" s="67" t="s">
        <v>42</v>
      </c>
    </row>
    <row r="1292" spans="2:14" ht="34" x14ac:dyDescent="0.2">
      <c r="B1292" s="168" t="s">
        <v>259</v>
      </c>
      <c r="C1292" s="19" t="s">
        <v>40</v>
      </c>
      <c r="F1292" s="34" t="s">
        <v>0</v>
      </c>
      <c r="G1292" s="62" t="s">
        <v>41</v>
      </c>
      <c r="H1292" s="61">
        <v>17786</v>
      </c>
      <c r="N1292" s="67" t="s">
        <v>42</v>
      </c>
    </row>
    <row r="1293" spans="2:14" ht="20" x14ac:dyDescent="0.25">
      <c r="B1293" s="149" t="s">
        <v>150</v>
      </c>
      <c r="C1293" s="19"/>
      <c r="N1293" s="67" t="s">
        <v>45</v>
      </c>
    </row>
    <row r="1294" spans="2:14" ht="17" x14ac:dyDescent="0.2">
      <c r="B1294" s="150" t="s">
        <v>151</v>
      </c>
      <c r="C1294" s="19"/>
      <c r="N1294" s="67" t="s">
        <v>45</v>
      </c>
    </row>
    <row r="1295" spans="2:14" ht="17" x14ac:dyDescent="0.2">
      <c r="B1295" s="151" t="s">
        <v>152</v>
      </c>
      <c r="C1295" s="19" t="s">
        <v>40</v>
      </c>
      <c r="F1295" s="34" t="s">
        <v>0</v>
      </c>
      <c r="G1295" s="62" t="s">
        <v>41</v>
      </c>
      <c r="H1295" s="61">
        <v>17786</v>
      </c>
      <c r="N1295" s="67" t="s">
        <v>42</v>
      </c>
    </row>
    <row r="1296" spans="2:14" ht="17" x14ac:dyDescent="0.2">
      <c r="B1296" s="151" t="s">
        <v>153</v>
      </c>
      <c r="C1296" s="19" t="s">
        <v>40</v>
      </c>
      <c r="F1296" s="34" t="s">
        <v>0</v>
      </c>
      <c r="G1296" s="62" t="s">
        <v>41</v>
      </c>
      <c r="H1296" s="61">
        <v>17786</v>
      </c>
      <c r="N1296" s="67" t="s">
        <v>42</v>
      </c>
    </row>
    <row r="1297" spans="2:14" ht="17" x14ac:dyDescent="0.2">
      <c r="B1297" s="152" t="s">
        <v>154</v>
      </c>
      <c r="C1297" s="19" t="s">
        <v>40</v>
      </c>
      <c r="F1297" s="34" t="s">
        <v>0</v>
      </c>
      <c r="G1297" s="62" t="s">
        <v>41</v>
      </c>
      <c r="H1297" s="61">
        <v>17786</v>
      </c>
      <c r="N1297" s="67" t="s">
        <v>42</v>
      </c>
    </row>
    <row r="1298" spans="2:14" ht="17" x14ac:dyDescent="0.2">
      <c r="B1298" s="143" t="s">
        <v>155</v>
      </c>
      <c r="C1298" s="19" t="s">
        <v>40</v>
      </c>
      <c r="F1298" s="34" t="s">
        <v>0</v>
      </c>
      <c r="G1298" s="62" t="s">
        <v>41</v>
      </c>
      <c r="H1298" s="61">
        <v>17786</v>
      </c>
      <c r="N1298" s="67" t="s">
        <v>42</v>
      </c>
    </row>
    <row r="1299" spans="2:14" ht="17" x14ac:dyDescent="0.2">
      <c r="B1299" s="153" t="s">
        <v>156</v>
      </c>
      <c r="N1299" s="67" t="s">
        <v>45</v>
      </c>
    </row>
    <row r="1300" spans="2:14" ht="17" x14ac:dyDescent="0.2">
      <c r="B1300" s="153" t="s">
        <v>157</v>
      </c>
      <c r="C1300" s="19"/>
      <c r="N1300" s="67" t="s">
        <v>45</v>
      </c>
    </row>
    <row r="1301" spans="2:14" ht="17" x14ac:dyDescent="0.2">
      <c r="B1301" s="154" t="s">
        <v>158</v>
      </c>
      <c r="C1301" s="19" t="s">
        <v>40</v>
      </c>
      <c r="F1301" s="34" t="s">
        <v>0</v>
      </c>
      <c r="G1301" s="62" t="s">
        <v>41</v>
      </c>
      <c r="H1301" s="61">
        <v>17786</v>
      </c>
      <c r="N1301" s="67" t="s">
        <v>42</v>
      </c>
    </row>
    <row r="1302" spans="2:14" ht="17" x14ac:dyDescent="0.2">
      <c r="B1302" s="155" t="s">
        <v>159</v>
      </c>
      <c r="C1302" s="19" t="s">
        <v>40</v>
      </c>
      <c r="F1302" s="34" t="s">
        <v>0</v>
      </c>
      <c r="G1302" s="62" t="s">
        <v>41</v>
      </c>
      <c r="H1302" s="61">
        <v>17786</v>
      </c>
      <c r="N1302" s="67" t="s">
        <v>42</v>
      </c>
    </row>
    <row r="1303" spans="2:14" ht="17" x14ac:dyDescent="0.2">
      <c r="B1303" s="151" t="s">
        <v>160</v>
      </c>
      <c r="C1303" s="19" t="s">
        <v>40</v>
      </c>
      <c r="F1303" s="34" t="s">
        <v>0</v>
      </c>
      <c r="G1303" s="62" t="s">
        <v>41</v>
      </c>
      <c r="H1303" s="61">
        <v>17786</v>
      </c>
      <c r="N1303" s="67" t="s">
        <v>42</v>
      </c>
    </row>
    <row r="1304" spans="2:14" ht="17" x14ac:dyDescent="0.2">
      <c r="B1304" s="153" t="s">
        <v>161</v>
      </c>
      <c r="C1304" s="19"/>
      <c r="N1304" s="67" t="s">
        <v>45</v>
      </c>
    </row>
    <row r="1305" spans="2:14" ht="17" x14ac:dyDescent="0.2">
      <c r="B1305" s="156" t="s">
        <v>162</v>
      </c>
      <c r="C1305" s="19"/>
      <c r="N1305" s="67" t="s">
        <v>45</v>
      </c>
    </row>
    <row r="1306" spans="2:14" ht="48" x14ac:dyDescent="0.2">
      <c r="B1306" s="151" t="s">
        <v>163</v>
      </c>
      <c r="C1306" s="19" t="s">
        <v>40</v>
      </c>
      <c r="F1306" s="34" t="s">
        <v>0</v>
      </c>
      <c r="G1306" s="62" t="s">
        <v>41</v>
      </c>
      <c r="H1306" s="61">
        <v>17786</v>
      </c>
      <c r="N1306" s="67" t="s">
        <v>42</v>
      </c>
    </row>
    <row r="1307" spans="2:14" ht="17" x14ac:dyDescent="0.2">
      <c r="B1307" s="138" t="s">
        <v>164</v>
      </c>
      <c r="C1307" s="19" t="s">
        <v>40</v>
      </c>
      <c r="F1307" s="34" t="s">
        <v>0</v>
      </c>
      <c r="N1307" s="67" t="s">
        <v>42</v>
      </c>
    </row>
    <row r="1308" spans="2:14" ht="17" x14ac:dyDescent="0.2">
      <c r="B1308" s="157" t="s">
        <v>168</v>
      </c>
      <c r="G1308" s="62" t="s">
        <v>41</v>
      </c>
      <c r="H1308" s="61">
        <v>17786</v>
      </c>
      <c r="N1308" s="67" t="s">
        <v>45</v>
      </c>
    </row>
    <row r="1309" spans="2:14" ht="51" x14ac:dyDescent="0.2">
      <c r="B1309" s="158" t="s">
        <v>169</v>
      </c>
      <c r="C1309" s="19" t="s">
        <v>40</v>
      </c>
      <c r="F1309" s="34" t="s">
        <v>0</v>
      </c>
      <c r="G1309" s="62" t="s">
        <v>41</v>
      </c>
      <c r="H1309" s="61">
        <v>17786</v>
      </c>
      <c r="N1309" s="67" t="s">
        <v>42</v>
      </c>
    </row>
    <row r="1310" spans="2:14" ht="17" x14ac:dyDescent="0.2">
      <c r="B1310" s="159" t="s">
        <v>170</v>
      </c>
      <c r="C1310" s="19" t="s">
        <v>40</v>
      </c>
      <c r="F1310" s="34" t="s">
        <v>0</v>
      </c>
      <c r="G1310" s="62" t="s">
        <v>41</v>
      </c>
      <c r="H1310" s="61">
        <v>17786</v>
      </c>
      <c r="N1310" s="67" t="s">
        <v>42</v>
      </c>
    </row>
    <row r="1311" spans="2:14" ht="17" x14ac:dyDescent="0.2">
      <c r="B1311" s="157" t="s">
        <v>171</v>
      </c>
      <c r="C1311" s="19"/>
      <c r="N1311" s="67" t="s">
        <v>45</v>
      </c>
    </row>
    <row r="1312" spans="2:14" ht="48" x14ac:dyDescent="0.2">
      <c r="B1312" s="144" t="s">
        <v>172</v>
      </c>
      <c r="C1312" s="19" t="s">
        <v>40</v>
      </c>
      <c r="F1312" s="34" t="s">
        <v>0</v>
      </c>
      <c r="G1312" s="62" t="s">
        <v>41</v>
      </c>
      <c r="H1312" s="61">
        <v>17786</v>
      </c>
      <c r="N1312" s="67" t="s">
        <v>42</v>
      </c>
    </row>
    <row r="1313" spans="2:14" ht="17" x14ac:dyDescent="0.2">
      <c r="B1313" s="160" t="s">
        <v>173</v>
      </c>
      <c r="C1313" s="19" t="s">
        <v>40</v>
      </c>
      <c r="F1313" s="34" t="s">
        <v>0</v>
      </c>
      <c r="G1313" s="62" t="s">
        <v>41</v>
      </c>
      <c r="H1313" s="61">
        <v>17786</v>
      </c>
      <c r="N1313" s="67" t="s">
        <v>42</v>
      </c>
    </row>
    <row r="1314" spans="2:14" ht="17" x14ac:dyDescent="0.2">
      <c r="B1314" s="161" t="s">
        <v>174</v>
      </c>
      <c r="N1314" s="67" t="s">
        <v>45</v>
      </c>
    </row>
    <row r="1315" spans="2:14" ht="51" x14ac:dyDescent="0.2">
      <c r="B1315" s="161" t="s">
        <v>175</v>
      </c>
      <c r="C1315" s="19"/>
      <c r="N1315" s="67" t="s">
        <v>45</v>
      </c>
    </row>
    <row r="1316" spans="2:14" ht="17" x14ac:dyDescent="0.2">
      <c r="B1316" s="131" t="s">
        <v>176</v>
      </c>
      <c r="C1316" s="19" t="s">
        <v>40</v>
      </c>
      <c r="N1316" s="67" t="s">
        <v>42</v>
      </c>
    </row>
    <row r="1317" spans="2:14" ht="17" x14ac:dyDescent="0.2">
      <c r="B1317" s="160" t="s">
        <v>177</v>
      </c>
      <c r="C1317" s="19" t="s">
        <v>40</v>
      </c>
      <c r="F1317" s="34" t="s">
        <v>0</v>
      </c>
      <c r="G1317" s="62" t="s">
        <v>41</v>
      </c>
      <c r="H1317" s="61">
        <v>17786</v>
      </c>
      <c r="N1317" s="67" t="s">
        <v>42</v>
      </c>
    </row>
    <row r="1318" spans="2:14" ht="17" x14ac:dyDescent="0.2">
      <c r="B1318" s="131" t="s">
        <v>178</v>
      </c>
      <c r="C1318" s="19" t="s">
        <v>40</v>
      </c>
      <c r="F1318" s="34" t="s">
        <v>0</v>
      </c>
      <c r="G1318" s="62" t="s">
        <v>41</v>
      </c>
      <c r="H1318" s="61">
        <v>17786</v>
      </c>
      <c r="N1318" s="67" t="s">
        <v>42</v>
      </c>
    </row>
    <row r="1319" spans="2:14" ht="68" x14ac:dyDescent="0.2">
      <c r="B1319" s="131" t="s">
        <v>179</v>
      </c>
      <c r="C1319" s="19" t="s">
        <v>40</v>
      </c>
      <c r="F1319" s="34" t="s">
        <v>0</v>
      </c>
      <c r="G1319" s="62" t="s">
        <v>41</v>
      </c>
      <c r="H1319" s="61">
        <v>17786</v>
      </c>
      <c r="N1319" s="67" t="s">
        <v>42</v>
      </c>
    </row>
    <row r="1320" spans="2:14" ht="17" x14ac:dyDescent="0.2">
      <c r="B1320" s="160" t="s">
        <v>182</v>
      </c>
      <c r="C1320" s="19" t="s">
        <v>40</v>
      </c>
      <c r="F1320" s="34" t="s">
        <v>0</v>
      </c>
      <c r="G1320" s="62" t="s">
        <v>41</v>
      </c>
      <c r="H1320" s="61">
        <v>17786</v>
      </c>
      <c r="N1320" s="67" t="s">
        <v>42</v>
      </c>
    </row>
    <row r="1321" spans="2:14" ht="68" x14ac:dyDescent="0.2">
      <c r="B1321" s="160" t="s">
        <v>183</v>
      </c>
      <c r="C1321" s="19" t="s">
        <v>40</v>
      </c>
      <c r="F1321" s="34" t="s">
        <v>0</v>
      </c>
      <c r="G1321" s="62" t="s">
        <v>41</v>
      </c>
      <c r="H1321" s="61">
        <v>17786</v>
      </c>
      <c r="N1321" s="67" t="s">
        <v>42</v>
      </c>
    </row>
    <row r="1322" spans="2:14" ht="17" x14ac:dyDescent="0.2">
      <c r="B1322" s="162" t="s">
        <v>184</v>
      </c>
      <c r="C1322" s="19" t="s">
        <v>40</v>
      </c>
      <c r="F1322" s="34" t="s">
        <v>0</v>
      </c>
      <c r="G1322" s="62" t="s">
        <v>41</v>
      </c>
      <c r="H1322" s="61">
        <v>17786</v>
      </c>
      <c r="N1322" s="67" t="s">
        <v>42</v>
      </c>
    </row>
    <row r="1323" spans="2:14" ht="17" x14ac:dyDescent="0.2">
      <c r="B1323" s="162" t="s">
        <v>185</v>
      </c>
      <c r="C1323" s="19" t="s">
        <v>40</v>
      </c>
      <c r="F1323" s="34" t="s">
        <v>0</v>
      </c>
      <c r="G1323" s="62" t="s">
        <v>41</v>
      </c>
      <c r="H1323" s="61">
        <v>17786</v>
      </c>
      <c r="N1323" s="67" t="s">
        <v>42</v>
      </c>
    </row>
    <row r="1324" spans="2:14" ht="17" x14ac:dyDescent="0.2">
      <c r="N1324" s="67" t="s">
        <v>45</v>
      </c>
    </row>
    <row r="1325" spans="2:14" ht="17" x14ac:dyDescent="0.2">
      <c r="N1325" s="67" t="s">
        <v>45</v>
      </c>
    </row>
    <row r="1326" spans="2:14" ht="25" x14ac:dyDescent="0.3">
      <c r="B1326" s="125" t="s">
        <v>260</v>
      </c>
      <c r="C1326" s="59"/>
      <c r="N1326" s="67" t="s">
        <v>45</v>
      </c>
    </row>
    <row r="1327" spans="2:14" ht="69" x14ac:dyDescent="0.2">
      <c r="B1327" s="170" t="s">
        <v>261</v>
      </c>
      <c r="C1327" s="19"/>
      <c r="N1327" s="67" t="s">
        <v>45</v>
      </c>
    </row>
    <row r="1328" spans="2:14" ht="17" x14ac:dyDescent="0.2">
      <c r="B1328" s="127" t="s">
        <v>31</v>
      </c>
      <c r="C1328" s="19"/>
      <c r="N1328" s="67" t="s">
        <v>45</v>
      </c>
    </row>
    <row r="1329" spans="2:14" ht="17" x14ac:dyDescent="0.2">
      <c r="B1329" s="127" t="s">
        <v>32</v>
      </c>
      <c r="N1329" s="67" t="s">
        <v>45</v>
      </c>
    </row>
    <row r="1330" spans="2:14" ht="17" x14ac:dyDescent="0.2">
      <c r="B1330" s="128" t="s">
        <v>33</v>
      </c>
      <c r="N1330" s="67" t="s">
        <v>45</v>
      </c>
    </row>
    <row r="1331" spans="2:14" ht="17" x14ac:dyDescent="0.2">
      <c r="B1331" s="127" t="s">
        <v>34</v>
      </c>
      <c r="C1331" s="19"/>
      <c r="N1331" s="67" t="s">
        <v>45</v>
      </c>
    </row>
    <row r="1332" spans="2:14" ht="40" x14ac:dyDescent="0.2">
      <c r="B1332" s="241" t="s">
        <v>262</v>
      </c>
      <c r="C1332" s="19"/>
      <c r="N1332" s="67" t="s">
        <v>45</v>
      </c>
    </row>
    <row r="1333" spans="2:14" ht="51" x14ac:dyDescent="0.2">
      <c r="B1333" s="127" t="s">
        <v>35</v>
      </c>
      <c r="C1333" s="19"/>
      <c r="N1333" s="67" t="s">
        <v>45</v>
      </c>
    </row>
    <row r="1334" spans="2:14" ht="17" x14ac:dyDescent="0.2">
      <c r="B1334" s="129" t="s">
        <v>36</v>
      </c>
      <c r="C1334" s="19"/>
      <c r="N1334" s="67" t="s">
        <v>45</v>
      </c>
    </row>
    <row r="1335" spans="2:14" ht="17" x14ac:dyDescent="0.2">
      <c r="B1335" s="129" t="s">
        <v>37</v>
      </c>
      <c r="C1335" s="19"/>
      <c r="N1335" s="67" t="s">
        <v>45</v>
      </c>
    </row>
    <row r="1336" spans="2:14" ht="17" x14ac:dyDescent="0.2">
      <c r="B1336" s="128" t="s">
        <v>38</v>
      </c>
      <c r="C1336" s="19"/>
      <c r="N1336" s="67" t="s">
        <v>45</v>
      </c>
    </row>
    <row r="1337" spans="2:14" ht="32" x14ac:dyDescent="0.2">
      <c r="B1337" s="130" t="s">
        <v>39</v>
      </c>
      <c r="C1337" s="19" t="s">
        <v>40</v>
      </c>
      <c r="K1337" s="34" t="s">
        <v>0</v>
      </c>
      <c r="L1337" s="62" t="s">
        <v>41</v>
      </c>
      <c r="M1337" s="34">
        <v>24850</v>
      </c>
      <c r="N1337" s="67" t="s">
        <v>42</v>
      </c>
    </row>
    <row r="1338" spans="2:14" ht="32" x14ac:dyDescent="0.2">
      <c r="B1338" s="130" t="s">
        <v>43</v>
      </c>
      <c r="C1338" s="19" t="s">
        <v>40</v>
      </c>
      <c r="K1338" s="34" t="s">
        <v>0</v>
      </c>
      <c r="L1338" s="62" t="s">
        <v>41</v>
      </c>
      <c r="M1338" s="34">
        <v>24850</v>
      </c>
      <c r="N1338" s="67" t="s">
        <v>42</v>
      </c>
    </row>
    <row r="1339" spans="2:14" ht="17" x14ac:dyDescent="0.2">
      <c r="B1339" s="128" t="s">
        <v>44</v>
      </c>
      <c r="C1339" s="19"/>
      <c r="N1339" s="67" t="s">
        <v>45</v>
      </c>
    </row>
    <row r="1340" spans="2:14" ht="17" x14ac:dyDescent="0.2">
      <c r="B1340" s="130" t="s">
        <v>46</v>
      </c>
      <c r="C1340" s="19" t="s">
        <v>40</v>
      </c>
      <c r="K1340" s="34" t="s">
        <v>0</v>
      </c>
      <c r="L1340" s="62" t="s">
        <v>41</v>
      </c>
      <c r="M1340" s="34">
        <v>24850</v>
      </c>
      <c r="N1340" s="67" t="s">
        <v>42</v>
      </c>
    </row>
    <row r="1341" spans="2:14" ht="17" x14ac:dyDescent="0.2">
      <c r="B1341" s="128" t="s">
        <v>47</v>
      </c>
      <c r="N1341" s="67" t="s">
        <v>45</v>
      </c>
    </row>
    <row r="1342" spans="2:14" ht="17" x14ac:dyDescent="0.2">
      <c r="B1342" s="131" t="s">
        <v>48</v>
      </c>
      <c r="C1342" s="19" t="s">
        <v>40</v>
      </c>
      <c r="K1342" s="34" t="s">
        <v>0</v>
      </c>
      <c r="L1342" s="62" t="s">
        <v>41</v>
      </c>
      <c r="M1342" s="34">
        <v>24850</v>
      </c>
      <c r="N1342" s="67" t="s">
        <v>42</v>
      </c>
    </row>
    <row r="1343" spans="2:14" ht="17" x14ac:dyDescent="0.2">
      <c r="B1343" s="131" t="s">
        <v>49</v>
      </c>
      <c r="C1343" s="19" t="s">
        <v>40</v>
      </c>
      <c r="K1343" s="34" t="s">
        <v>0</v>
      </c>
      <c r="L1343" s="62" t="s">
        <v>41</v>
      </c>
      <c r="M1343" s="34">
        <v>24850</v>
      </c>
      <c r="N1343" s="67" t="s">
        <v>42</v>
      </c>
    </row>
    <row r="1344" spans="2:14" ht="34" x14ac:dyDescent="0.2">
      <c r="B1344" s="131" t="s">
        <v>50</v>
      </c>
      <c r="C1344" s="19" t="s">
        <v>40</v>
      </c>
      <c r="K1344" s="34" t="s">
        <v>0</v>
      </c>
      <c r="L1344" s="62" t="s">
        <v>41</v>
      </c>
      <c r="M1344" s="34">
        <v>24850</v>
      </c>
      <c r="N1344" s="67" t="s">
        <v>42</v>
      </c>
    </row>
    <row r="1345" spans="2:14" ht="17" x14ac:dyDescent="0.2">
      <c r="B1345" s="128" t="s">
        <v>51</v>
      </c>
      <c r="C1345" s="19"/>
      <c r="N1345" s="67" t="s">
        <v>45</v>
      </c>
    </row>
    <row r="1346" spans="2:14" ht="35.25" customHeight="1" x14ac:dyDescent="0.2">
      <c r="B1346" s="131" t="s">
        <v>52</v>
      </c>
      <c r="C1346" s="19" t="s">
        <v>40</v>
      </c>
      <c r="K1346" s="34" t="s">
        <v>0</v>
      </c>
      <c r="L1346" s="62" t="s">
        <v>41</v>
      </c>
      <c r="M1346" s="34">
        <v>24850</v>
      </c>
      <c r="N1346" s="67" t="s">
        <v>42</v>
      </c>
    </row>
    <row r="1347" spans="2:14" ht="17" x14ac:dyDescent="0.2">
      <c r="B1347" s="132" t="s">
        <v>53</v>
      </c>
      <c r="C1347" s="19"/>
      <c r="N1347" s="67" t="s">
        <v>45</v>
      </c>
    </row>
    <row r="1348" spans="2:14" ht="51" x14ac:dyDescent="0.2">
      <c r="B1348" s="133" t="s">
        <v>54</v>
      </c>
      <c r="C1348" s="19" t="s">
        <v>40</v>
      </c>
      <c r="K1348" s="34" t="s">
        <v>0</v>
      </c>
      <c r="L1348" s="62" t="s">
        <v>41</v>
      </c>
      <c r="M1348" s="34">
        <v>24850</v>
      </c>
      <c r="N1348" s="67" t="s">
        <v>42</v>
      </c>
    </row>
    <row r="1349" spans="2:14" ht="17" x14ac:dyDescent="0.2">
      <c r="B1349" s="128" t="s">
        <v>55</v>
      </c>
      <c r="C1349" s="19"/>
      <c r="N1349" s="67" t="s">
        <v>45</v>
      </c>
    </row>
    <row r="1350" spans="2:14" ht="51" x14ac:dyDescent="0.2">
      <c r="B1350" s="134" t="s">
        <v>56</v>
      </c>
      <c r="C1350" s="19" t="s">
        <v>57</v>
      </c>
      <c r="K1350" s="34" t="s">
        <v>0</v>
      </c>
      <c r="L1350" s="62" t="s">
        <v>41</v>
      </c>
      <c r="M1350" s="34">
        <v>24850</v>
      </c>
      <c r="N1350" s="67" t="s">
        <v>42</v>
      </c>
    </row>
    <row r="1351" spans="2:14" ht="17" x14ac:dyDescent="0.2">
      <c r="B1351" s="128" t="s">
        <v>58</v>
      </c>
      <c r="N1351" s="67" t="s">
        <v>45</v>
      </c>
    </row>
    <row r="1352" spans="2:14" ht="51" x14ac:dyDescent="0.2">
      <c r="B1352" s="131" t="s">
        <v>59</v>
      </c>
      <c r="C1352" s="19" t="s">
        <v>40</v>
      </c>
      <c r="K1352" s="34" t="s">
        <v>0</v>
      </c>
      <c r="L1352" s="62" t="s">
        <v>41</v>
      </c>
      <c r="M1352" s="34">
        <v>24850</v>
      </c>
      <c r="N1352" s="67" t="s">
        <v>42</v>
      </c>
    </row>
    <row r="1353" spans="2:14" ht="17" x14ac:dyDescent="0.2">
      <c r="B1353" s="132" t="s">
        <v>60</v>
      </c>
      <c r="C1353" s="19"/>
      <c r="N1353" s="67" t="s">
        <v>45</v>
      </c>
    </row>
    <row r="1354" spans="2:14" ht="17" x14ac:dyDescent="0.2">
      <c r="B1354" s="135" t="s">
        <v>61</v>
      </c>
      <c r="C1354" s="19" t="s">
        <v>40</v>
      </c>
      <c r="K1354" s="34" t="s">
        <v>0</v>
      </c>
      <c r="L1354" s="62" t="s">
        <v>41</v>
      </c>
      <c r="M1354" s="34">
        <v>24850</v>
      </c>
      <c r="N1354" s="67" t="s">
        <v>42</v>
      </c>
    </row>
    <row r="1355" spans="2:14" ht="17" x14ac:dyDescent="0.2">
      <c r="B1355" s="136" t="s">
        <v>62</v>
      </c>
      <c r="C1355" s="19" t="s">
        <v>40</v>
      </c>
      <c r="K1355" s="34" t="s">
        <v>0</v>
      </c>
      <c r="L1355" s="62" t="s">
        <v>41</v>
      </c>
      <c r="M1355" s="34">
        <v>24850</v>
      </c>
      <c r="N1355" s="67" t="s">
        <v>42</v>
      </c>
    </row>
    <row r="1356" spans="2:14" ht="96" x14ac:dyDescent="0.2">
      <c r="B1356" s="137" t="s">
        <v>63</v>
      </c>
      <c r="C1356" s="19" t="s">
        <v>40</v>
      </c>
      <c r="K1356" s="34" t="s">
        <v>0</v>
      </c>
      <c r="L1356" s="62" t="s">
        <v>41</v>
      </c>
      <c r="M1356" s="34">
        <v>24850</v>
      </c>
      <c r="N1356" s="67" t="s">
        <v>42</v>
      </c>
    </row>
    <row r="1357" spans="2:14" ht="17" x14ac:dyDescent="0.2">
      <c r="B1357" s="136" t="s">
        <v>64</v>
      </c>
      <c r="C1357" s="19" t="s">
        <v>40</v>
      </c>
      <c r="K1357" s="34" t="s">
        <v>0</v>
      </c>
      <c r="L1357" s="62" t="s">
        <v>41</v>
      </c>
      <c r="M1357" s="34">
        <v>24850</v>
      </c>
      <c r="N1357" s="67" t="s">
        <v>42</v>
      </c>
    </row>
    <row r="1358" spans="2:14" ht="17" x14ac:dyDescent="0.2">
      <c r="B1358" s="128" t="s">
        <v>65</v>
      </c>
      <c r="N1358" s="67" t="s">
        <v>45</v>
      </c>
    </row>
    <row r="1359" spans="2:14" ht="17" x14ac:dyDescent="0.2">
      <c r="B1359" s="237" t="s">
        <v>66</v>
      </c>
      <c r="C1359" s="19" t="s">
        <v>40</v>
      </c>
      <c r="K1359" s="34" t="s">
        <v>0</v>
      </c>
      <c r="L1359" s="62" t="s">
        <v>41</v>
      </c>
      <c r="M1359" s="34">
        <v>24850</v>
      </c>
      <c r="N1359" s="67" t="s">
        <v>42</v>
      </c>
    </row>
    <row r="1360" spans="2:14" ht="17" x14ac:dyDescent="0.2">
      <c r="B1360" s="138" t="s">
        <v>67</v>
      </c>
      <c r="C1360" s="19" t="s">
        <v>40</v>
      </c>
      <c r="K1360" s="34" t="s">
        <v>0</v>
      </c>
      <c r="L1360" s="62" t="s">
        <v>41</v>
      </c>
      <c r="M1360" s="34">
        <v>24850</v>
      </c>
      <c r="N1360" s="67" t="s">
        <v>42</v>
      </c>
    </row>
    <row r="1361" spans="1:14" ht="17" x14ac:dyDescent="0.2">
      <c r="B1361" s="138" t="s">
        <v>255</v>
      </c>
      <c r="C1361" s="19" t="s">
        <v>40</v>
      </c>
      <c r="K1361" s="34" t="s">
        <v>0</v>
      </c>
      <c r="L1361" s="62" t="s">
        <v>41</v>
      </c>
      <c r="M1361" s="34">
        <v>24850</v>
      </c>
      <c r="N1361" s="67" t="s">
        <v>42</v>
      </c>
    </row>
    <row r="1362" spans="1:14" ht="23.25" customHeight="1" x14ac:dyDescent="0.2">
      <c r="B1362" s="138" t="s">
        <v>263</v>
      </c>
      <c r="C1362" s="19" t="s">
        <v>40</v>
      </c>
      <c r="K1362" s="34" t="s">
        <v>0</v>
      </c>
      <c r="L1362" s="62" t="s">
        <v>41</v>
      </c>
      <c r="M1362" s="34">
        <v>24850</v>
      </c>
      <c r="N1362" s="67" t="s">
        <v>42</v>
      </c>
    </row>
    <row r="1363" spans="1:14" ht="17" x14ac:dyDescent="0.2">
      <c r="B1363" s="138" t="s">
        <v>70</v>
      </c>
      <c r="C1363" s="19" t="s">
        <v>40</v>
      </c>
      <c r="K1363" s="34" t="s">
        <v>0</v>
      </c>
      <c r="L1363" s="62" t="s">
        <v>41</v>
      </c>
      <c r="M1363" s="34">
        <v>24850</v>
      </c>
      <c r="N1363" s="67" t="s">
        <v>42</v>
      </c>
    </row>
    <row r="1364" spans="1:14" ht="17" x14ac:dyDescent="0.2">
      <c r="B1364" s="138" t="s">
        <v>71</v>
      </c>
      <c r="C1364" s="19" t="s">
        <v>40</v>
      </c>
      <c r="K1364" s="34" t="s">
        <v>0</v>
      </c>
      <c r="L1364" s="62" t="s">
        <v>41</v>
      </c>
      <c r="M1364" s="34">
        <v>24850</v>
      </c>
      <c r="N1364" s="67" t="s">
        <v>42</v>
      </c>
    </row>
    <row r="1365" spans="1:14" ht="17" x14ac:dyDescent="0.2">
      <c r="B1365" s="139" t="s">
        <v>72</v>
      </c>
      <c r="C1365" s="19" t="s">
        <v>40</v>
      </c>
      <c r="K1365" s="34" t="s">
        <v>0</v>
      </c>
      <c r="L1365" s="62" t="s">
        <v>41</v>
      </c>
      <c r="M1365" s="34">
        <v>24850</v>
      </c>
      <c r="N1365" s="67" t="s">
        <v>42</v>
      </c>
    </row>
    <row r="1366" spans="1:14" ht="17" x14ac:dyDescent="0.2">
      <c r="B1366" s="237" t="s">
        <v>73</v>
      </c>
      <c r="C1366" s="19" t="s">
        <v>40</v>
      </c>
      <c r="K1366" s="34" t="s">
        <v>0</v>
      </c>
      <c r="L1366" s="62" t="s">
        <v>41</v>
      </c>
      <c r="M1366" s="34">
        <v>24850</v>
      </c>
      <c r="N1366" s="67" t="s">
        <v>42</v>
      </c>
    </row>
    <row r="1367" spans="1:14" ht="17" x14ac:dyDescent="0.2">
      <c r="B1367" s="139" t="s">
        <v>74</v>
      </c>
      <c r="C1367" s="19" t="s">
        <v>40</v>
      </c>
      <c r="K1367" s="34" t="s">
        <v>0</v>
      </c>
      <c r="L1367" s="62" t="s">
        <v>41</v>
      </c>
      <c r="M1367" s="34">
        <v>24850</v>
      </c>
      <c r="N1367" s="67" t="s">
        <v>42</v>
      </c>
    </row>
    <row r="1368" spans="1:14" ht="17" x14ac:dyDescent="0.2">
      <c r="B1368" s="139" t="s">
        <v>75</v>
      </c>
      <c r="C1368" s="19" t="s">
        <v>40</v>
      </c>
      <c r="K1368" s="34" t="s">
        <v>0</v>
      </c>
      <c r="L1368" s="62" t="s">
        <v>41</v>
      </c>
      <c r="M1368" s="34">
        <v>24850</v>
      </c>
      <c r="N1368" s="67" t="s">
        <v>42</v>
      </c>
    </row>
    <row r="1369" spans="1:14" ht="17" x14ac:dyDescent="0.2">
      <c r="B1369" s="138" t="s">
        <v>76</v>
      </c>
      <c r="C1369" s="19" t="s">
        <v>40</v>
      </c>
      <c r="K1369" s="34" t="s">
        <v>0</v>
      </c>
      <c r="L1369" s="62" t="s">
        <v>41</v>
      </c>
      <c r="M1369" s="34">
        <v>24850</v>
      </c>
      <c r="N1369" s="67" t="s">
        <v>42</v>
      </c>
    </row>
    <row r="1370" spans="1:14" ht="85" x14ac:dyDescent="0.2">
      <c r="B1370" s="138" t="s">
        <v>77</v>
      </c>
      <c r="C1370" s="19" t="s">
        <v>40</v>
      </c>
      <c r="K1370" s="34" t="s">
        <v>0</v>
      </c>
      <c r="L1370" s="62" t="s">
        <v>41</v>
      </c>
      <c r="M1370" s="34">
        <v>24850</v>
      </c>
      <c r="N1370" s="67" t="s">
        <v>42</v>
      </c>
    </row>
    <row r="1371" spans="1:14" ht="17" x14ac:dyDescent="0.2">
      <c r="B1371" s="138" t="s">
        <v>78</v>
      </c>
      <c r="C1371" s="19" t="s">
        <v>40</v>
      </c>
      <c r="K1371" s="34" t="s">
        <v>0</v>
      </c>
      <c r="L1371" s="62" t="s">
        <v>41</v>
      </c>
      <c r="M1371" s="34">
        <v>24850</v>
      </c>
      <c r="N1371" s="67" t="s">
        <v>42</v>
      </c>
    </row>
    <row r="1372" spans="1:14" ht="17" x14ac:dyDescent="0.2">
      <c r="A1372" s="124"/>
      <c r="B1372" s="138" t="s">
        <v>79</v>
      </c>
      <c r="C1372" s="19" t="s">
        <v>40</v>
      </c>
      <c r="K1372" s="34" t="s">
        <v>0</v>
      </c>
      <c r="L1372" s="62" t="s">
        <v>41</v>
      </c>
      <c r="M1372" s="34">
        <v>24850</v>
      </c>
      <c r="N1372" s="67" t="s">
        <v>42</v>
      </c>
    </row>
    <row r="1373" spans="1:14" ht="17" x14ac:dyDescent="0.2">
      <c r="B1373" s="138" t="s">
        <v>264</v>
      </c>
      <c r="C1373" s="19" t="s">
        <v>40</v>
      </c>
      <c r="K1373" s="34" t="s">
        <v>0</v>
      </c>
      <c r="L1373" s="62" t="s">
        <v>41</v>
      </c>
      <c r="M1373" s="34">
        <v>24850</v>
      </c>
      <c r="N1373" s="67" t="s">
        <v>42</v>
      </c>
    </row>
    <row r="1374" spans="1:14" ht="17" x14ac:dyDescent="0.2">
      <c r="B1374" s="138" t="s">
        <v>81</v>
      </c>
      <c r="C1374" s="19" t="s">
        <v>40</v>
      </c>
      <c r="K1374" s="34" t="s">
        <v>0</v>
      </c>
      <c r="L1374" s="62" t="s">
        <v>41</v>
      </c>
      <c r="M1374" s="34">
        <v>24850</v>
      </c>
      <c r="N1374" s="67" t="s">
        <v>42</v>
      </c>
    </row>
    <row r="1375" spans="1:14" ht="17" x14ac:dyDescent="0.2">
      <c r="B1375" s="138" t="s">
        <v>256</v>
      </c>
      <c r="C1375" s="19" t="s">
        <v>40</v>
      </c>
      <c r="K1375" s="34" t="s">
        <v>0</v>
      </c>
      <c r="L1375" s="62" t="s">
        <v>41</v>
      </c>
      <c r="M1375" s="34">
        <v>24850</v>
      </c>
      <c r="N1375" s="67" t="s">
        <v>42</v>
      </c>
    </row>
    <row r="1376" spans="1:14" ht="17" x14ac:dyDescent="0.2">
      <c r="B1376" s="138" t="s">
        <v>83</v>
      </c>
      <c r="C1376" s="19" t="s">
        <v>40</v>
      </c>
      <c r="K1376" s="34" t="s">
        <v>0</v>
      </c>
      <c r="L1376" s="62" t="s">
        <v>41</v>
      </c>
      <c r="M1376" s="34">
        <v>24850</v>
      </c>
      <c r="N1376" s="67" t="s">
        <v>42</v>
      </c>
    </row>
    <row r="1377" spans="2:14" ht="17" x14ac:dyDescent="0.2">
      <c r="B1377" s="138" t="s">
        <v>84</v>
      </c>
      <c r="C1377" s="19" t="s">
        <v>40</v>
      </c>
      <c r="K1377" s="34" t="s">
        <v>0</v>
      </c>
      <c r="L1377" s="62" t="s">
        <v>41</v>
      </c>
      <c r="M1377" s="34">
        <v>24850</v>
      </c>
      <c r="N1377" s="67" t="s">
        <v>42</v>
      </c>
    </row>
    <row r="1378" spans="2:14" ht="17" x14ac:dyDescent="0.2">
      <c r="B1378" s="139" t="s">
        <v>85</v>
      </c>
      <c r="C1378" s="19" t="s">
        <v>40</v>
      </c>
      <c r="K1378" s="34" t="s">
        <v>0</v>
      </c>
      <c r="L1378" s="62" t="s">
        <v>41</v>
      </c>
      <c r="M1378" s="34">
        <v>24850</v>
      </c>
      <c r="N1378" s="67" t="s">
        <v>42</v>
      </c>
    </row>
    <row r="1379" spans="2:14" ht="17" x14ac:dyDescent="0.2">
      <c r="B1379" s="140" t="s">
        <v>86</v>
      </c>
      <c r="N1379" s="67" t="s">
        <v>45</v>
      </c>
    </row>
    <row r="1380" spans="2:14" ht="17" x14ac:dyDescent="0.2">
      <c r="B1380" s="141" t="s">
        <v>87</v>
      </c>
      <c r="C1380" s="19" t="s">
        <v>40</v>
      </c>
      <c r="K1380" s="34" t="s">
        <v>0</v>
      </c>
      <c r="L1380" s="62" t="s">
        <v>41</v>
      </c>
      <c r="M1380" s="34">
        <v>24850</v>
      </c>
      <c r="N1380" s="67" t="s">
        <v>42</v>
      </c>
    </row>
    <row r="1381" spans="2:14" ht="32" x14ac:dyDescent="0.2">
      <c r="B1381" s="140" t="s">
        <v>88</v>
      </c>
      <c r="C1381" s="19"/>
      <c r="N1381" s="67" t="s">
        <v>45</v>
      </c>
    </row>
    <row r="1382" spans="2:14" ht="32" x14ac:dyDescent="0.2">
      <c r="B1382" s="142" t="s">
        <v>89</v>
      </c>
      <c r="C1382" s="19" t="s">
        <v>40</v>
      </c>
      <c r="K1382" s="34" t="s">
        <v>0</v>
      </c>
      <c r="L1382" s="62" t="s">
        <v>41</v>
      </c>
      <c r="M1382" s="34">
        <v>24850</v>
      </c>
      <c r="N1382" s="67" t="s">
        <v>42</v>
      </c>
    </row>
    <row r="1383" spans="2:14" ht="17" x14ac:dyDescent="0.2">
      <c r="B1383" s="140" t="s">
        <v>90</v>
      </c>
      <c r="C1383" s="19"/>
      <c r="N1383" s="67" t="s">
        <v>45</v>
      </c>
    </row>
    <row r="1384" spans="2:14" ht="32" x14ac:dyDescent="0.2">
      <c r="B1384" s="142" t="s">
        <v>91</v>
      </c>
      <c r="C1384" s="19" t="s">
        <v>40</v>
      </c>
      <c r="K1384" s="34" t="s">
        <v>92</v>
      </c>
      <c r="L1384" s="62" t="s">
        <v>41</v>
      </c>
      <c r="M1384" s="34">
        <v>24850</v>
      </c>
      <c r="N1384" s="67" t="s">
        <v>42</v>
      </c>
    </row>
    <row r="1385" spans="2:14" ht="17" x14ac:dyDescent="0.2">
      <c r="B1385" s="140" t="s">
        <v>93</v>
      </c>
      <c r="C1385" s="19"/>
      <c r="N1385" s="67" t="s">
        <v>45</v>
      </c>
    </row>
    <row r="1386" spans="2:14" ht="32" x14ac:dyDescent="0.2">
      <c r="B1386" s="142" t="s">
        <v>94</v>
      </c>
      <c r="C1386" s="19" t="s">
        <v>40</v>
      </c>
      <c r="K1386" s="34" t="s">
        <v>92</v>
      </c>
      <c r="L1386" s="62" t="s">
        <v>41</v>
      </c>
      <c r="M1386" s="34">
        <v>24850</v>
      </c>
      <c r="N1386" s="67" t="s">
        <v>42</v>
      </c>
    </row>
    <row r="1387" spans="2:14" ht="48" x14ac:dyDescent="0.2">
      <c r="B1387" s="143" t="s">
        <v>95</v>
      </c>
      <c r="C1387" s="19" t="s">
        <v>40</v>
      </c>
      <c r="K1387" s="34" t="s">
        <v>92</v>
      </c>
      <c r="L1387" s="62" t="s">
        <v>41</v>
      </c>
      <c r="M1387" s="34">
        <v>24850</v>
      </c>
      <c r="N1387" s="67" t="s">
        <v>42</v>
      </c>
    </row>
    <row r="1388" spans="2:14" ht="17" x14ac:dyDescent="0.2">
      <c r="B1388" s="144" t="s">
        <v>96</v>
      </c>
      <c r="C1388" s="19" t="s">
        <v>40</v>
      </c>
      <c r="K1388" s="34" t="s">
        <v>92</v>
      </c>
      <c r="L1388" s="62" t="s">
        <v>41</v>
      </c>
      <c r="M1388" s="34">
        <v>24850</v>
      </c>
      <c r="N1388" s="67" t="s">
        <v>42</v>
      </c>
    </row>
    <row r="1389" spans="2:14" ht="32" x14ac:dyDescent="0.2">
      <c r="B1389" s="143" t="s">
        <v>97</v>
      </c>
      <c r="C1389" s="19" t="s">
        <v>40</v>
      </c>
      <c r="K1389" s="34" t="s">
        <v>92</v>
      </c>
      <c r="L1389" s="62" t="s">
        <v>41</v>
      </c>
      <c r="M1389" s="34">
        <v>24850</v>
      </c>
      <c r="N1389" s="67" t="s">
        <v>42</v>
      </c>
    </row>
    <row r="1390" spans="2:14" ht="17" x14ac:dyDescent="0.2">
      <c r="B1390" s="142" t="s">
        <v>98</v>
      </c>
      <c r="C1390" s="19" t="s">
        <v>40</v>
      </c>
      <c r="K1390" s="34" t="s">
        <v>92</v>
      </c>
      <c r="L1390" s="62" t="s">
        <v>41</v>
      </c>
      <c r="M1390" s="34">
        <v>24850</v>
      </c>
      <c r="N1390" s="67" t="s">
        <v>42</v>
      </c>
    </row>
    <row r="1391" spans="2:14" ht="17" x14ac:dyDescent="0.2">
      <c r="B1391" s="144" t="s">
        <v>99</v>
      </c>
      <c r="C1391" s="19" t="s">
        <v>40</v>
      </c>
      <c r="K1391" s="34" t="s">
        <v>92</v>
      </c>
      <c r="L1391" s="62" t="s">
        <v>41</v>
      </c>
      <c r="M1391" s="34">
        <v>24850</v>
      </c>
      <c r="N1391" s="67" t="s">
        <v>42</v>
      </c>
    </row>
    <row r="1392" spans="2:14" ht="17" x14ac:dyDescent="0.2">
      <c r="B1392" s="143" t="s">
        <v>100</v>
      </c>
      <c r="C1392" s="19" t="s">
        <v>40</v>
      </c>
      <c r="K1392" s="34" t="s">
        <v>92</v>
      </c>
      <c r="L1392" s="62" t="s">
        <v>41</v>
      </c>
      <c r="M1392" s="34">
        <v>24850</v>
      </c>
      <c r="N1392" s="67" t="s">
        <v>42</v>
      </c>
    </row>
    <row r="1393" spans="2:14" ht="17" x14ac:dyDescent="0.2">
      <c r="B1393" s="140" t="s">
        <v>101</v>
      </c>
      <c r="N1393" s="67" t="s">
        <v>45</v>
      </c>
    </row>
    <row r="1394" spans="2:14" ht="17" x14ac:dyDescent="0.2">
      <c r="B1394" s="141" t="s">
        <v>87</v>
      </c>
      <c r="C1394" s="19" t="s">
        <v>40</v>
      </c>
      <c r="K1394" s="34" t="s">
        <v>0</v>
      </c>
      <c r="L1394" s="62" t="s">
        <v>41</v>
      </c>
      <c r="M1394" s="34">
        <v>24850</v>
      </c>
      <c r="N1394" s="67" t="s">
        <v>42</v>
      </c>
    </row>
    <row r="1395" spans="2:14" ht="32" x14ac:dyDescent="0.2">
      <c r="B1395" s="142" t="s">
        <v>102</v>
      </c>
      <c r="C1395" s="19" t="s">
        <v>40</v>
      </c>
      <c r="K1395" s="34" t="s">
        <v>0</v>
      </c>
      <c r="L1395" s="62" t="s">
        <v>41</v>
      </c>
      <c r="M1395" s="34">
        <v>24850</v>
      </c>
      <c r="N1395" s="67" t="s">
        <v>42</v>
      </c>
    </row>
    <row r="1396" spans="2:14" ht="48" x14ac:dyDescent="0.2">
      <c r="B1396" s="143" t="s">
        <v>113</v>
      </c>
      <c r="C1396" s="19" t="s">
        <v>40</v>
      </c>
      <c r="K1396" s="34" t="s">
        <v>0</v>
      </c>
      <c r="L1396" s="62" t="s">
        <v>41</v>
      </c>
      <c r="M1396" s="34">
        <v>24850</v>
      </c>
      <c r="N1396" s="67" t="s">
        <v>42</v>
      </c>
    </row>
    <row r="1397" spans="2:14" ht="17" x14ac:dyDescent="0.2">
      <c r="B1397" s="144" t="s">
        <v>96</v>
      </c>
      <c r="C1397" s="19" t="s">
        <v>40</v>
      </c>
      <c r="K1397" s="34" t="s">
        <v>0</v>
      </c>
      <c r="L1397" s="62" t="s">
        <v>41</v>
      </c>
      <c r="M1397" s="34">
        <v>24850</v>
      </c>
      <c r="N1397" s="67" t="s">
        <v>42</v>
      </c>
    </row>
    <row r="1398" spans="2:14" ht="32" x14ac:dyDescent="0.2">
      <c r="B1398" s="143" t="s">
        <v>97</v>
      </c>
      <c r="C1398" s="19" t="s">
        <v>40</v>
      </c>
      <c r="K1398" s="34" t="s">
        <v>0</v>
      </c>
      <c r="L1398" s="62" t="s">
        <v>41</v>
      </c>
      <c r="M1398" s="34">
        <v>24850</v>
      </c>
      <c r="N1398" s="67" t="s">
        <v>42</v>
      </c>
    </row>
    <row r="1399" spans="2:14" ht="32" x14ac:dyDescent="0.2">
      <c r="B1399" s="142" t="s">
        <v>114</v>
      </c>
      <c r="C1399" s="19" t="s">
        <v>40</v>
      </c>
      <c r="K1399" s="34" t="s">
        <v>0</v>
      </c>
      <c r="L1399" s="62" t="s">
        <v>41</v>
      </c>
      <c r="M1399" s="34">
        <v>24850</v>
      </c>
      <c r="N1399" s="67" t="s">
        <v>42</v>
      </c>
    </row>
    <row r="1400" spans="2:14" ht="17" x14ac:dyDescent="0.2">
      <c r="B1400" s="144" t="s">
        <v>99</v>
      </c>
      <c r="C1400" s="19" t="s">
        <v>40</v>
      </c>
      <c r="K1400" s="34" t="s">
        <v>0</v>
      </c>
      <c r="L1400" s="62" t="s">
        <v>41</v>
      </c>
      <c r="M1400" s="34">
        <v>24850</v>
      </c>
      <c r="N1400" s="67" t="s">
        <v>42</v>
      </c>
    </row>
    <row r="1401" spans="2:14" ht="17" x14ac:dyDescent="0.2">
      <c r="B1401" s="143" t="s">
        <v>115</v>
      </c>
      <c r="C1401" s="19" t="s">
        <v>40</v>
      </c>
      <c r="K1401" s="34" t="s">
        <v>0</v>
      </c>
      <c r="L1401" s="62" t="s">
        <v>41</v>
      </c>
      <c r="M1401" s="34">
        <v>24850</v>
      </c>
      <c r="N1401" s="67" t="s">
        <v>42</v>
      </c>
    </row>
    <row r="1402" spans="2:14" ht="34" x14ac:dyDescent="0.2">
      <c r="B1402" s="132" t="s">
        <v>116</v>
      </c>
      <c r="N1402" s="67" t="s">
        <v>45</v>
      </c>
    </row>
    <row r="1403" spans="2:14" ht="64" x14ac:dyDescent="0.2">
      <c r="B1403" s="143" t="s">
        <v>117</v>
      </c>
      <c r="C1403" s="19" t="s">
        <v>40</v>
      </c>
      <c r="K1403" s="34" t="s">
        <v>92</v>
      </c>
      <c r="L1403" s="62" t="s">
        <v>41</v>
      </c>
      <c r="M1403" s="34">
        <v>24850</v>
      </c>
      <c r="N1403" s="67" t="s">
        <v>42</v>
      </c>
    </row>
    <row r="1404" spans="2:14" ht="64" x14ac:dyDescent="0.2">
      <c r="B1404" s="143" t="s">
        <v>118</v>
      </c>
      <c r="C1404" s="19" t="s">
        <v>40</v>
      </c>
      <c r="K1404" s="34" t="s">
        <v>92</v>
      </c>
      <c r="L1404" s="62" t="s">
        <v>41</v>
      </c>
      <c r="M1404" s="34">
        <v>24850</v>
      </c>
      <c r="N1404" s="67" t="s">
        <v>42</v>
      </c>
    </row>
    <row r="1405" spans="2:14" ht="17" x14ac:dyDescent="0.2">
      <c r="B1405" s="143" t="s">
        <v>119</v>
      </c>
      <c r="C1405" s="19" t="s">
        <v>40</v>
      </c>
      <c r="K1405" s="34" t="s">
        <v>92</v>
      </c>
      <c r="L1405" s="62" t="s">
        <v>41</v>
      </c>
      <c r="M1405" s="34">
        <v>24850</v>
      </c>
      <c r="N1405" s="67" t="s">
        <v>42</v>
      </c>
    </row>
    <row r="1406" spans="2:14" ht="32" x14ac:dyDescent="0.2">
      <c r="B1406" s="143" t="s">
        <v>120</v>
      </c>
      <c r="C1406" s="19" t="s">
        <v>40</v>
      </c>
      <c r="K1406" s="34" t="s">
        <v>92</v>
      </c>
      <c r="L1406" s="62" t="s">
        <v>41</v>
      </c>
      <c r="M1406" s="34">
        <v>24850</v>
      </c>
      <c r="N1406" s="67" t="s">
        <v>42</v>
      </c>
    </row>
    <row r="1407" spans="2:14" ht="17" x14ac:dyDescent="0.2">
      <c r="B1407" s="128" t="s">
        <v>121</v>
      </c>
      <c r="C1407" s="19"/>
      <c r="N1407" s="67" t="s">
        <v>45</v>
      </c>
    </row>
    <row r="1408" spans="2:14" ht="17" x14ac:dyDescent="0.2">
      <c r="B1408" s="145" t="s">
        <v>122</v>
      </c>
      <c r="C1408" s="19" t="s">
        <v>40</v>
      </c>
      <c r="K1408" s="34" t="s">
        <v>0</v>
      </c>
      <c r="L1408" s="62" t="s">
        <v>41</v>
      </c>
      <c r="M1408" s="34">
        <v>24850</v>
      </c>
      <c r="N1408" s="67" t="s">
        <v>42</v>
      </c>
    </row>
    <row r="1409" spans="2:14" ht="17" x14ac:dyDescent="0.2">
      <c r="B1409" s="139" t="s">
        <v>123</v>
      </c>
      <c r="C1409" s="19" t="s">
        <v>40</v>
      </c>
      <c r="K1409" s="34" t="s">
        <v>0</v>
      </c>
      <c r="L1409" s="62" t="s">
        <v>41</v>
      </c>
      <c r="M1409" s="34">
        <v>24850</v>
      </c>
      <c r="N1409" s="67" t="s">
        <v>42</v>
      </c>
    </row>
    <row r="1410" spans="2:14" ht="17" x14ac:dyDescent="0.2">
      <c r="B1410" s="139" t="s">
        <v>124</v>
      </c>
      <c r="C1410" s="19" t="s">
        <v>40</v>
      </c>
      <c r="K1410" s="34" t="s">
        <v>0</v>
      </c>
      <c r="L1410" s="62" t="s">
        <v>41</v>
      </c>
      <c r="M1410" s="34">
        <v>24850</v>
      </c>
      <c r="N1410" s="67" t="s">
        <v>42</v>
      </c>
    </row>
    <row r="1411" spans="2:14" ht="17" x14ac:dyDescent="0.2">
      <c r="B1411" s="139" t="s">
        <v>125</v>
      </c>
      <c r="C1411" s="19" t="s">
        <v>40</v>
      </c>
      <c r="K1411" s="34" t="s">
        <v>0</v>
      </c>
      <c r="L1411" s="62" t="s">
        <v>41</v>
      </c>
      <c r="M1411" s="34">
        <v>24850</v>
      </c>
      <c r="N1411" s="67" t="s">
        <v>42</v>
      </c>
    </row>
    <row r="1412" spans="2:14" ht="17" x14ac:dyDescent="0.2">
      <c r="B1412" s="145" t="s">
        <v>126</v>
      </c>
      <c r="C1412" s="19" t="s">
        <v>40</v>
      </c>
      <c r="K1412" s="34" t="s">
        <v>0</v>
      </c>
      <c r="L1412" s="62" t="s">
        <v>41</v>
      </c>
      <c r="M1412" s="34">
        <v>24850</v>
      </c>
      <c r="N1412" s="67" t="s">
        <v>42</v>
      </c>
    </row>
    <row r="1413" spans="2:14" ht="17" x14ac:dyDescent="0.2">
      <c r="B1413" s="138" t="s">
        <v>127</v>
      </c>
      <c r="C1413" s="19" t="s">
        <v>40</v>
      </c>
      <c r="K1413" s="34" t="s">
        <v>0</v>
      </c>
      <c r="L1413" s="62" t="s">
        <v>41</v>
      </c>
      <c r="M1413" s="34">
        <v>24850</v>
      </c>
      <c r="N1413" s="67" t="s">
        <v>42</v>
      </c>
    </row>
    <row r="1414" spans="2:14" ht="17" x14ac:dyDescent="0.2">
      <c r="B1414" s="138" t="s">
        <v>265</v>
      </c>
      <c r="C1414" s="19" t="s">
        <v>40</v>
      </c>
      <c r="K1414" s="34" t="s">
        <v>0</v>
      </c>
      <c r="L1414" s="62" t="s">
        <v>41</v>
      </c>
      <c r="M1414" s="34">
        <v>24850</v>
      </c>
      <c r="N1414" s="67" t="s">
        <v>42</v>
      </c>
    </row>
    <row r="1415" spans="2:14" ht="17" x14ac:dyDescent="0.2">
      <c r="B1415" s="146" t="s">
        <v>129</v>
      </c>
      <c r="C1415" s="19" t="s">
        <v>40</v>
      </c>
      <c r="K1415" s="34" t="s">
        <v>0</v>
      </c>
      <c r="L1415" s="62" t="s">
        <v>41</v>
      </c>
      <c r="M1415" s="34">
        <v>24850</v>
      </c>
      <c r="N1415" s="67" t="s">
        <v>42</v>
      </c>
    </row>
    <row r="1416" spans="2:14" ht="17" x14ac:dyDescent="0.2">
      <c r="B1416" s="138" t="s">
        <v>257</v>
      </c>
      <c r="C1416" s="19" t="s">
        <v>40</v>
      </c>
      <c r="K1416" s="34" t="s">
        <v>0</v>
      </c>
      <c r="L1416" s="62" t="s">
        <v>41</v>
      </c>
      <c r="M1416" s="34">
        <v>24850</v>
      </c>
      <c r="N1416" s="67" t="s">
        <v>42</v>
      </c>
    </row>
    <row r="1417" spans="2:14" ht="17" x14ac:dyDescent="0.2">
      <c r="B1417" s="147" t="s">
        <v>131</v>
      </c>
      <c r="C1417" s="19" t="s">
        <v>40</v>
      </c>
      <c r="K1417" s="34" t="s">
        <v>0</v>
      </c>
      <c r="L1417" s="62" t="s">
        <v>41</v>
      </c>
      <c r="M1417" s="34">
        <v>24850</v>
      </c>
      <c r="N1417" s="67" t="s">
        <v>42</v>
      </c>
    </row>
    <row r="1418" spans="2:14" ht="17" x14ac:dyDescent="0.2">
      <c r="B1418" s="147" t="s">
        <v>132</v>
      </c>
      <c r="C1418" s="19" t="s">
        <v>40</v>
      </c>
      <c r="K1418" s="34" t="s">
        <v>0</v>
      </c>
      <c r="L1418" s="62" t="s">
        <v>41</v>
      </c>
      <c r="M1418" s="34">
        <v>24850</v>
      </c>
      <c r="N1418" s="67" t="s">
        <v>42</v>
      </c>
    </row>
    <row r="1419" spans="2:14" ht="17" x14ac:dyDescent="0.2">
      <c r="B1419" s="147" t="s">
        <v>133</v>
      </c>
      <c r="C1419" s="19" t="s">
        <v>40</v>
      </c>
      <c r="K1419" s="34" t="s">
        <v>0</v>
      </c>
      <c r="L1419" s="62" t="s">
        <v>41</v>
      </c>
      <c r="M1419" s="34">
        <v>24850</v>
      </c>
      <c r="N1419" s="67" t="s">
        <v>42</v>
      </c>
    </row>
    <row r="1420" spans="2:14" ht="17" x14ac:dyDescent="0.2">
      <c r="B1420" s="147" t="s">
        <v>134</v>
      </c>
      <c r="C1420" s="19" t="s">
        <v>40</v>
      </c>
      <c r="K1420" s="34" t="s">
        <v>0</v>
      </c>
      <c r="L1420" s="62" t="s">
        <v>41</v>
      </c>
      <c r="M1420" s="34">
        <v>24850</v>
      </c>
      <c r="N1420" s="67" t="s">
        <v>42</v>
      </c>
    </row>
    <row r="1421" spans="2:14" ht="17" x14ac:dyDescent="0.2">
      <c r="B1421" s="147" t="s">
        <v>135</v>
      </c>
      <c r="C1421" s="19" t="s">
        <v>40</v>
      </c>
      <c r="K1421" s="34" t="s">
        <v>0</v>
      </c>
      <c r="L1421" s="62" t="s">
        <v>41</v>
      </c>
      <c r="M1421" s="34">
        <v>24850</v>
      </c>
      <c r="N1421" s="67" t="s">
        <v>42</v>
      </c>
    </row>
    <row r="1422" spans="2:14" ht="17" x14ac:dyDescent="0.2">
      <c r="B1422" s="147" t="s">
        <v>136</v>
      </c>
      <c r="C1422" s="19" t="s">
        <v>40</v>
      </c>
      <c r="K1422" s="34" t="s">
        <v>0</v>
      </c>
      <c r="L1422" s="62" t="s">
        <v>41</v>
      </c>
      <c r="M1422" s="34">
        <v>24850</v>
      </c>
      <c r="N1422" s="67" t="s">
        <v>42</v>
      </c>
    </row>
    <row r="1423" spans="2:14" ht="23" x14ac:dyDescent="0.3">
      <c r="B1423" s="148" t="s">
        <v>137</v>
      </c>
      <c r="C1423" s="19"/>
      <c r="N1423" s="67" t="s">
        <v>45</v>
      </c>
    </row>
    <row r="1424" spans="2:14" ht="23" x14ac:dyDescent="0.3">
      <c r="B1424" s="148" t="s">
        <v>138</v>
      </c>
      <c r="C1424" s="19"/>
      <c r="N1424" s="67" t="s">
        <v>45</v>
      </c>
    </row>
    <row r="1425" spans="2:14" ht="17" x14ac:dyDescent="0.2">
      <c r="B1425" s="147" t="s">
        <v>139</v>
      </c>
      <c r="C1425" s="19" t="s">
        <v>40</v>
      </c>
      <c r="K1425" s="34" t="s">
        <v>0</v>
      </c>
      <c r="L1425" s="62" t="s">
        <v>41</v>
      </c>
      <c r="M1425" s="34">
        <v>24850</v>
      </c>
      <c r="N1425" s="67" t="s">
        <v>42</v>
      </c>
    </row>
    <row r="1426" spans="2:14" ht="17" x14ac:dyDescent="0.2">
      <c r="B1426" s="147" t="s">
        <v>140</v>
      </c>
      <c r="C1426" s="19" t="s">
        <v>40</v>
      </c>
      <c r="K1426" s="34" t="s">
        <v>0</v>
      </c>
      <c r="L1426" s="62" t="s">
        <v>41</v>
      </c>
      <c r="M1426" s="34">
        <v>24850</v>
      </c>
      <c r="N1426" s="67" t="s">
        <v>42</v>
      </c>
    </row>
    <row r="1427" spans="2:14" ht="17" x14ac:dyDescent="0.2">
      <c r="B1427" s="147" t="s">
        <v>141</v>
      </c>
      <c r="C1427" s="19" t="s">
        <v>40</v>
      </c>
      <c r="K1427" s="34" t="s">
        <v>0</v>
      </c>
      <c r="L1427" s="62" t="s">
        <v>41</v>
      </c>
      <c r="M1427" s="34">
        <v>24850</v>
      </c>
      <c r="N1427" s="67" t="s">
        <v>42</v>
      </c>
    </row>
    <row r="1428" spans="2:14" ht="17" x14ac:dyDescent="0.2">
      <c r="B1428" s="147" t="s">
        <v>266</v>
      </c>
      <c r="C1428" s="19" t="s">
        <v>40</v>
      </c>
      <c r="K1428" s="34" t="s">
        <v>0</v>
      </c>
      <c r="L1428" s="62" t="s">
        <v>41</v>
      </c>
      <c r="M1428" s="34">
        <v>24850</v>
      </c>
      <c r="N1428" s="67" t="s">
        <v>42</v>
      </c>
    </row>
    <row r="1429" spans="2:14" ht="17" x14ac:dyDescent="0.2">
      <c r="B1429" s="147" t="s">
        <v>258</v>
      </c>
      <c r="C1429" s="19" t="s">
        <v>40</v>
      </c>
      <c r="K1429" s="34" t="s">
        <v>0</v>
      </c>
      <c r="L1429" s="62" t="s">
        <v>41</v>
      </c>
      <c r="M1429" s="34">
        <v>24850</v>
      </c>
      <c r="N1429" s="67" t="s">
        <v>42</v>
      </c>
    </row>
    <row r="1430" spans="2:14" ht="23" x14ac:dyDescent="0.3">
      <c r="B1430" s="148" t="s">
        <v>144</v>
      </c>
      <c r="C1430" s="19"/>
      <c r="N1430" s="67" t="s">
        <v>45</v>
      </c>
    </row>
    <row r="1431" spans="2:14" ht="17" x14ac:dyDescent="0.2">
      <c r="B1431" s="147" t="s">
        <v>145</v>
      </c>
      <c r="C1431" s="19" t="s">
        <v>40</v>
      </c>
      <c r="K1431" s="34" t="s">
        <v>0</v>
      </c>
      <c r="L1431" s="62" t="s">
        <v>41</v>
      </c>
      <c r="M1431" s="34">
        <v>24850</v>
      </c>
      <c r="N1431" s="67" t="s">
        <v>42</v>
      </c>
    </row>
    <row r="1432" spans="2:14" ht="17" x14ac:dyDescent="0.2">
      <c r="B1432" s="147" t="s">
        <v>146</v>
      </c>
      <c r="C1432" s="19" t="s">
        <v>40</v>
      </c>
      <c r="K1432" s="34" t="s">
        <v>0</v>
      </c>
      <c r="L1432" s="62" t="s">
        <v>41</v>
      </c>
      <c r="M1432" s="34">
        <v>24850</v>
      </c>
      <c r="N1432" s="67" t="s">
        <v>42</v>
      </c>
    </row>
    <row r="1433" spans="2:14" ht="34" x14ac:dyDescent="0.2">
      <c r="B1433" s="147" t="s">
        <v>267</v>
      </c>
      <c r="C1433" s="19" t="s">
        <v>40</v>
      </c>
      <c r="K1433" s="34" t="s">
        <v>0</v>
      </c>
      <c r="L1433" s="62" t="s">
        <v>41</v>
      </c>
      <c r="M1433" s="34">
        <v>24850</v>
      </c>
      <c r="N1433" s="67" t="s">
        <v>42</v>
      </c>
    </row>
    <row r="1434" spans="2:14" ht="17" x14ac:dyDescent="0.2">
      <c r="B1434" s="147" t="s">
        <v>148</v>
      </c>
      <c r="C1434" s="19" t="s">
        <v>40</v>
      </c>
      <c r="K1434" s="34" t="s">
        <v>0</v>
      </c>
      <c r="L1434" s="62" t="s">
        <v>41</v>
      </c>
      <c r="M1434" s="34">
        <v>24850</v>
      </c>
      <c r="N1434" s="67" t="s">
        <v>42</v>
      </c>
    </row>
    <row r="1435" spans="2:14" ht="34" x14ac:dyDescent="0.2">
      <c r="B1435" s="147" t="s">
        <v>259</v>
      </c>
      <c r="C1435" s="19" t="s">
        <v>40</v>
      </c>
      <c r="K1435" s="34" t="s">
        <v>0</v>
      </c>
      <c r="L1435" s="62" t="s">
        <v>41</v>
      </c>
      <c r="M1435" s="34">
        <v>24850</v>
      </c>
      <c r="N1435" s="67" t="s">
        <v>42</v>
      </c>
    </row>
    <row r="1436" spans="2:14" ht="20" x14ac:dyDescent="0.25">
      <c r="B1436" s="149" t="s">
        <v>150</v>
      </c>
      <c r="C1436" s="19"/>
      <c r="N1436" s="67" t="s">
        <v>45</v>
      </c>
    </row>
    <row r="1437" spans="2:14" ht="17" x14ac:dyDescent="0.2">
      <c r="B1437" s="150" t="s">
        <v>151</v>
      </c>
      <c r="C1437" s="19"/>
      <c r="N1437" s="67" t="s">
        <v>45</v>
      </c>
    </row>
    <row r="1438" spans="2:14" ht="17" x14ac:dyDescent="0.2">
      <c r="B1438" s="151" t="s">
        <v>152</v>
      </c>
      <c r="C1438" s="19" t="s">
        <v>40</v>
      </c>
      <c r="K1438" s="34" t="s">
        <v>0</v>
      </c>
      <c r="L1438" s="62" t="s">
        <v>41</v>
      </c>
      <c r="M1438" s="34">
        <v>24850</v>
      </c>
      <c r="N1438" s="67" t="s">
        <v>42</v>
      </c>
    </row>
    <row r="1439" spans="2:14" ht="17" x14ac:dyDescent="0.2">
      <c r="B1439" s="151" t="s">
        <v>153</v>
      </c>
      <c r="C1439" s="19" t="s">
        <v>40</v>
      </c>
      <c r="K1439" s="34" t="s">
        <v>0</v>
      </c>
      <c r="L1439" s="62" t="s">
        <v>41</v>
      </c>
      <c r="M1439" s="34">
        <v>24850</v>
      </c>
      <c r="N1439" s="67" t="s">
        <v>42</v>
      </c>
    </row>
    <row r="1440" spans="2:14" ht="17" x14ac:dyDescent="0.2">
      <c r="B1440" s="152" t="s">
        <v>154</v>
      </c>
      <c r="C1440" s="19" t="s">
        <v>40</v>
      </c>
      <c r="K1440" s="34" t="s">
        <v>0</v>
      </c>
      <c r="L1440" s="62" t="s">
        <v>41</v>
      </c>
      <c r="M1440" s="34">
        <v>24850</v>
      </c>
      <c r="N1440" s="67" t="s">
        <v>42</v>
      </c>
    </row>
    <row r="1441" spans="2:14" ht="17" x14ac:dyDescent="0.2">
      <c r="B1441" s="143" t="s">
        <v>155</v>
      </c>
      <c r="C1441" s="19" t="s">
        <v>40</v>
      </c>
      <c r="K1441" s="34" t="s">
        <v>0</v>
      </c>
      <c r="L1441" s="62" t="s">
        <v>41</v>
      </c>
      <c r="M1441" s="34">
        <v>24850</v>
      </c>
      <c r="N1441" s="67" t="s">
        <v>42</v>
      </c>
    </row>
    <row r="1442" spans="2:14" ht="17" x14ac:dyDescent="0.2">
      <c r="B1442" s="153" t="s">
        <v>156</v>
      </c>
      <c r="N1442" s="67" t="s">
        <v>45</v>
      </c>
    </row>
    <row r="1443" spans="2:14" ht="17" x14ac:dyDescent="0.2">
      <c r="B1443" s="153" t="s">
        <v>157</v>
      </c>
      <c r="C1443" s="19"/>
      <c r="N1443" s="67" t="s">
        <v>45</v>
      </c>
    </row>
    <row r="1444" spans="2:14" ht="17" x14ac:dyDescent="0.2">
      <c r="B1444" s="154" t="s">
        <v>158</v>
      </c>
      <c r="C1444" s="19" t="s">
        <v>40</v>
      </c>
      <c r="K1444" s="34" t="s">
        <v>0</v>
      </c>
      <c r="L1444" s="62" t="s">
        <v>41</v>
      </c>
      <c r="M1444" s="34">
        <v>24850</v>
      </c>
      <c r="N1444" s="67" t="s">
        <v>42</v>
      </c>
    </row>
    <row r="1445" spans="2:14" ht="17" x14ac:dyDescent="0.2">
      <c r="B1445" s="155" t="s">
        <v>159</v>
      </c>
      <c r="C1445" s="19" t="s">
        <v>40</v>
      </c>
      <c r="K1445" s="34" t="s">
        <v>0</v>
      </c>
      <c r="L1445" s="62" t="s">
        <v>41</v>
      </c>
      <c r="M1445" s="34">
        <v>24850</v>
      </c>
      <c r="N1445" s="67" t="s">
        <v>42</v>
      </c>
    </row>
    <row r="1446" spans="2:14" ht="17" x14ac:dyDescent="0.2">
      <c r="B1446" s="151" t="s">
        <v>160</v>
      </c>
      <c r="C1446" s="19" t="s">
        <v>40</v>
      </c>
      <c r="K1446" s="34" t="s">
        <v>0</v>
      </c>
      <c r="L1446" s="62" t="s">
        <v>41</v>
      </c>
      <c r="M1446" s="34">
        <v>24850</v>
      </c>
      <c r="N1446" s="67" t="s">
        <v>42</v>
      </c>
    </row>
    <row r="1447" spans="2:14" ht="17" x14ac:dyDescent="0.2">
      <c r="B1447" s="153" t="s">
        <v>161</v>
      </c>
      <c r="C1447" s="19"/>
      <c r="N1447" s="67" t="s">
        <v>45</v>
      </c>
    </row>
    <row r="1448" spans="2:14" ht="17" x14ac:dyDescent="0.2">
      <c r="B1448" s="157" t="s">
        <v>168</v>
      </c>
      <c r="N1448" s="67" t="s">
        <v>45</v>
      </c>
    </row>
    <row r="1449" spans="2:14" ht="51" x14ac:dyDescent="0.2">
      <c r="B1449" s="158" t="s">
        <v>169</v>
      </c>
      <c r="C1449" s="19" t="s">
        <v>40</v>
      </c>
      <c r="K1449" s="34" t="s">
        <v>0</v>
      </c>
      <c r="L1449" s="62" t="s">
        <v>41</v>
      </c>
      <c r="M1449" s="34">
        <v>24850</v>
      </c>
      <c r="N1449" s="67" t="s">
        <v>42</v>
      </c>
    </row>
    <row r="1450" spans="2:14" ht="17" x14ac:dyDescent="0.2">
      <c r="B1450" s="159" t="s">
        <v>170</v>
      </c>
      <c r="C1450" s="19" t="s">
        <v>40</v>
      </c>
      <c r="K1450" s="34" t="s">
        <v>0</v>
      </c>
      <c r="L1450" s="62" t="s">
        <v>41</v>
      </c>
      <c r="M1450" s="34">
        <v>24850</v>
      </c>
      <c r="N1450" s="67" t="s">
        <v>42</v>
      </c>
    </row>
    <row r="1451" spans="2:14" ht="17" x14ac:dyDescent="0.2">
      <c r="B1451" s="157" t="s">
        <v>171</v>
      </c>
      <c r="C1451" s="19"/>
      <c r="N1451" s="67" t="s">
        <v>45</v>
      </c>
    </row>
    <row r="1452" spans="2:14" ht="48" x14ac:dyDescent="0.2">
      <c r="B1452" s="144" t="s">
        <v>172</v>
      </c>
      <c r="C1452" s="19" t="s">
        <v>40</v>
      </c>
      <c r="K1452" s="34" t="s">
        <v>0</v>
      </c>
      <c r="L1452" s="62" t="s">
        <v>41</v>
      </c>
      <c r="M1452" s="34">
        <v>24850</v>
      </c>
      <c r="N1452" s="67" t="s">
        <v>42</v>
      </c>
    </row>
    <row r="1453" spans="2:14" ht="17" x14ac:dyDescent="0.2">
      <c r="B1453" s="160" t="s">
        <v>173</v>
      </c>
      <c r="C1453" s="19" t="s">
        <v>40</v>
      </c>
      <c r="K1453" s="34" t="s">
        <v>0</v>
      </c>
      <c r="L1453" s="62" t="s">
        <v>41</v>
      </c>
      <c r="M1453" s="34">
        <v>24850</v>
      </c>
      <c r="N1453" s="67" t="s">
        <v>42</v>
      </c>
    </row>
    <row r="1454" spans="2:14" ht="17" x14ac:dyDescent="0.2">
      <c r="B1454" s="161" t="s">
        <v>174</v>
      </c>
      <c r="N1454" s="67" t="s">
        <v>45</v>
      </c>
    </row>
    <row r="1455" spans="2:14" ht="51" x14ac:dyDescent="0.2">
      <c r="B1455" s="161" t="s">
        <v>175</v>
      </c>
      <c r="C1455" s="19"/>
      <c r="N1455" s="67" t="s">
        <v>45</v>
      </c>
    </row>
    <row r="1456" spans="2:14" ht="17" x14ac:dyDescent="0.2">
      <c r="B1456" s="131" t="s">
        <v>176</v>
      </c>
      <c r="C1456" s="19" t="s">
        <v>40</v>
      </c>
      <c r="K1456" s="34" t="s">
        <v>0</v>
      </c>
      <c r="L1456" s="62" t="s">
        <v>41</v>
      </c>
      <c r="M1456" s="34">
        <v>24850</v>
      </c>
      <c r="N1456" s="67" t="s">
        <v>42</v>
      </c>
    </row>
    <row r="1457" spans="2:14" ht="17" x14ac:dyDescent="0.2">
      <c r="B1457" s="160" t="s">
        <v>177</v>
      </c>
      <c r="C1457" s="19" t="s">
        <v>40</v>
      </c>
      <c r="K1457" s="34" t="s">
        <v>0</v>
      </c>
      <c r="L1457" s="62" t="s">
        <v>41</v>
      </c>
      <c r="M1457" s="34">
        <v>24850</v>
      </c>
      <c r="N1457" s="67" t="s">
        <v>42</v>
      </c>
    </row>
    <row r="1458" spans="2:14" ht="17" x14ac:dyDescent="0.2">
      <c r="B1458" s="160" t="s">
        <v>182</v>
      </c>
      <c r="C1458" s="19" t="s">
        <v>40</v>
      </c>
      <c r="K1458" s="34" t="s">
        <v>0</v>
      </c>
      <c r="L1458" s="62" t="s">
        <v>41</v>
      </c>
      <c r="M1458" s="34">
        <v>24850</v>
      </c>
      <c r="N1458" s="67" t="s">
        <v>42</v>
      </c>
    </row>
    <row r="1459" spans="2:14" ht="68" x14ac:dyDescent="0.2">
      <c r="B1459" s="160" t="s">
        <v>183</v>
      </c>
      <c r="C1459" s="19" t="s">
        <v>40</v>
      </c>
      <c r="K1459" s="34" t="s">
        <v>0</v>
      </c>
      <c r="L1459" s="62" t="s">
        <v>41</v>
      </c>
      <c r="M1459" s="34">
        <v>24850</v>
      </c>
      <c r="N1459" s="67" t="s">
        <v>42</v>
      </c>
    </row>
    <row r="1460" spans="2:14" ht="17" x14ac:dyDescent="0.2">
      <c r="B1460" s="162" t="s">
        <v>184</v>
      </c>
      <c r="C1460" s="19" t="s">
        <v>40</v>
      </c>
      <c r="K1460" s="34" t="s">
        <v>0</v>
      </c>
      <c r="L1460" s="62" t="s">
        <v>41</v>
      </c>
      <c r="M1460" s="34">
        <v>24850</v>
      </c>
      <c r="N1460" s="67" t="s">
        <v>42</v>
      </c>
    </row>
    <row r="1461" spans="2:14" ht="17" x14ac:dyDescent="0.2">
      <c r="B1461" s="162" t="s">
        <v>185</v>
      </c>
      <c r="C1461" s="19" t="s">
        <v>40</v>
      </c>
      <c r="K1461" s="34" t="s">
        <v>0</v>
      </c>
      <c r="L1461" s="62" t="s">
        <v>41</v>
      </c>
      <c r="M1461" s="34">
        <v>24850</v>
      </c>
      <c r="N1461" s="67" t="s">
        <v>42</v>
      </c>
    </row>
    <row r="1462" spans="2:14" ht="17" x14ac:dyDescent="0.2">
      <c r="N1462" s="67" t="s">
        <v>45</v>
      </c>
    </row>
    <row r="1463" spans="2:14" ht="17" x14ac:dyDescent="0.2">
      <c r="N1463" s="67" t="s">
        <v>45</v>
      </c>
    </row>
    <row r="1464" spans="2:14" ht="25" x14ac:dyDescent="0.3">
      <c r="B1464" s="125" t="s">
        <v>268</v>
      </c>
      <c r="C1464" s="59"/>
      <c r="N1464" s="67" t="s">
        <v>45</v>
      </c>
    </row>
    <row r="1465" spans="2:14" ht="88.5" customHeight="1" x14ac:dyDescent="0.2">
      <c r="B1465" s="170" t="s">
        <v>269</v>
      </c>
      <c r="C1465" s="19"/>
      <c r="N1465" s="67" t="s">
        <v>45</v>
      </c>
    </row>
    <row r="1466" spans="2:14" ht="17" x14ac:dyDescent="0.2">
      <c r="B1466" s="127" t="s">
        <v>31</v>
      </c>
      <c r="C1466" s="19"/>
      <c r="N1466" s="67" t="s">
        <v>45</v>
      </c>
    </row>
    <row r="1467" spans="2:14" ht="17" x14ac:dyDescent="0.2">
      <c r="B1467" s="127" t="s">
        <v>32</v>
      </c>
      <c r="N1467" s="67" t="s">
        <v>45</v>
      </c>
    </row>
    <row r="1468" spans="2:14" ht="17" x14ac:dyDescent="0.2">
      <c r="B1468" s="128" t="s">
        <v>33</v>
      </c>
      <c r="N1468" s="67" t="s">
        <v>45</v>
      </c>
    </row>
    <row r="1469" spans="2:14" ht="17" x14ac:dyDescent="0.2">
      <c r="B1469" s="127" t="s">
        <v>34</v>
      </c>
      <c r="C1469" s="19"/>
      <c r="N1469" s="67" t="s">
        <v>45</v>
      </c>
    </row>
    <row r="1470" spans="2:14" ht="40" x14ac:dyDescent="0.2">
      <c r="B1470" s="241" t="s">
        <v>270</v>
      </c>
      <c r="C1470" s="19"/>
      <c r="N1470" s="67" t="s">
        <v>45</v>
      </c>
    </row>
    <row r="1471" spans="2:14" ht="51" x14ac:dyDescent="0.2">
      <c r="B1471" s="127" t="s">
        <v>35</v>
      </c>
      <c r="C1471" s="19"/>
      <c r="N1471" s="67" t="s">
        <v>45</v>
      </c>
    </row>
    <row r="1472" spans="2:14" ht="17" x14ac:dyDescent="0.2">
      <c r="B1472" s="129" t="s">
        <v>36</v>
      </c>
      <c r="C1472" s="19"/>
      <c r="N1472" s="67" t="s">
        <v>45</v>
      </c>
    </row>
    <row r="1473" spans="2:14" ht="17" x14ac:dyDescent="0.2">
      <c r="B1473" s="129" t="s">
        <v>37</v>
      </c>
      <c r="C1473" s="19"/>
      <c r="N1473" s="67" t="s">
        <v>45</v>
      </c>
    </row>
    <row r="1474" spans="2:14" ht="17" x14ac:dyDescent="0.2">
      <c r="B1474" s="128" t="s">
        <v>38</v>
      </c>
      <c r="C1474" s="19"/>
      <c r="N1474" s="67" t="s">
        <v>45</v>
      </c>
    </row>
    <row r="1475" spans="2:14" ht="32" x14ac:dyDescent="0.2">
      <c r="B1475" s="130" t="s">
        <v>39</v>
      </c>
      <c r="C1475" s="19" t="s">
        <v>40</v>
      </c>
      <c r="F1475" s="34" t="s">
        <v>0</v>
      </c>
      <c r="G1475" s="62" t="s">
        <v>41</v>
      </c>
      <c r="H1475" s="61">
        <v>17786</v>
      </c>
      <c r="N1475" s="67" t="s">
        <v>42</v>
      </c>
    </row>
    <row r="1476" spans="2:14" ht="32" x14ac:dyDescent="0.2">
      <c r="B1476" s="130" t="s">
        <v>43</v>
      </c>
      <c r="C1476" s="19" t="s">
        <v>40</v>
      </c>
      <c r="F1476" s="34" t="s">
        <v>0</v>
      </c>
      <c r="G1476" s="62" t="s">
        <v>41</v>
      </c>
      <c r="H1476" s="61">
        <v>17786</v>
      </c>
      <c r="N1476" s="67" t="s">
        <v>42</v>
      </c>
    </row>
    <row r="1477" spans="2:14" ht="17" x14ac:dyDescent="0.2">
      <c r="B1477" s="128" t="s">
        <v>44</v>
      </c>
      <c r="C1477" s="19"/>
      <c r="N1477" s="67" t="s">
        <v>45</v>
      </c>
    </row>
    <row r="1478" spans="2:14" ht="17" x14ac:dyDescent="0.2">
      <c r="B1478" s="130" t="s">
        <v>46</v>
      </c>
      <c r="C1478" s="19" t="s">
        <v>40</v>
      </c>
      <c r="F1478" s="34" t="s">
        <v>0</v>
      </c>
      <c r="G1478" s="62" t="s">
        <v>41</v>
      </c>
      <c r="H1478" s="61">
        <v>17786</v>
      </c>
      <c r="N1478" s="67" t="s">
        <v>42</v>
      </c>
    </row>
    <row r="1479" spans="2:14" ht="17" x14ac:dyDescent="0.2">
      <c r="B1479" s="128" t="s">
        <v>47</v>
      </c>
      <c r="N1479" s="67" t="s">
        <v>45</v>
      </c>
    </row>
    <row r="1480" spans="2:14" ht="17" x14ac:dyDescent="0.2">
      <c r="B1480" s="131" t="s">
        <v>48</v>
      </c>
      <c r="C1480" s="19" t="s">
        <v>40</v>
      </c>
      <c r="F1480" s="34" t="s">
        <v>0</v>
      </c>
      <c r="G1480" s="62" t="s">
        <v>41</v>
      </c>
      <c r="H1480" s="61">
        <v>17786</v>
      </c>
      <c r="N1480" s="67" t="s">
        <v>42</v>
      </c>
    </row>
    <row r="1481" spans="2:14" ht="17" x14ac:dyDescent="0.2">
      <c r="B1481" s="131" t="s">
        <v>49</v>
      </c>
      <c r="C1481" s="19" t="s">
        <v>40</v>
      </c>
      <c r="F1481" s="34" t="s">
        <v>0</v>
      </c>
      <c r="G1481" s="62" t="s">
        <v>41</v>
      </c>
      <c r="H1481" s="61">
        <v>17786</v>
      </c>
      <c r="N1481" s="67" t="s">
        <v>42</v>
      </c>
    </row>
    <row r="1482" spans="2:14" ht="34" x14ac:dyDescent="0.2">
      <c r="B1482" s="131" t="s">
        <v>50</v>
      </c>
      <c r="C1482" s="19" t="s">
        <v>40</v>
      </c>
      <c r="F1482" s="34" t="s">
        <v>0</v>
      </c>
      <c r="G1482" s="62" t="s">
        <v>41</v>
      </c>
      <c r="H1482" s="61">
        <v>17786</v>
      </c>
      <c r="N1482" s="67" t="s">
        <v>42</v>
      </c>
    </row>
    <row r="1483" spans="2:14" ht="17" x14ac:dyDescent="0.2">
      <c r="B1483" s="128" t="s">
        <v>51</v>
      </c>
      <c r="C1483" s="19"/>
      <c r="N1483" s="67" t="s">
        <v>45</v>
      </c>
    </row>
    <row r="1484" spans="2:14" ht="29.25" customHeight="1" x14ac:dyDescent="0.2">
      <c r="B1484" s="131" t="s">
        <v>52</v>
      </c>
      <c r="C1484" s="19" t="s">
        <v>40</v>
      </c>
      <c r="F1484" s="34" t="s">
        <v>0</v>
      </c>
      <c r="G1484" s="62" t="s">
        <v>41</v>
      </c>
      <c r="H1484" s="61">
        <v>17786</v>
      </c>
      <c r="N1484" s="67" t="s">
        <v>42</v>
      </c>
    </row>
    <row r="1485" spans="2:14" ht="17" x14ac:dyDescent="0.2">
      <c r="B1485" s="132" t="s">
        <v>53</v>
      </c>
      <c r="C1485" s="19"/>
      <c r="N1485" s="67" t="s">
        <v>45</v>
      </c>
    </row>
    <row r="1486" spans="2:14" ht="51" x14ac:dyDescent="0.2">
      <c r="B1486" s="133" t="s">
        <v>54</v>
      </c>
      <c r="C1486" s="19" t="s">
        <v>40</v>
      </c>
      <c r="F1486" s="34" t="s">
        <v>0</v>
      </c>
      <c r="G1486" s="62" t="s">
        <v>41</v>
      </c>
      <c r="H1486" s="61">
        <v>17786</v>
      </c>
      <c r="N1486" s="67" t="s">
        <v>42</v>
      </c>
    </row>
    <row r="1487" spans="2:14" ht="17" x14ac:dyDescent="0.2">
      <c r="B1487" s="128" t="s">
        <v>55</v>
      </c>
      <c r="C1487" s="19"/>
      <c r="N1487" s="67" t="s">
        <v>45</v>
      </c>
    </row>
    <row r="1488" spans="2:14" ht="51" x14ac:dyDescent="0.2">
      <c r="B1488" s="134" t="s">
        <v>56</v>
      </c>
      <c r="C1488" s="19" t="s">
        <v>57</v>
      </c>
      <c r="F1488" s="34" t="s">
        <v>0</v>
      </c>
      <c r="G1488" s="62" t="s">
        <v>41</v>
      </c>
      <c r="H1488" s="61">
        <v>17786</v>
      </c>
      <c r="N1488" s="67" t="s">
        <v>42</v>
      </c>
    </row>
    <row r="1489" spans="2:14" ht="17" x14ac:dyDescent="0.2">
      <c r="B1489" s="128" t="s">
        <v>58</v>
      </c>
      <c r="N1489" s="67" t="s">
        <v>45</v>
      </c>
    </row>
    <row r="1490" spans="2:14" ht="51" x14ac:dyDescent="0.2">
      <c r="B1490" s="131" t="s">
        <v>59</v>
      </c>
      <c r="C1490" s="19" t="s">
        <v>40</v>
      </c>
      <c r="F1490" s="34" t="s">
        <v>0</v>
      </c>
      <c r="G1490" s="62" t="s">
        <v>41</v>
      </c>
      <c r="H1490" s="61">
        <v>17786</v>
      </c>
      <c r="N1490" s="67" t="s">
        <v>42</v>
      </c>
    </row>
    <row r="1491" spans="2:14" ht="17" x14ac:dyDescent="0.2">
      <c r="B1491" s="132" t="s">
        <v>60</v>
      </c>
      <c r="C1491" s="19"/>
      <c r="N1491" s="67" t="s">
        <v>45</v>
      </c>
    </row>
    <row r="1492" spans="2:14" ht="17" x14ac:dyDescent="0.2">
      <c r="B1492" s="135" t="s">
        <v>61</v>
      </c>
      <c r="C1492" s="19" t="s">
        <v>40</v>
      </c>
      <c r="G1492" s="62" t="s">
        <v>41</v>
      </c>
      <c r="H1492" s="61">
        <v>17786</v>
      </c>
      <c r="N1492" s="67" t="s">
        <v>42</v>
      </c>
    </row>
    <row r="1493" spans="2:14" ht="17" x14ac:dyDescent="0.2">
      <c r="B1493" s="136" t="s">
        <v>62</v>
      </c>
      <c r="C1493" s="19" t="s">
        <v>40</v>
      </c>
      <c r="G1493" s="62" t="s">
        <v>41</v>
      </c>
      <c r="H1493" s="61">
        <v>17786</v>
      </c>
      <c r="N1493" s="67" t="s">
        <v>42</v>
      </c>
    </row>
    <row r="1494" spans="2:14" ht="96" x14ac:dyDescent="0.2">
      <c r="B1494" s="137" t="s">
        <v>63</v>
      </c>
      <c r="C1494" s="19" t="s">
        <v>40</v>
      </c>
      <c r="F1494" s="34" t="s">
        <v>0</v>
      </c>
      <c r="G1494" s="62" t="s">
        <v>41</v>
      </c>
      <c r="H1494" s="61">
        <v>17786</v>
      </c>
      <c r="N1494" s="67" t="s">
        <v>42</v>
      </c>
    </row>
    <row r="1495" spans="2:14" ht="17" x14ac:dyDescent="0.2">
      <c r="B1495" s="136" t="s">
        <v>64</v>
      </c>
      <c r="C1495" s="19" t="s">
        <v>40</v>
      </c>
      <c r="F1495" s="34" t="s">
        <v>0</v>
      </c>
      <c r="G1495" s="62" t="s">
        <v>41</v>
      </c>
      <c r="H1495" s="61">
        <v>17786</v>
      </c>
      <c r="N1495" s="67" t="s">
        <v>42</v>
      </c>
    </row>
    <row r="1496" spans="2:14" ht="17" x14ac:dyDescent="0.2">
      <c r="B1496" s="128" t="s">
        <v>65</v>
      </c>
      <c r="N1496" s="67" t="s">
        <v>45</v>
      </c>
    </row>
    <row r="1497" spans="2:14" ht="17" x14ac:dyDescent="0.2">
      <c r="B1497" s="237" t="s">
        <v>66</v>
      </c>
      <c r="C1497" s="19" t="s">
        <v>40</v>
      </c>
      <c r="F1497" s="34" t="s">
        <v>0</v>
      </c>
      <c r="G1497" s="62" t="s">
        <v>41</v>
      </c>
      <c r="H1497" s="61">
        <v>17786</v>
      </c>
      <c r="N1497" s="67" t="s">
        <v>42</v>
      </c>
    </row>
    <row r="1498" spans="2:14" ht="17" x14ac:dyDescent="0.2">
      <c r="B1498" s="138" t="s">
        <v>67</v>
      </c>
      <c r="C1498" s="19" t="s">
        <v>40</v>
      </c>
      <c r="F1498" s="34" t="s">
        <v>0</v>
      </c>
      <c r="G1498" s="62" t="s">
        <v>41</v>
      </c>
      <c r="H1498" s="61">
        <v>17786</v>
      </c>
      <c r="N1498" s="67" t="s">
        <v>42</v>
      </c>
    </row>
    <row r="1499" spans="2:14" ht="17" x14ac:dyDescent="0.2">
      <c r="B1499" s="166" t="s">
        <v>68</v>
      </c>
      <c r="C1499" s="19" t="s">
        <v>40</v>
      </c>
      <c r="F1499" s="34" t="s">
        <v>0</v>
      </c>
      <c r="G1499" s="62" t="s">
        <v>41</v>
      </c>
      <c r="H1499" s="61">
        <v>17786</v>
      </c>
      <c r="N1499" s="67" t="s">
        <v>42</v>
      </c>
    </row>
    <row r="1500" spans="2:14" ht="30" customHeight="1" x14ac:dyDescent="0.2">
      <c r="B1500" s="138" t="s">
        <v>263</v>
      </c>
      <c r="C1500" s="19" t="s">
        <v>40</v>
      </c>
      <c r="F1500" s="34" t="s">
        <v>0</v>
      </c>
      <c r="G1500" s="62" t="s">
        <v>41</v>
      </c>
      <c r="H1500" s="61">
        <v>17786</v>
      </c>
      <c r="N1500" s="67" t="s">
        <v>42</v>
      </c>
    </row>
    <row r="1501" spans="2:14" ht="17" x14ac:dyDescent="0.2">
      <c r="B1501" s="138" t="s">
        <v>70</v>
      </c>
      <c r="C1501" s="19" t="s">
        <v>40</v>
      </c>
      <c r="F1501" s="34" t="s">
        <v>0</v>
      </c>
      <c r="G1501" s="62" t="s">
        <v>41</v>
      </c>
      <c r="H1501" s="61">
        <v>17786</v>
      </c>
      <c r="N1501" s="67" t="s">
        <v>42</v>
      </c>
    </row>
    <row r="1502" spans="2:14" ht="17" x14ac:dyDescent="0.2">
      <c r="B1502" s="138" t="s">
        <v>71</v>
      </c>
      <c r="C1502" s="19" t="s">
        <v>40</v>
      </c>
      <c r="F1502" s="34" t="s">
        <v>0</v>
      </c>
      <c r="G1502" s="62" t="s">
        <v>41</v>
      </c>
      <c r="H1502" s="61">
        <v>17786</v>
      </c>
      <c r="N1502" s="67" t="s">
        <v>42</v>
      </c>
    </row>
    <row r="1503" spans="2:14" ht="17" x14ac:dyDescent="0.2">
      <c r="B1503" s="139" t="s">
        <v>72</v>
      </c>
      <c r="C1503" s="19" t="s">
        <v>40</v>
      </c>
      <c r="F1503" s="34" t="s">
        <v>0</v>
      </c>
      <c r="G1503" s="62" t="s">
        <v>41</v>
      </c>
      <c r="H1503" s="61">
        <v>17786</v>
      </c>
      <c r="N1503" s="67" t="s">
        <v>42</v>
      </c>
    </row>
    <row r="1504" spans="2:14" ht="17" x14ac:dyDescent="0.2">
      <c r="B1504" s="237" t="s">
        <v>73</v>
      </c>
      <c r="C1504" s="19" t="s">
        <v>40</v>
      </c>
      <c r="F1504" s="34" t="s">
        <v>0</v>
      </c>
      <c r="G1504" s="62" t="s">
        <v>41</v>
      </c>
      <c r="H1504" s="61">
        <v>17786</v>
      </c>
      <c r="N1504" s="67" t="s">
        <v>42</v>
      </c>
    </row>
    <row r="1505" spans="2:14" ht="17" x14ac:dyDescent="0.2">
      <c r="B1505" s="139" t="s">
        <v>74</v>
      </c>
      <c r="C1505" s="19" t="s">
        <v>40</v>
      </c>
      <c r="F1505" s="34" t="s">
        <v>0</v>
      </c>
      <c r="G1505" s="62" t="s">
        <v>41</v>
      </c>
      <c r="H1505" s="61">
        <v>17786</v>
      </c>
      <c r="N1505" s="67" t="s">
        <v>42</v>
      </c>
    </row>
    <row r="1506" spans="2:14" ht="17" x14ac:dyDescent="0.2">
      <c r="B1506" s="139" t="s">
        <v>75</v>
      </c>
      <c r="C1506" s="19" t="s">
        <v>40</v>
      </c>
      <c r="F1506" s="34" t="s">
        <v>0</v>
      </c>
      <c r="G1506" s="62" t="s">
        <v>41</v>
      </c>
      <c r="H1506" s="61">
        <v>17786</v>
      </c>
      <c r="N1506" s="67" t="s">
        <v>42</v>
      </c>
    </row>
    <row r="1507" spans="2:14" ht="17" x14ac:dyDescent="0.2">
      <c r="B1507" s="138" t="s">
        <v>76</v>
      </c>
      <c r="C1507" s="19" t="s">
        <v>40</v>
      </c>
      <c r="F1507" s="34" t="s">
        <v>0</v>
      </c>
      <c r="G1507" s="62" t="s">
        <v>41</v>
      </c>
      <c r="H1507" s="61">
        <v>17786</v>
      </c>
      <c r="N1507" s="67" t="s">
        <v>42</v>
      </c>
    </row>
    <row r="1508" spans="2:14" ht="85" x14ac:dyDescent="0.2">
      <c r="B1508" s="138" t="s">
        <v>77</v>
      </c>
      <c r="C1508" s="19" t="s">
        <v>40</v>
      </c>
      <c r="F1508" s="34" t="s">
        <v>0</v>
      </c>
      <c r="G1508" s="62" t="s">
        <v>41</v>
      </c>
      <c r="H1508" s="61">
        <v>17786</v>
      </c>
      <c r="N1508" s="67" t="s">
        <v>42</v>
      </c>
    </row>
    <row r="1509" spans="2:14" ht="17" x14ac:dyDescent="0.2">
      <c r="B1509" s="138" t="s">
        <v>78</v>
      </c>
      <c r="C1509" s="19" t="s">
        <v>40</v>
      </c>
      <c r="F1509" s="34" t="s">
        <v>0</v>
      </c>
      <c r="G1509" s="62" t="s">
        <v>41</v>
      </c>
      <c r="H1509" s="61">
        <v>17786</v>
      </c>
      <c r="N1509" s="67" t="s">
        <v>42</v>
      </c>
    </row>
    <row r="1510" spans="2:14" ht="17" x14ac:dyDescent="0.2">
      <c r="B1510" s="138" t="s">
        <v>79</v>
      </c>
      <c r="C1510" s="19" t="s">
        <v>40</v>
      </c>
      <c r="F1510" s="34" t="s">
        <v>0</v>
      </c>
      <c r="G1510" s="62" t="s">
        <v>41</v>
      </c>
      <c r="H1510" s="61">
        <v>17786</v>
      </c>
      <c r="N1510" s="67" t="s">
        <v>42</v>
      </c>
    </row>
    <row r="1511" spans="2:14" ht="17" x14ac:dyDescent="0.2">
      <c r="B1511" s="138" t="s">
        <v>264</v>
      </c>
      <c r="C1511" s="19" t="s">
        <v>40</v>
      </c>
      <c r="F1511" s="34" t="s">
        <v>0</v>
      </c>
      <c r="G1511" s="62" t="s">
        <v>41</v>
      </c>
      <c r="H1511" s="61">
        <v>17786</v>
      </c>
      <c r="N1511" s="67" t="s">
        <v>42</v>
      </c>
    </row>
    <row r="1512" spans="2:14" ht="17" x14ac:dyDescent="0.2">
      <c r="B1512" s="138" t="s">
        <v>81</v>
      </c>
      <c r="C1512" s="19" t="s">
        <v>40</v>
      </c>
      <c r="F1512" s="34" t="s">
        <v>0</v>
      </c>
      <c r="G1512" s="62" t="s">
        <v>41</v>
      </c>
      <c r="H1512" s="61">
        <v>17786</v>
      </c>
      <c r="N1512" s="67" t="s">
        <v>42</v>
      </c>
    </row>
    <row r="1513" spans="2:14" ht="17" x14ac:dyDescent="0.2">
      <c r="B1513" s="138" t="s">
        <v>82</v>
      </c>
      <c r="C1513" s="19" t="s">
        <v>40</v>
      </c>
      <c r="F1513" s="34" t="s">
        <v>0</v>
      </c>
      <c r="G1513" s="62" t="s">
        <v>41</v>
      </c>
      <c r="H1513" s="61">
        <v>17786</v>
      </c>
      <c r="N1513" s="67" t="s">
        <v>42</v>
      </c>
    </row>
    <row r="1514" spans="2:14" ht="17" x14ac:dyDescent="0.2">
      <c r="B1514" s="138" t="s">
        <v>83</v>
      </c>
      <c r="C1514" s="19" t="s">
        <v>40</v>
      </c>
      <c r="F1514" s="34" t="s">
        <v>0</v>
      </c>
      <c r="G1514" s="62" t="s">
        <v>41</v>
      </c>
      <c r="H1514" s="61">
        <v>17786</v>
      </c>
      <c r="N1514" s="67" t="s">
        <v>42</v>
      </c>
    </row>
    <row r="1515" spans="2:14" ht="17" x14ac:dyDescent="0.2">
      <c r="B1515" s="138" t="s">
        <v>84</v>
      </c>
      <c r="C1515" s="19" t="s">
        <v>40</v>
      </c>
      <c r="F1515" s="34" t="s">
        <v>0</v>
      </c>
      <c r="G1515" s="62" t="s">
        <v>41</v>
      </c>
      <c r="H1515" s="61">
        <v>17786</v>
      </c>
      <c r="N1515" s="67" t="s">
        <v>42</v>
      </c>
    </row>
    <row r="1516" spans="2:14" ht="17" x14ac:dyDescent="0.2">
      <c r="B1516" s="139" t="s">
        <v>85</v>
      </c>
      <c r="C1516" s="19" t="s">
        <v>40</v>
      </c>
      <c r="F1516" s="34" t="s">
        <v>0</v>
      </c>
      <c r="G1516" s="62" t="s">
        <v>41</v>
      </c>
      <c r="H1516" s="61">
        <v>17786</v>
      </c>
      <c r="N1516" s="67" t="s">
        <v>42</v>
      </c>
    </row>
    <row r="1517" spans="2:14" ht="17" x14ac:dyDescent="0.2">
      <c r="B1517" s="140" t="s">
        <v>86</v>
      </c>
      <c r="N1517" s="67" t="s">
        <v>45</v>
      </c>
    </row>
    <row r="1518" spans="2:14" ht="17" x14ac:dyDescent="0.2">
      <c r="B1518" s="141" t="s">
        <v>87</v>
      </c>
      <c r="C1518" s="19" t="s">
        <v>40</v>
      </c>
      <c r="F1518" s="34" t="s">
        <v>0</v>
      </c>
      <c r="G1518" s="62" t="s">
        <v>41</v>
      </c>
      <c r="H1518" s="61">
        <v>17786</v>
      </c>
      <c r="N1518" s="67" t="s">
        <v>42</v>
      </c>
    </row>
    <row r="1519" spans="2:14" ht="32" x14ac:dyDescent="0.2">
      <c r="B1519" s="140" t="s">
        <v>88</v>
      </c>
      <c r="C1519" s="19"/>
      <c r="N1519" s="67" t="s">
        <v>45</v>
      </c>
    </row>
    <row r="1520" spans="2:14" ht="32" x14ac:dyDescent="0.2">
      <c r="B1520" s="142" t="s">
        <v>89</v>
      </c>
      <c r="C1520" s="19" t="s">
        <v>40</v>
      </c>
      <c r="F1520" s="34" t="s">
        <v>0</v>
      </c>
      <c r="G1520" s="62" t="s">
        <v>41</v>
      </c>
      <c r="H1520" s="61">
        <v>17786</v>
      </c>
      <c r="N1520" s="67" t="s">
        <v>42</v>
      </c>
    </row>
    <row r="1521" spans="2:14" ht="17" x14ac:dyDescent="0.2">
      <c r="B1521" s="140" t="s">
        <v>90</v>
      </c>
      <c r="C1521" s="19"/>
      <c r="N1521" s="67" t="s">
        <v>45</v>
      </c>
    </row>
    <row r="1522" spans="2:14" ht="32" x14ac:dyDescent="0.2">
      <c r="B1522" s="142" t="s">
        <v>91</v>
      </c>
      <c r="C1522" s="19" t="s">
        <v>40</v>
      </c>
      <c r="F1522" s="34" t="s">
        <v>92</v>
      </c>
      <c r="G1522" s="62" t="s">
        <v>41</v>
      </c>
      <c r="H1522" s="61">
        <v>17786</v>
      </c>
      <c r="N1522" s="67" t="s">
        <v>42</v>
      </c>
    </row>
    <row r="1523" spans="2:14" ht="17" x14ac:dyDescent="0.2">
      <c r="B1523" s="140" t="s">
        <v>93</v>
      </c>
      <c r="C1523" s="19"/>
      <c r="N1523" s="67" t="s">
        <v>45</v>
      </c>
    </row>
    <row r="1524" spans="2:14" ht="32" x14ac:dyDescent="0.2">
      <c r="B1524" s="142" t="s">
        <v>94</v>
      </c>
      <c r="C1524" s="19" t="s">
        <v>40</v>
      </c>
      <c r="F1524" s="34" t="s">
        <v>92</v>
      </c>
      <c r="G1524" s="62" t="s">
        <v>41</v>
      </c>
      <c r="H1524" s="61">
        <v>17786</v>
      </c>
      <c r="N1524" s="67" t="s">
        <v>42</v>
      </c>
    </row>
    <row r="1525" spans="2:14" ht="48" x14ac:dyDescent="0.2">
      <c r="B1525" s="143" t="s">
        <v>95</v>
      </c>
      <c r="C1525" s="19" t="s">
        <v>40</v>
      </c>
      <c r="F1525" s="34" t="s">
        <v>92</v>
      </c>
      <c r="G1525" s="62" t="s">
        <v>41</v>
      </c>
      <c r="H1525" s="61">
        <v>17786</v>
      </c>
      <c r="N1525" s="67" t="s">
        <v>42</v>
      </c>
    </row>
    <row r="1526" spans="2:14" ht="17" x14ac:dyDescent="0.2">
      <c r="B1526" s="144" t="s">
        <v>96</v>
      </c>
      <c r="C1526" s="19" t="s">
        <v>40</v>
      </c>
      <c r="F1526" s="34" t="s">
        <v>92</v>
      </c>
      <c r="G1526" s="62" t="s">
        <v>41</v>
      </c>
      <c r="H1526" s="61">
        <v>17786</v>
      </c>
      <c r="N1526" s="67" t="s">
        <v>42</v>
      </c>
    </row>
    <row r="1527" spans="2:14" ht="32" x14ac:dyDescent="0.2">
      <c r="B1527" s="143" t="s">
        <v>97</v>
      </c>
      <c r="C1527" s="19" t="s">
        <v>40</v>
      </c>
      <c r="F1527" s="34" t="s">
        <v>92</v>
      </c>
      <c r="G1527" s="62" t="s">
        <v>41</v>
      </c>
      <c r="H1527" s="61">
        <v>17786</v>
      </c>
      <c r="N1527" s="67" t="s">
        <v>42</v>
      </c>
    </row>
    <row r="1528" spans="2:14" ht="17" x14ac:dyDescent="0.2">
      <c r="B1528" s="142" t="s">
        <v>98</v>
      </c>
      <c r="C1528" s="19" t="s">
        <v>40</v>
      </c>
      <c r="F1528" s="34" t="s">
        <v>92</v>
      </c>
      <c r="G1528" s="62" t="s">
        <v>41</v>
      </c>
      <c r="H1528" s="61">
        <v>17786</v>
      </c>
      <c r="N1528" s="67" t="s">
        <v>42</v>
      </c>
    </row>
    <row r="1529" spans="2:14" ht="17" x14ac:dyDescent="0.2">
      <c r="B1529" s="144" t="s">
        <v>99</v>
      </c>
      <c r="C1529" s="19" t="s">
        <v>40</v>
      </c>
      <c r="F1529" s="34" t="s">
        <v>92</v>
      </c>
      <c r="G1529" s="62" t="s">
        <v>41</v>
      </c>
      <c r="H1529" s="61">
        <v>17786</v>
      </c>
      <c r="N1529" s="67" t="s">
        <v>42</v>
      </c>
    </row>
    <row r="1530" spans="2:14" ht="17" x14ac:dyDescent="0.2">
      <c r="B1530" s="143" t="s">
        <v>100</v>
      </c>
      <c r="C1530" s="19" t="s">
        <v>40</v>
      </c>
      <c r="F1530" s="34" t="s">
        <v>92</v>
      </c>
      <c r="G1530" s="62" t="s">
        <v>41</v>
      </c>
      <c r="H1530" s="61">
        <v>17786</v>
      </c>
      <c r="N1530" s="67" t="s">
        <v>42</v>
      </c>
    </row>
    <row r="1531" spans="2:14" ht="17" x14ac:dyDescent="0.2">
      <c r="B1531" s="140" t="s">
        <v>101</v>
      </c>
      <c r="N1531" s="67" t="s">
        <v>45</v>
      </c>
    </row>
    <row r="1532" spans="2:14" ht="17" x14ac:dyDescent="0.2">
      <c r="B1532" s="141" t="s">
        <v>87</v>
      </c>
      <c r="C1532" s="19" t="s">
        <v>40</v>
      </c>
      <c r="F1532" s="34" t="s">
        <v>0</v>
      </c>
      <c r="G1532" s="62" t="s">
        <v>41</v>
      </c>
      <c r="H1532" s="61">
        <v>17786</v>
      </c>
      <c r="N1532" s="67" t="s">
        <v>42</v>
      </c>
    </row>
    <row r="1533" spans="2:14" ht="32" x14ac:dyDescent="0.2">
      <c r="B1533" s="142" t="s">
        <v>102</v>
      </c>
      <c r="C1533" s="19" t="s">
        <v>40</v>
      </c>
      <c r="F1533" s="34" t="s">
        <v>0</v>
      </c>
      <c r="G1533" s="62" t="s">
        <v>41</v>
      </c>
      <c r="H1533" s="61">
        <v>17786</v>
      </c>
      <c r="N1533" s="67" t="s">
        <v>42</v>
      </c>
    </row>
    <row r="1534" spans="2:14" ht="48" x14ac:dyDescent="0.2">
      <c r="B1534" s="143" t="s">
        <v>103</v>
      </c>
      <c r="C1534" s="19" t="s">
        <v>40</v>
      </c>
      <c r="F1534" s="34" t="s">
        <v>0</v>
      </c>
      <c r="G1534" s="62" t="s">
        <v>41</v>
      </c>
      <c r="H1534" s="61">
        <v>17786</v>
      </c>
      <c r="N1534" s="67" t="s">
        <v>42</v>
      </c>
    </row>
    <row r="1535" spans="2:14" ht="17" x14ac:dyDescent="0.2">
      <c r="B1535" s="144" t="s">
        <v>96</v>
      </c>
      <c r="C1535" s="19" t="s">
        <v>40</v>
      </c>
      <c r="F1535" s="34" t="s">
        <v>0</v>
      </c>
      <c r="G1535" s="62" t="s">
        <v>41</v>
      </c>
      <c r="H1535" s="61">
        <v>17786</v>
      </c>
      <c r="N1535" s="67" t="s">
        <v>42</v>
      </c>
    </row>
    <row r="1536" spans="2:14" ht="32" x14ac:dyDescent="0.2">
      <c r="B1536" s="143" t="s">
        <v>104</v>
      </c>
      <c r="C1536" s="19" t="s">
        <v>40</v>
      </c>
      <c r="F1536" s="34" t="s">
        <v>0</v>
      </c>
      <c r="G1536" s="62" t="s">
        <v>41</v>
      </c>
      <c r="H1536" s="61">
        <v>17786</v>
      </c>
      <c r="N1536" s="67" t="s">
        <v>42</v>
      </c>
    </row>
    <row r="1537" spans="2:14" ht="32" x14ac:dyDescent="0.2">
      <c r="B1537" s="142" t="s">
        <v>105</v>
      </c>
      <c r="C1537" s="19" t="s">
        <v>40</v>
      </c>
      <c r="F1537" s="34" t="s">
        <v>0</v>
      </c>
      <c r="G1537" s="62" t="s">
        <v>41</v>
      </c>
      <c r="H1537" s="61">
        <v>17786</v>
      </c>
      <c r="N1537" s="67" t="s">
        <v>42</v>
      </c>
    </row>
    <row r="1538" spans="2:14" ht="17" x14ac:dyDescent="0.2">
      <c r="B1538" s="144" t="s">
        <v>99</v>
      </c>
      <c r="C1538" s="19" t="s">
        <v>40</v>
      </c>
      <c r="F1538" s="34" t="s">
        <v>0</v>
      </c>
      <c r="G1538" s="62" t="s">
        <v>41</v>
      </c>
      <c r="H1538" s="61">
        <v>17786</v>
      </c>
      <c r="N1538" s="67" t="s">
        <v>42</v>
      </c>
    </row>
    <row r="1539" spans="2:14" ht="17" x14ac:dyDescent="0.2">
      <c r="B1539" s="143" t="s">
        <v>106</v>
      </c>
      <c r="C1539" s="19" t="s">
        <v>40</v>
      </c>
      <c r="F1539" s="34" t="s">
        <v>0</v>
      </c>
      <c r="G1539" s="62" t="s">
        <v>41</v>
      </c>
      <c r="H1539" s="61">
        <v>17786</v>
      </c>
      <c r="N1539" s="67" t="s">
        <v>42</v>
      </c>
    </row>
    <row r="1540" spans="2:14" ht="17" x14ac:dyDescent="0.2">
      <c r="B1540" s="140" t="s">
        <v>107</v>
      </c>
      <c r="N1540" s="67" t="s">
        <v>45</v>
      </c>
    </row>
    <row r="1541" spans="2:14" ht="17" x14ac:dyDescent="0.2">
      <c r="B1541" s="141" t="s">
        <v>87</v>
      </c>
      <c r="C1541" s="19" t="s">
        <v>40</v>
      </c>
      <c r="F1541" s="34" t="s">
        <v>0</v>
      </c>
      <c r="G1541" s="62" t="s">
        <v>41</v>
      </c>
      <c r="H1541" s="61">
        <v>17786</v>
      </c>
      <c r="N1541" s="67" t="s">
        <v>42</v>
      </c>
    </row>
    <row r="1542" spans="2:14" ht="32" x14ac:dyDescent="0.2">
      <c r="B1542" s="142" t="s">
        <v>102</v>
      </c>
      <c r="C1542" s="19" t="s">
        <v>40</v>
      </c>
      <c r="F1542" s="34" t="s">
        <v>0</v>
      </c>
      <c r="G1542" s="62" t="s">
        <v>41</v>
      </c>
      <c r="H1542" s="61">
        <v>17786</v>
      </c>
      <c r="N1542" s="67" t="s">
        <v>42</v>
      </c>
    </row>
    <row r="1543" spans="2:14" ht="48" x14ac:dyDescent="0.2">
      <c r="B1543" s="143" t="s">
        <v>113</v>
      </c>
      <c r="C1543" s="19" t="s">
        <v>40</v>
      </c>
      <c r="F1543" s="34" t="s">
        <v>0</v>
      </c>
      <c r="G1543" s="62" t="s">
        <v>41</v>
      </c>
      <c r="H1543" s="61">
        <v>17786</v>
      </c>
      <c r="N1543" s="67" t="s">
        <v>42</v>
      </c>
    </row>
    <row r="1544" spans="2:14" ht="17" x14ac:dyDescent="0.2">
      <c r="B1544" s="144" t="s">
        <v>96</v>
      </c>
      <c r="C1544" s="19" t="s">
        <v>40</v>
      </c>
      <c r="F1544" s="34" t="s">
        <v>0</v>
      </c>
      <c r="G1544" s="62" t="s">
        <v>41</v>
      </c>
      <c r="H1544" s="61">
        <v>17786</v>
      </c>
      <c r="N1544" s="67" t="s">
        <v>42</v>
      </c>
    </row>
    <row r="1545" spans="2:14" ht="32" x14ac:dyDescent="0.2">
      <c r="B1545" s="143" t="s">
        <v>97</v>
      </c>
      <c r="C1545" s="19" t="s">
        <v>40</v>
      </c>
      <c r="F1545" s="34" t="s">
        <v>0</v>
      </c>
      <c r="G1545" s="62" t="s">
        <v>41</v>
      </c>
      <c r="H1545" s="61">
        <v>17786</v>
      </c>
      <c r="N1545" s="67" t="s">
        <v>42</v>
      </c>
    </row>
    <row r="1546" spans="2:14" ht="32" x14ac:dyDescent="0.2">
      <c r="B1546" s="142" t="s">
        <v>114</v>
      </c>
      <c r="C1546" s="19" t="s">
        <v>40</v>
      </c>
      <c r="F1546" s="34" t="s">
        <v>0</v>
      </c>
      <c r="G1546" s="62" t="s">
        <v>41</v>
      </c>
      <c r="H1546" s="61">
        <v>17786</v>
      </c>
      <c r="N1546" s="67" t="s">
        <v>42</v>
      </c>
    </row>
    <row r="1547" spans="2:14" ht="17" x14ac:dyDescent="0.2">
      <c r="B1547" s="144" t="s">
        <v>99</v>
      </c>
      <c r="C1547" s="19" t="s">
        <v>40</v>
      </c>
      <c r="F1547" s="34" t="s">
        <v>0</v>
      </c>
      <c r="G1547" s="62" t="s">
        <v>41</v>
      </c>
      <c r="H1547" s="61">
        <v>17786</v>
      </c>
      <c r="N1547" s="67" t="s">
        <v>42</v>
      </c>
    </row>
    <row r="1548" spans="2:14" ht="17" x14ac:dyDescent="0.2">
      <c r="B1548" s="143" t="s">
        <v>115</v>
      </c>
      <c r="C1548" s="19" t="s">
        <v>40</v>
      </c>
      <c r="F1548" s="34" t="s">
        <v>0</v>
      </c>
      <c r="G1548" s="62" t="s">
        <v>41</v>
      </c>
      <c r="H1548" s="61">
        <v>17786</v>
      </c>
      <c r="N1548" s="67" t="s">
        <v>42</v>
      </c>
    </row>
    <row r="1549" spans="2:14" ht="34" x14ac:dyDescent="0.2">
      <c r="B1549" s="132" t="s">
        <v>116</v>
      </c>
      <c r="N1549" s="67" t="s">
        <v>45</v>
      </c>
    </row>
    <row r="1550" spans="2:14" ht="64" x14ac:dyDescent="0.2">
      <c r="B1550" s="143" t="s">
        <v>117</v>
      </c>
      <c r="C1550" s="19" t="s">
        <v>40</v>
      </c>
      <c r="F1550" s="34" t="s">
        <v>92</v>
      </c>
      <c r="G1550" s="62" t="s">
        <v>41</v>
      </c>
      <c r="H1550" s="61">
        <v>17786</v>
      </c>
      <c r="N1550" s="67" t="s">
        <v>42</v>
      </c>
    </row>
    <row r="1551" spans="2:14" ht="64" x14ac:dyDescent="0.2">
      <c r="B1551" s="143" t="s">
        <v>118</v>
      </c>
      <c r="C1551" s="19" t="s">
        <v>40</v>
      </c>
      <c r="F1551" s="34" t="s">
        <v>92</v>
      </c>
      <c r="G1551" s="62" t="s">
        <v>41</v>
      </c>
      <c r="H1551" s="61">
        <v>17786</v>
      </c>
      <c r="N1551" s="67" t="s">
        <v>42</v>
      </c>
    </row>
    <row r="1552" spans="2:14" ht="17" x14ac:dyDescent="0.2">
      <c r="B1552" s="143" t="s">
        <v>119</v>
      </c>
      <c r="C1552" s="19" t="s">
        <v>40</v>
      </c>
      <c r="F1552" s="34" t="s">
        <v>92</v>
      </c>
      <c r="G1552" s="62" t="s">
        <v>41</v>
      </c>
      <c r="H1552" s="61">
        <v>17786</v>
      </c>
      <c r="N1552" s="67" t="s">
        <v>42</v>
      </c>
    </row>
    <row r="1553" spans="2:14" ht="32" x14ac:dyDescent="0.2">
      <c r="B1553" s="143" t="s">
        <v>120</v>
      </c>
      <c r="C1553" s="19" t="s">
        <v>40</v>
      </c>
      <c r="F1553" s="34" t="s">
        <v>92</v>
      </c>
      <c r="G1553" s="62" t="s">
        <v>41</v>
      </c>
      <c r="H1553" s="61">
        <v>17786</v>
      </c>
      <c r="N1553" s="67" t="s">
        <v>42</v>
      </c>
    </row>
    <row r="1554" spans="2:14" ht="17" x14ac:dyDescent="0.2">
      <c r="B1554" s="128" t="s">
        <v>121</v>
      </c>
      <c r="C1554" s="19"/>
      <c r="N1554" s="67" t="s">
        <v>45</v>
      </c>
    </row>
    <row r="1555" spans="2:14" ht="17" x14ac:dyDescent="0.2">
      <c r="B1555" s="145" t="s">
        <v>122</v>
      </c>
      <c r="C1555" s="19" t="s">
        <v>40</v>
      </c>
      <c r="F1555" s="34" t="s">
        <v>0</v>
      </c>
      <c r="G1555" s="62" t="s">
        <v>41</v>
      </c>
      <c r="H1555" s="61">
        <v>17786</v>
      </c>
      <c r="N1555" s="67" t="s">
        <v>42</v>
      </c>
    </row>
    <row r="1556" spans="2:14" ht="17" x14ac:dyDescent="0.2">
      <c r="B1556" s="139" t="s">
        <v>123</v>
      </c>
      <c r="C1556" s="19" t="s">
        <v>40</v>
      </c>
      <c r="F1556" s="34" t="s">
        <v>0</v>
      </c>
      <c r="G1556" s="62" t="s">
        <v>41</v>
      </c>
      <c r="H1556" s="61">
        <v>17786</v>
      </c>
      <c r="N1556" s="67" t="s">
        <v>42</v>
      </c>
    </row>
    <row r="1557" spans="2:14" ht="17" x14ac:dyDescent="0.2">
      <c r="B1557" s="139" t="s">
        <v>124</v>
      </c>
      <c r="C1557" s="19" t="s">
        <v>40</v>
      </c>
      <c r="F1557" s="34" t="s">
        <v>0</v>
      </c>
      <c r="G1557" s="62" t="s">
        <v>41</v>
      </c>
      <c r="H1557" s="61">
        <v>17786</v>
      </c>
      <c r="N1557" s="67" t="s">
        <v>42</v>
      </c>
    </row>
    <row r="1558" spans="2:14" ht="17" x14ac:dyDescent="0.2">
      <c r="B1558" s="139" t="s">
        <v>125</v>
      </c>
      <c r="C1558" s="19" t="s">
        <v>40</v>
      </c>
      <c r="F1558" s="34" t="s">
        <v>0</v>
      </c>
      <c r="G1558" s="62" t="s">
        <v>41</v>
      </c>
      <c r="H1558" s="61">
        <v>17786</v>
      </c>
      <c r="N1558" s="67" t="s">
        <v>42</v>
      </c>
    </row>
    <row r="1559" spans="2:14" ht="17" x14ac:dyDescent="0.2">
      <c r="B1559" s="145" t="s">
        <v>126</v>
      </c>
      <c r="C1559" s="19" t="s">
        <v>40</v>
      </c>
      <c r="F1559" s="34" t="s">
        <v>0</v>
      </c>
      <c r="G1559" s="62" t="s">
        <v>41</v>
      </c>
      <c r="H1559" s="61">
        <v>17786</v>
      </c>
      <c r="N1559" s="67" t="s">
        <v>42</v>
      </c>
    </row>
    <row r="1560" spans="2:14" ht="17" x14ac:dyDescent="0.2">
      <c r="B1560" s="138" t="s">
        <v>127</v>
      </c>
      <c r="C1560" s="19" t="s">
        <v>40</v>
      </c>
      <c r="F1560" s="34" t="s">
        <v>0</v>
      </c>
      <c r="G1560" s="62" t="s">
        <v>41</v>
      </c>
      <c r="H1560" s="61">
        <v>17786</v>
      </c>
      <c r="N1560" s="67" t="s">
        <v>42</v>
      </c>
    </row>
    <row r="1561" spans="2:14" ht="17" x14ac:dyDescent="0.2">
      <c r="B1561" s="138" t="s">
        <v>265</v>
      </c>
      <c r="C1561" s="19" t="s">
        <v>40</v>
      </c>
      <c r="F1561" s="34" t="s">
        <v>0</v>
      </c>
      <c r="G1561" s="62" t="s">
        <v>41</v>
      </c>
      <c r="H1561" s="61">
        <v>17786</v>
      </c>
      <c r="N1561" s="67" t="s">
        <v>42</v>
      </c>
    </row>
    <row r="1562" spans="2:14" ht="17" x14ac:dyDescent="0.2">
      <c r="B1562" s="146" t="s">
        <v>129</v>
      </c>
      <c r="C1562" s="19" t="s">
        <v>40</v>
      </c>
      <c r="F1562" s="34" t="s">
        <v>0</v>
      </c>
      <c r="G1562" s="62" t="s">
        <v>41</v>
      </c>
      <c r="H1562" s="61">
        <v>17786</v>
      </c>
      <c r="N1562" s="67" t="s">
        <v>42</v>
      </c>
    </row>
    <row r="1563" spans="2:14" ht="17" x14ac:dyDescent="0.2">
      <c r="B1563" s="138" t="s">
        <v>130</v>
      </c>
      <c r="C1563" s="19" t="s">
        <v>40</v>
      </c>
      <c r="F1563" s="34" t="s">
        <v>0</v>
      </c>
      <c r="G1563" s="62" t="s">
        <v>41</v>
      </c>
      <c r="H1563" s="61">
        <v>17786</v>
      </c>
      <c r="N1563" s="67" t="s">
        <v>42</v>
      </c>
    </row>
    <row r="1564" spans="2:14" ht="17" x14ac:dyDescent="0.2">
      <c r="B1564" s="147" t="s">
        <v>131</v>
      </c>
      <c r="C1564" s="19" t="s">
        <v>40</v>
      </c>
      <c r="F1564" s="34" t="s">
        <v>0</v>
      </c>
      <c r="G1564" s="62" t="s">
        <v>41</v>
      </c>
      <c r="H1564" s="61">
        <v>17786</v>
      </c>
      <c r="N1564" s="67" t="s">
        <v>42</v>
      </c>
    </row>
    <row r="1565" spans="2:14" ht="17" x14ac:dyDescent="0.2">
      <c r="B1565" s="147" t="s">
        <v>132</v>
      </c>
      <c r="C1565" s="19" t="s">
        <v>40</v>
      </c>
      <c r="F1565" s="34" t="s">
        <v>0</v>
      </c>
      <c r="G1565" s="62" t="s">
        <v>41</v>
      </c>
      <c r="H1565" s="61">
        <v>17786</v>
      </c>
      <c r="N1565" s="67" t="s">
        <v>42</v>
      </c>
    </row>
    <row r="1566" spans="2:14" ht="17" x14ac:dyDescent="0.2">
      <c r="B1566" s="147" t="s">
        <v>133</v>
      </c>
      <c r="C1566" s="19" t="s">
        <v>40</v>
      </c>
      <c r="F1566" s="34" t="s">
        <v>0</v>
      </c>
      <c r="G1566" s="62" t="s">
        <v>41</v>
      </c>
      <c r="H1566" s="61">
        <v>17786</v>
      </c>
      <c r="N1566" s="67" t="s">
        <v>42</v>
      </c>
    </row>
    <row r="1567" spans="2:14" ht="17" x14ac:dyDescent="0.2">
      <c r="B1567" s="147" t="s">
        <v>134</v>
      </c>
      <c r="C1567" s="19" t="s">
        <v>40</v>
      </c>
      <c r="F1567" s="34" t="s">
        <v>0</v>
      </c>
      <c r="G1567" s="62" t="s">
        <v>41</v>
      </c>
      <c r="H1567" s="61">
        <v>17786</v>
      </c>
      <c r="N1567" s="67" t="s">
        <v>42</v>
      </c>
    </row>
    <row r="1568" spans="2:14" ht="17" x14ac:dyDescent="0.2">
      <c r="B1568" s="147" t="s">
        <v>135</v>
      </c>
      <c r="C1568" s="19" t="s">
        <v>40</v>
      </c>
      <c r="F1568" s="34" t="s">
        <v>0</v>
      </c>
      <c r="G1568" s="62" t="s">
        <v>41</v>
      </c>
      <c r="H1568" s="61">
        <v>17786</v>
      </c>
      <c r="N1568" s="67" t="s">
        <v>42</v>
      </c>
    </row>
    <row r="1569" spans="2:14" ht="17" x14ac:dyDescent="0.2">
      <c r="B1569" s="147" t="s">
        <v>136</v>
      </c>
      <c r="C1569" s="19" t="s">
        <v>40</v>
      </c>
      <c r="G1569" s="62" t="s">
        <v>41</v>
      </c>
      <c r="H1569" s="61">
        <v>17786</v>
      </c>
      <c r="N1569" s="67" t="s">
        <v>42</v>
      </c>
    </row>
    <row r="1570" spans="2:14" ht="23" x14ac:dyDescent="0.3">
      <c r="B1570" s="148" t="s">
        <v>137</v>
      </c>
      <c r="C1570" s="19"/>
      <c r="N1570" s="67" t="s">
        <v>45</v>
      </c>
    </row>
    <row r="1571" spans="2:14" ht="23" x14ac:dyDescent="0.3">
      <c r="B1571" s="148" t="s">
        <v>138</v>
      </c>
      <c r="C1571" s="19"/>
      <c r="N1571" s="67" t="s">
        <v>45</v>
      </c>
    </row>
    <row r="1572" spans="2:14" ht="17" x14ac:dyDescent="0.2">
      <c r="B1572" s="147" t="s">
        <v>139</v>
      </c>
      <c r="C1572" s="19" t="s">
        <v>40</v>
      </c>
      <c r="F1572" s="34" t="s">
        <v>0</v>
      </c>
      <c r="G1572" s="62" t="s">
        <v>41</v>
      </c>
      <c r="H1572" s="61">
        <v>17786</v>
      </c>
      <c r="N1572" s="67" t="s">
        <v>42</v>
      </c>
    </row>
    <row r="1573" spans="2:14" ht="17" x14ac:dyDescent="0.2">
      <c r="B1573" s="147" t="s">
        <v>140</v>
      </c>
      <c r="C1573" s="19" t="s">
        <v>40</v>
      </c>
      <c r="F1573" s="34" t="s">
        <v>0</v>
      </c>
      <c r="G1573" s="62" t="s">
        <v>41</v>
      </c>
      <c r="H1573" s="61">
        <v>17786</v>
      </c>
      <c r="N1573" s="67" t="s">
        <v>42</v>
      </c>
    </row>
    <row r="1574" spans="2:14" ht="17" x14ac:dyDescent="0.2">
      <c r="B1574" s="147" t="s">
        <v>141</v>
      </c>
      <c r="C1574" s="19" t="s">
        <v>40</v>
      </c>
      <c r="F1574" s="34" t="s">
        <v>0</v>
      </c>
      <c r="G1574" s="62" t="s">
        <v>41</v>
      </c>
      <c r="H1574" s="61">
        <v>17786</v>
      </c>
      <c r="N1574" s="67" t="s">
        <v>42</v>
      </c>
    </row>
    <row r="1575" spans="2:14" ht="17" x14ac:dyDescent="0.2">
      <c r="B1575" s="147" t="s">
        <v>266</v>
      </c>
      <c r="C1575" s="19" t="s">
        <v>40</v>
      </c>
      <c r="F1575" s="34" t="s">
        <v>0</v>
      </c>
      <c r="G1575" s="62" t="s">
        <v>41</v>
      </c>
      <c r="H1575" s="61">
        <v>17786</v>
      </c>
      <c r="N1575" s="67" t="s">
        <v>42</v>
      </c>
    </row>
    <row r="1576" spans="2:14" ht="17" x14ac:dyDescent="0.2">
      <c r="B1576" s="147" t="s">
        <v>143</v>
      </c>
      <c r="C1576" s="19" t="s">
        <v>40</v>
      </c>
      <c r="F1576" s="34" t="s">
        <v>0</v>
      </c>
      <c r="G1576" s="62" t="s">
        <v>41</v>
      </c>
      <c r="H1576" s="61">
        <v>17786</v>
      </c>
      <c r="N1576" s="67" t="s">
        <v>42</v>
      </c>
    </row>
    <row r="1577" spans="2:14" ht="23" x14ac:dyDescent="0.3">
      <c r="B1577" s="148" t="s">
        <v>144</v>
      </c>
      <c r="C1577" s="19"/>
      <c r="N1577" s="67" t="s">
        <v>45</v>
      </c>
    </row>
    <row r="1578" spans="2:14" ht="17" x14ac:dyDescent="0.2">
      <c r="B1578" s="147" t="s">
        <v>145</v>
      </c>
      <c r="C1578" s="19" t="s">
        <v>40</v>
      </c>
      <c r="F1578" s="34" t="s">
        <v>0</v>
      </c>
      <c r="G1578" s="62" t="s">
        <v>41</v>
      </c>
      <c r="H1578" s="61">
        <v>17786</v>
      </c>
      <c r="N1578" s="67" t="s">
        <v>42</v>
      </c>
    </row>
    <row r="1579" spans="2:14" ht="17" x14ac:dyDescent="0.2">
      <c r="B1579" s="147" t="s">
        <v>146</v>
      </c>
      <c r="C1579" s="19" t="s">
        <v>40</v>
      </c>
      <c r="F1579" s="34" t="s">
        <v>0</v>
      </c>
      <c r="G1579" s="62" t="s">
        <v>41</v>
      </c>
      <c r="H1579" s="61">
        <v>17786</v>
      </c>
      <c r="N1579" s="67" t="s">
        <v>42</v>
      </c>
    </row>
    <row r="1580" spans="2:14" ht="34" x14ac:dyDescent="0.2">
      <c r="B1580" s="147" t="s">
        <v>267</v>
      </c>
      <c r="C1580" s="19" t="s">
        <v>40</v>
      </c>
      <c r="F1580" s="34" t="s">
        <v>0</v>
      </c>
      <c r="G1580" s="62" t="s">
        <v>41</v>
      </c>
      <c r="H1580" s="61">
        <v>17786</v>
      </c>
      <c r="N1580" s="67" t="s">
        <v>42</v>
      </c>
    </row>
    <row r="1581" spans="2:14" ht="17" x14ac:dyDescent="0.2">
      <c r="B1581" s="147" t="s">
        <v>148</v>
      </c>
      <c r="C1581" s="19" t="s">
        <v>40</v>
      </c>
      <c r="F1581" s="34" t="s">
        <v>0</v>
      </c>
      <c r="G1581" s="62" t="s">
        <v>41</v>
      </c>
      <c r="H1581" s="61">
        <v>17786</v>
      </c>
      <c r="N1581" s="67" t="s">
        <v>42</v>
      </c>
    </row>
    <row r="1582" spans="2:14" ht="17" x14ac:dyDescent="0.2">
      <c r="B1582" s="147" t="s">
        <v>149</v>
      </c>
      <c r="C1582" s="19" t="s">
        <v>40</v>
      </c>
      <c r="F1582" s="34" t="s">
        <v>0</v>
      </c>
      <c r="G1582" s="62" t="s">
        <v>41</v>
      </c>
      <c r="H1582" s="61">
        <v>17786</v>
      </c>
      <c r="N1582" s="67" t="s">
        <v>42</v>
      </c>
    </row>
    <row r="1583" spans="2:14" ht="20" x14ac:dyDescent="0.25">
      <c r="B1583" s="149" t="s">
        <v>150</v>
      </c>
      <c r="C1583" s="19"/>
      <c r="N1583" s="67" t="s">
        <v>45</v>
      </c>
    </row>
    <row r="1584" spans="2:14" ht="17" x14ac:dyDescent="0.2">
      <c r="B1584" s="150" t="s">
        <v>151</v>
      </c>
      <c r="C1584" s="19"/>
      <c r="N1584" s="67" t="s">
        <v>45</v>
      </c>
    </row>
    <row r="1585" spans="2:14" ht="17" x14ac:dyDescent="0.2">
      <c r="B1585" s="151" t="s">
        <v>152</v>
      </c>
      <c r="C1585" s="19" t="s">
        <v>40</v>
      </c>
      <c r="F1585" s="34" t="s">
        <v>0</v>
      </c>
      <c r="G1585" s="62" t="s">
        <v>41</v>
      </c>
      <c r="H1585" s="61">
        <v>17786</v>
      </c>
      <c r="N1585" s="67" t="s">
        <v>42</v>
      </c>
    </row>
    <row r="1586" spans="2:14" ht="17" x14ac:dyDescent="0.2">
      <c r="B1586" s="151" t="s">
        <v>153</v>
      </c>
      <c r="C1586" s="19" t="s">
        <v>40</v>
      </c>
      <c r="F1586" s="34" t="s">
        <v>0</v>
      </c>
      <c r="G1586" s="62" t="s">
        <v>41</v>
      </c>
      <c r="H1586" s="61">
        <v>17786</v>
      </c>
      <c r="N1586" s="67" t="s">
        <v>42</v>
      </c>
    </row>
    <row r="1587" spans="2:14" ht="17" x14ac:dyDescent="0.2">
      <c r="B1587" s="152" t="s">
        <v>154</v>
      </c>
      <c r="C1587" s="19" t="s">
        <v>40</v>
      </c>
      <c r="F1587" s="34" t="s">
        <v>0</v>
      </c>
      <c r="G1587" s="62" t="s">
        <v>41</v>
      </c>
      <c r="H1587" s="61">
        <v>17786</v>
      </c>
      <c r="N1587" s="67" t="s">
        <v>42</v>
      </c>
    </row>
    <row r="1588" spans="2:14" ht="17" x14ac:dyDescent="0.2">
      <c r="B1588" s="143" t="s">
        <v>155</v>
      </c>
      <c r="C1588" s="19" t="s">
        <v>40</v>
      </c>
      <c r="F1588" s="34" t="s">
        <v>0</v>
      </c>
      <c r="G1588" s="62" t="s">
        <v>41</v>
      </c>
      <c r="H1588" s="61">
        <v>17786</v>
      </c>
      <c r="N1588" s="67" t="s">
        <v>42</v>
      </c>
    </row>
    <row r="1589" spans="2:14" ht="17" x14ac:dyDescent="0.2">
      <c r="B1589" s="153" t="s">
        <v>156</v>
      </c>
      <c r="N1589" s="67" t="s">
        <v>45</v>
      </c>
    </row>
    <row r="1590" spans="2:14" ht="17" x14ac:dyDescent="0.2">
      <c r="B1590" s="153" t="s">
        <v>157</v>
      </c>
      <c r="C1590" s="19"/>
      <c r="N1590" s="67" t="s">
        <v>45</v>
      </c>
    </row>
    <row r="1591" spans="2:14" ht="17" x14ac:dyDescent="0.2">
      <c r="B1591" s="154" t="s">
        <v>158</v>
      </c>
      <c r="C1591" s="19" t="s">
        <v>40</v>
      </c>
      <c r="F1591" s="34" t="s">
        <v>0</v>
      </c>
      <c r="G1591" s="62" t="s">
        <v>41</v>
      </c>
      <c r="H1591" s="61">
        <v>17786</v>
      </c>
      <c r="N1591" s="67" t="s">
        <v>42</v>
      </c>
    </row>
    <row r="1592" spans="2:14" ht="17" x14ac:dyDescent="0.2">
      <c r="B1592" s="155" t="s">
        <v>159</v>
      </c>
      <c r="C1592" s="19" t="s">
        <v>40</v>
      </c>
      <c r="F1592" s="34" t="s">
        <v>0</v>
      </c>
      <c r="G1592" s="62" t="s">
        <v>41</v>
      </c>
      <c r="H1592" s="61">
        <v>17786</v>
      </c>
      <c r="N1592" s="67" t="s">
        <v>42</v>
      </c>
    </row>
    <row r="1593" spans="2:14" ht="17" x14ac:dyDescent="0.2">
      <c r="B1593" s="151" t="s">
        <v>160</v>
      </c>
      <c r="C1593" s="19" t="s">
        <v>40</v>
      </c>
      <c r="F1593" s="34" t="s">
        <v>0</v>
      </c>
      <c r="G1593" s="62" t="s">
        <v>41</v>
      </c>
      <c r="H1593" s="61">
        <v>17786</v>
      </c>
      <c r="N1593" s="67" t="s">
        <v>42</v>
      </c>
    </row>
    <row r="1594" spans="2:14" ht="17" x14ac:dyDescent="0.2">
      <c r="B1594" s="153" t="s">
        <v>161</v>
      </c>
      <c r="C1594" s="19"/>
      <c r="N1594" s="67" t="s">
        <v>45</v>
      </c>
    </row>
    <row r="1595" spans="2:14" ht="17" x14ac:dyDescent="0.2">
      <c r="B1595" s="157" t="s">
        <v>168</v>
      </c>
      <c r="N1595" s="67" t="s">
        <v>45</v>
      </c>
    </row>
    <row r="1596" spans="2:14" ht="51" x14ac:dyDescent="0.2">
      <c r="B1596" s="158" t="s">
        <v>169</v>
      </c>
      <c r="C1596" s="19" t="s">
        <v>40</v>
      </c>
      <c r="F1596" s="34" t="s">
        <v>0</v>
      </c>
      <c r="G1596" s="62" t="s">
        <v>41</v>
      </c>
      <c r="H1596" s="61">
        <v>17786</v>
      </c>
      <c r="N1596" s="67" t="s">
        <v>42</v>
      </c>
    </row>
    <row r="1597" spans="2:14" ht="17" x14ac:dyDescent="0.2">
      <c r="B1597" s="159" t="s">
        <v>170</v>
      </c>
      <c r="C1597" s="19" t="s">
        <v>40</v>
      </c>
      <c r="F1597" s="34" t="s">
        <v>0</v>
      </c>
      <c r="G1597" s="62" t="s">
        <v>41</v>
      </c>
      <c r="H1597" s="61">
        <v>17786</v>
      </c>
      <c r="N1597" s="67" t="s">
        <v>42</v>
      </c>
    </row>
    <row r="1598" spans="2:14" ht="17" x14ac:dyDescent="0.2">
      <c r="B1598" s="156" t="s">
        <v>165</v>
      </c>
      <c r="C1598" s="19"/>
      <c r="N1598" s="67" t="s">
        <v>45</v>
      </c>
    </row>
    <row r="1599" spans="2:14" ht="48" x14ac:dyDescent="0.2">
      <c r="B1599" s="151" t="s">
        <v>166</v>
      </c>
      <c r="C1599" s="19" t="s">
        <v>40</v>
      </c>
      <c r="F1599" s="34" t="s">
        <v>0</v>
      </c>
      <c r="G1599" s="62" t="s">
        <v>41</v>
      </c>
      <c r="H1599" s="61">
        <v>17786</v>
      </c>
      <c r="N1599" s="67" t="s">
        <v>42</v>
      </c>
    </row>
    <row r="1600" spans="2:14" ht="17" x14ac:dyDescent="0.2">
      <c r="B1600" s="138" t="s">
        <v>167</v>
      </c>
      <c r="C1600" s="19" t="s">
        <v>40</v>
      </c>
      <c r="F1600" s="34" t="s">
        <v>0</v>
      </c>
      <c r="G1600" s="62" t="s">
        <v>41</v>
      </c>
      <c r="H1600" s="61">
        <v>17786</v>
      </c>
      <c r="N1600" s="67" t="s">
        <v>42</v>
      </c>
    </row>
    <row r="1601" spans="2:14" ht="17" x14ac:dyDescent="0.2">
      <c r="B1601" s="157" t="s">
        <v>171</v>
      </c>
      <c r="C1601" s="19"/>
      <c r="N1601" s="67" t="s">
        <v>45</v>
      </c>
    </row>
    <row r="1602" spans="2:14" ht="48" x14ac:dyDescent="0.2">
      <c r="B1602" s="144" t="s">
        <v>172</v>
      </c>
      <c r="C1602" s="19" t="s">
        <v>40</v>
      </c>
      <c r="F1602" s="34" t="s">
        <v>0</v>
      </c>
      <c r="G1602" s="62" t="s">
        <v>41</v>
      </c>
      <c r="H1602" s="61">
        <v>17786</v>
      </c>
      <c r="N1602" s="67" t="s">
        <v>42</v>
      </c>
    </row>
    <row r="1603" spans="2:14" ht="17" x14ac:dyDescent="0.2">
      <c r="B1603" s="160" t="s">
        <v>173</v>
      </c>
      <c r="C1603" s="19" t="s">
        <v>40</v>
      </c>
      <c r="F1603" s="34" t="s">
        <v>0</v>
      </c>
      <c r="G1603" s="62" t="s">
        <v>41</v>
      </c>
      <c r="H1603" s="61">
        <v>17786</v>
      </c>
      <c r="N1603" s="67" t="s">
        <v>42</v>
      </c>
    </row>
    <row r="1604" spans="2:14" ht="17" x14ac:dyDescent="0.2">
      <c r="B1604" s="161" t="s">
        <v>174</v>
      </c>
      <c r="N1604" s="67" t="s">
        <v>45</v>
      </c>
    </row>
    <row r="1605" spans="2:14" ht="51" x14ac:dyDescent="0.2">
      <c r="B1605" s="161" t="s">
        <v>175</v>
      </c>
      <c r="C1605" s="19"/>
      <c r="N1605" s="67" t="s">
        <v>45</v>
      </c>
    </row>
    <row r="1606" spans="2:14" ht="17" x14ac:dyDescent="0.2">
      <c r="B1606" s="131" t="s">
        <v>176</v>
      </c>
      <c r="C1606" s="19" t="s">
        <v>40</v>
      </c>
      <c r="F1606" s="34" t="s">
        <v>0</v>
      </c>
      <c r="G1606" s="62" t="s">
        <v>41</v>
      </c>
      <c r="H1606" s="61">
        <v>17786</v>
      </c>
      <c r="N1606" s="67" t="s">
        <v>42</v>
      </c>
    </row>
    <row r="1607" spans="2:14" ht="17" x14ac:dyDescent="0.2">
      <c r="B1607" s="160" t="s">
        <v>177</v>
      </c>
      <c r="C1607" s="19" t="s">
        <v>40</v>
      </c>
      <c r="F1607" s="34" t="s">
        <v>0</v>
      </c>
      <c r="G1607" s="62" t="s">
        <v>41</v>
      </c>
      <c r="H1607" s="61">
        <v>17786</v>
      </c>
      <c r="N1607" s="67" t="s">
        <v>42</v>
      </c>
    </row>
    <row r="1608" spans="2:14" ht="17" x14ac:dyDescent="0.2">
      <c r="B1608" s="131" t="s">
        <v>180</v>
      </c>
      <c r="C1608" s="19" t="s">
        <v>40</v>
      </c>
      <c r="F1608" s="34" t="s">
        <v>0</v>
      </c>
      <c r="G1608" s="62" t="s">
        <v>41</v>
      </c>
      <c r="H1608" s="61">
        <v>17786</v>
      </c>
      <c r="N1608" s="67" t="s">
        <v>42</v>
      </c>
    </row>
    <row r="1609" spans="2:14" ht="68" x14ac:dyDescent="0.2">
      <c r="B1609" s="131" t="s">
        <v>181</v>
      </c>
      <c r="C1609" s="19" t="s">
        <v>40</v>
      </c>
      <c r="F1609" s="34" t="s">
        <v>0</v>
      </c>
      <c r="G1609" s="62" t="s">
        <v>41</v>
      </c>
      <c r="H1609" s="61">
        <v>17786</v>
      </c>
      <c r="N1609" s="67" t="s">
        <v>42</v>
      </c>
    </row>
    <row r="1610" spans="2:14" ht="17" x14ac:dyDescent="0.2">
      <c r="B1610" s="160" t="s">
        <v>182</v>
      </c>
      <c r="C1610" s="19" t="s">
        <v>40</v>
      </c>
      <c r="F1610" s="34" t="s">
        <v>0</v>
      </c>
      <c r="G1610" s="62" t="s">
        <v>41</v>
      </c>
      <c r="H1610" s="61">
        <v>17786</v>
      </c>
      <c r="N1610" s="67" t="s">
        <v>42</v>
      </c>
    </row>
    <row r="1611" spans="2:14" ht="68" x14ac:dyDescent="0.2">
      <c r="B1611" s="160" t="s">
        <v>183</v>
      </c>
      <c r="C1611" s="19" t="s">
        <v>40</v>
      </c>
      <c r="F1611" s="34" t="s">
        <v>0</v>
      </c>
      <c r="G1611" s="62" t="s">
        <v>41</v>
      </c>
      <c r="H1611" s="61">
        <v>17786</v>
      </c>
      <c r="N1611" s="67" t="s">
        <v>42</v>
      </c>
    </row>
    <row r="1612" spans="2:14" ht="17" x14ac:dyDescent="0.2">
      <c r="B1612" s="162" t="s">
        <v>184</v>
      </c>
      <c r="C1612" s="19" t="s">
        <v>40</v>
      </c>
      <c r="F1612" s="34" t="s">
        <v>0</v>
      </c>
      <c r="G1612" s="62" t="s">
        <v>41</v>
      </c>
      <c r="H1612" s="61">
        <v>17786</v>
      </c>
      <c r="N1612" s="67" t="s">
        <v>42</v>
      </c>
    </row>
    <row r="1613" spans="2:14" ht="17" x14ac:dyDescent="0.2">
      <c r="B1613" s="162" t="s">
        <v>185</v>
      </c>
      <c r="C1613" s="19" t="s">
        <v>40</v>
      </c>
      <c r="N1613" s="67" t="s">
        <v>42</v>
      </c>
    </row>
    <row r="1614" spans="2:14" ht="17" x14ac:dyDescent="0.2">
      <c r="N1614" s="67" t="str">
        <f t="shared" ref="N1614:N1659" si="0">IF(C1614="","","Ina Sabadze")</f>
        <v/>
      </c>
    </row>
    <row r="1615" spans="2:14" ht="17" x14ac:dyDescent="0.2">
      <c r="N1615" s="67" t="str">
        <f t="shared" si="0"/>
        <v/>
      </c>
    </row>
    <row r="1616" spans="2:14" ht="17" x14ac:dyDescent="0.2">
      <c r="N1616" s="67" t="str">
        <f t="shared" si="0"/>
        <v/>
      </c>
    </row>
    <row r="1617" spans="2:14" ht="25" x14ac:dyDescent="0.3">
      <c r="B1617" s="125" t="s">
        <v>271</v>
      </c>
      <c r="C1617" s="59"/>
      <c r="N1617" s="67" t="str">
        <f t="shared" si="0"/>
        <v/>
      </c>
    </row>
    <row r="1618" spans="2:14" ht="92" x14ac:dyDescent="0.2">
      <c r="B1618" s="170" t="s">
        <v>272</v>
      </c>
      <c r="C1618" s="19"/>
      <c r="N1618" s="67" t="str">
        <f t="shared" si="0"/>
        <v/>
      </c>
    </row>
    <row r="1619" spans="2:14" ht="17" x14ac:dyDescent="0.2">
      <c r="B1619" s="127" t="s">
        <v>31</v>
      </c>
      <c r="C1619" s="19"/>
      <c r="N1619" s="67" t="str">
        <f t="shared" si="0"/>
        <v/>
      </c>
    </row>
    <row r="1620" spans="2:14" ht="17" x14ac:dyDescent="0.2">
      <c r="B1620" s="127" t="s">
        <v>32</v>
      </c>
      <c r="N1620" s="67" t="str">
        <f t="shared" si="0"/>
        <v/>
      </c>
    </row>
    <row r="1621" spans="2:14" ht="17" x14ac:dyDescent="0.2">
      <c r="B1621" s="128" t="s">
        <v>33</v>
      </c>
      <c r="N1621" s="67" t="str">
        <f t="shared" si="0"/>
        <v/>
      </c>
    </row>
    <row r="1622" spans="2:14" ht="17" x14ac:dyDescent="0.2">
      <c r="B1622" s="127" t="s">
        <v>34</v>
      </c>
      <c r="C1622" s="19"/>
      <c r="N1622" s="67" t="str">
        <f t="shared" si="0"/>
        <v/>
      </c>
    </row>
    <row r="1623" spans="2:14" ht="51" x14ac:dyDescent="0.2">
      <c r="B1623" s="163" t="s">
        <v>273</v>
      </c>
      <c r="C1623" s="19"/>
      <c r="N1623" s="67" t="str">
        <f t="shared" si="0"/>
        <v/>
      </c>
    </row>
    <row r="1624" spans="2:14" ht="17" x14ac:dyDescent="0.2">
      <c r="B1624" s="129" t="s">
        <v>36</v>
      </c>
      <c r="C1624" s="19"/>
      <c r="N1624" s="67" t="str">
        <f t="shared" si="0"/>
        <v/>
      </c>
    </row>
    <row r="1625" spans="2:14" ht="17" x14ac:dyDescent="0.2">
      <c r="B1625" s="129" t="s">
        <v>37</v>
      </c>
      <c r="C1625" s="19"/>
      <c r="N1625" s="67" t="str">
        <f t="shared" si="0"/>
        <v/>
      </c>
    </row>
    <row r="1626" spans="2:14" ht="17" x14ac:dyDescent="0.2">
      <c r="B1626" s="128" t="s">
        <v>38</v>
      </c>
      <c r="C1626" s="19"/>
      <c r="N1626" s="67" t="str">
        <f t="shared" si="0"/>
        <v/>
      </c>
    </row>
    <row r="1627" spans="2:14" ht="52.5" customHeight="1" x14ac:dyDescent="0.2">
      <c r="B1627" s="130" t="s">
        <v>223</v>
      </c>
      <c r="C1627" s="19" t="s">
        <v>40</v>
      </c>
      <c r="J1627" s="34" t="s">
        <v>0</v>
      </c>
      <c r="L1627" s="62" t="s">
        <v>41</v>
      </c>
      <c r="M1627" s="34">
        <v>25292</v>
      </c>
      <c r="N1627" s="67" t="str">
        <f t="shared" si="0"/>
        <v>Ina Sabadze</v>
      </c>
    </row>
    <row r="1628" spans="2:14" ht="32" x14ac:dyDescent="0.2">
      <c r="B1628" s="130" t="s">
        <v>224</v>
      </c>
      <c r="C1628" s="19" t="s">
        <v>40</v>
      </c>
      <c r="J1628" s="34" t="s">
        <v>0</v>
      </c>
      <c r="L1628" s="62" t="s">
        <v>41</v>
      </c>
      <c r="M1628" s="34">
        <v>25292</v>
      </c>
      <c r="N1628" s="67" t="str">
        <f t="shared" si="0"/>
        <v>Ina Sabadze</v>
      </c>
    </row>
    <row r="1629" spans="2:14" ht="17" x14ac:dyDescent="0.2">
      <c r="B1629" s="128" t="s">
        <v>44</v>
      </c>
      <c r="C1629" s="19"/>
      <c r="N1629" s="67" t="str">
        <f t="shared" si="0"/>
        <v/>
      </c>
    </row>
    <row r="1630" spans="2:14" ht="17" x14ac:dyDescent="0.2">
      <c r="B1630" s="130" t="s">
        <v>225</v>
      </c>
      <c r="C1630" s="19" t="s">
        <v>40</v>
      </c>
      <c r="J1630" s="34" t="s">
        <v>0</v>
      </c>
      <c r="L1630" s="62" t="s">
        <v>41</v>
      </c>
      <c r="M1630" s="34">
        <v>25292</v>
      </c>
      <c r="N1630" s="67" t="str">
        <f t="shared" si="0"/>
        <v>Ina Sabadze</v>
      </c>
    </row>
    <row r="1631" spans="2:14" ht="17" x14ac:dyDescent="0.2">
      <c r="B1631" s="128" t="s">
        <v>47</v>
      </c>
      <c r="N1631" s="67" t="str">
        <f t="shared" si="0"/>
        <v/>
      </c>
    </row>
    <row r="1632" spans="2:14" ht="17" x14ac:dyDescent="0.2">
      <c r="B1632" s="131" t="s">
        <v>48</v>
      </c>
      <c r="C1632" s="19" t="s">
        <v>40</v>
      </c>
      <c r="J1632" s="34" t="s">
        <v>0</v>
      </c>
      <c r="L1632" s="62" t="s">
        <v>41</v>
      </c>
      <c r="M1632" s="34">
        <v>25292</v>
      </c>
      <c r="N1632" s="67" t="str">
        <f t="shared" si="0"/>
        <v>Ina Sabadze</v>
      </c>
    </row>
    <row r="1633" spans="2:14" ht="17" x14ac:dyDescent="0.2">
      <c r="B1633" s="131" t="s">
        <v>49</v>
      </c>
      <c r="C1633" s="19" t="s">
        <v>40</v>
      </c>
      <c r="J1633" s="34" t="s">
        <v>0</v>
      </c>
      <c r="L1633" s="62" t="s">
        <v>41</v>
      </c>
      <c r="M1633" s="34">
        <v>25292</v>
      </c>
      <c r="N1633" s="67" t="str">
        <f t="shared" si="0"/>
        <v>Ina Sabadze</v>
      </c>
    </row>
    <row r="1634" spans="2:14" ht="34" x14ac:dyDescent="0.2">
      <c r="B1634" s="131" t="s">
        <v>50</v>
      </c>
      <c r="C1634" s="19" t="s">
        <v>40</v>
      </c>
      <c r="J1634" s="34" t="s">
        <v>92</v>
      </c>
      <c r="L1634" s="62" t="s">
        <v>41</v>
      </c>
      <c r="M1634" s="34">
        <v>25292</v>
      </c>
      <c r="N1634" s="67" t="str">
        <f t="shared" si="0"/>
        <v>Ina Sabadze</v>
      </c>
    </row>
    <row r="1635" spans="2:14" ht="17" x14ac:dyDescent="0.2">
      <c r="B1635" s="128" t="s">
        <v>51</v>
      </c>
      <c r="C1635" s="19"/>
      <c r="N1635" s="67" t="str">
        <f t="shared" si="0"/>
        <v/>
      </c>
    </row>
    <row r="1636" spans="2:14" ht="28.5" customHeight="1" x14ac:dyDescent="0.2">
      <c r="B1636" s="131" t="s">
        <v>52</v>
      </c>
      <c r="C1636" s="19" t="s">
        <v>40</v>
      </c>
      <c r="J1636" s="34" t="s">
        <v>0</v>
      </c>
      <c r="L1636" s="62" t="s">
        <v>41</v>
      </c>
      <c r="M1636" s="34">
        <v>25292</v>
      </c>
      <c r="N1636" s="67" t="str">
        <f t="shared" si="0"/>
        <v>Ina Sabadze</v>
      </c>
    </row>
    <row r="1637" spans="2:14" ht="17" x14ac:dyDescent="0.2">
      <c r="B1637" s="132" t="s">
        <v>53</v>
      </c>
      <c r="C1637" s="19"/>
      <c r="N1637" s="67" t="str">
        <f t="shared" si="0"/>
        <v/>
      </c>
    </row>
    <row r="1638" spans="2:14" ht="51" x14ac:dyDescent="0.2">
      <c r="B1638" s="133" t="s">
        <v>227</v>
      </c>
      <c r="C1638" s="19" t="s">
        <v>40</v>
      </c>
      <c r="J1638" s="34" t="s">
        <v>0</v>
      </c>
      <c r="L1638" s="62" t="s">
        <v>41</v>
      </c>
      <c r="M1638" s="34">
        <v>25292</v>
      </c>
      <c r="N1638" s="67" t="str">
        <f t="shared" si="0"/>
        <v>Ina Sabadze</v>
      </c>
    </row>
    <row r="1639" spans="2:14" ht="17" x14ac:dyDescent="0.2">
      <c r="B1639" s="128" t="s">
        <v>55</v>
      </c>
      <c r="C1639" s="19"/>
      <c r="N1639" s="67" t="str">
        <f t="shared" si="0"/>
        <v/>
      </c>
    </row>
    <row r="1640" spans="2:14" ht="51" x14ac:dyDescent="0.2">
      <c r="B1640" s="134" t="s">
        <v>56</v>
      </c>
      <c r="C1640" s="19" t="s">
        <v>57</v>
      </c>
      <c r="J1640" s="34" t="s">
        <v>0</v>
      </c>
      <c r="L1640" s="62" t="s">
        <v>41</v>
      </c>
      <c r="M1640" s="34">
        <v>25292</v>
      </c>
      <c r="N1640" s="67" t="str">
        <f t="shared" si="0"/>
        <v>Ina Sabadze</v>
      </c>
    </row>
    <row r="1641" spans="2:14" ht="17" x14ac:dyDescent="0.2">
      <c r="B1641" s="128" t="s">
        <v>58</v>
      </c>
      <c r="N1641" s="67" t="str">
        <f t="shared" si="0"/>
        <v/>
      </c>
    </row>
    <row r="1642" spans="2:14" ht="51" x14ac:dyDescent="0.2">
      <c r="B1642" s="131" t="s">
        <v>228</v>
      </c>
      <c r="C1642" s="19" t="s">
        <v>40</v>
      </c>
      <c r="J1642" s="34" t="s">
        <v>0</v>
      </c>
      <c r="L1642" s="62" t="s">
        <v>41</v>
      </c>
      <c r="M1642" s="34">
        <v>25292</v>
      </c>
      <c r="N1642" s="67" t="str">
        <f t="shared" si="0"/>
        <v>Ina Sabadze</v>
      </c>
    </row>
    <row r="1643" spans="2:14" ht="17" x14ac:dyDescent="0.2">
      <c r="B1643" s="231" t="s">
        <v>229</v>
      </c>
      <c r="C1643" s="232"/>
      <c r="N1643" s="67" t="str">
        <f t="shared" si="0"/>
        <v/>
      </c>
    </row>
    <row r="1644" spans="2:14" ht="17" x14ac:dyDescent="0.2">
      <c r="B1644" s="233" t="s">
        <v>230</v>
      </c>
      <c r="C1644" s="232" t="s">
        <v>40</v>
      </c>
      <c r="J1644" s="34" t="s">
        <v>0</v>
      </c>
      <c r="L1644" s="62" t="s">
        <v>41</v>
      </c>
      <c r="M1644" s="34">
        <v>25292</v>
      </c>
      <c r="N1644" s="67" t="str">
        <f t="shared" si="0"/>
        <v>Ina Sabadze</v>
      </c>
    </row>
    <row r="1645" spans="2:14" ht="17" x14ac:dyDescent="0.2">
      <c r="B1645" s="233" t="s">
        <v>231</v>
      </c>
      <c r="C1645" s="232" t="s">
        <v>40</v>
      </c>
      <c r="J1645" s="34" t="s">
        <v>0</v>
      </c>
      <c r="L1645" s="62" t="s">
        <v>41</v>
      </c>
      <c r="M1645" s="34">
        <v>25292</v>
      </c>
      <c r="N1645" s="67" t="str">
        <f t="shared" si="0"/>
        <v>Ina Sabadze</v>
      </c>
    </row>
    <row r="1646" spans="2:14" ht="17" x14ac:dyDescent="0.2">
      <c r="B1646" s="233" t="s">
        <v>232</v>
      </c>
      <c r="C1646" s="232" t="s">
        <v>40</v>
      </c>
      <c r="J1646" s="34" t="s">
        <v>0</v>
      </c>
      <c r="L1646" s="62" t="s">
        <v>41</v>
      </c>
      <c r="M1646" s="34">
        <v>25292</v>
      </c>
      <c r="N1646" s="67" t="str">
        <f t="shared" si="0"/>
        <v>Ina Sabadze</v>
      </c>
    </row>
    <row r="1647" spans="2:14" ht="17" x14ac:dyDescent="0.2">
      <c r="B1647" s="233" t="s">
        <v>233</v>
      </c>
      <c r="C1647" s="232" t="s">
        <v>40</v>
      </c>
      <c r="J1647" s="34" t="s">
        <v>0</v>
      </c>
      <c r="L1647" s="62" t="s">
        <v>41</v>
      </c>
      <c r="M1647" s="34">
        <v>25292</v>
      </c>
      <c r="N1647" s="67" t="str">
        <f t="shared" si="0"/>
        <v>Ina Sabadze</v>
      </c>
    </row>
    <row r="1648" spans="2:14" ht="17" x14ac:dyDescent="0.2">
      <c r="B1648" s="233" t="s">
        <v>236</v>
      </c>
      <c r="C1648" s="232" t="s">
        <v>40</v>
      </c>
      <c r="J1648" s="34" t="s">
        <v>0</v>
      </c>
      <c r="L1648" s="62" t="s">
        <v>41</v>
      </c>
      <c r="M1648" s="34">
        <v>25292</v>
      </c>
      <c r="N1648" s="67" t="str">
        <f t="shared" si="0"/>
        <v>Ina Sabadze</v>
      </c>
    </row>
    <row r="1649" spans="2:14" ht="17" x14ac:dyDescent="0.2">
      <c r="B1649" s="128" t="s">
        <v>65</v>
      </c>
      <c r="N1649" s="67" t="str">
        <f t="shared" si="0"/>
        <v/>
      </c>
    </row>
    <row r="1650" spans="2:14" ht="17" x14ac:dyDescent="0.2">
      <c r="B1650" s="174" t="s">
        <v>66</v>
      </c>
      <c r="C1650" s="19" t="s">
        <v>40</v>
      </c>
      <c r="J1650" s="34" t="s">
        <v>0</v>
      </c>
      <c r="L1650" s="62" t="s">
        <v>41</v>
      </c>
      <c r="M1650" s="34">
        <v>25292</v>
      </c>
      <c r="N1650" s="67" t="str">
        <f t="shared" si="0"/>
        <v>Ina Sabadze</v>
      </c>
    </row>
    <row r="1651" spans="2:14" ht="17" x14ac:dyDescent="0.2">
      <c r="B1651" s="138" t="s">
        <v>67</v>
      </c>
      <c r="C1651" s="19" t="s">
        <v>40</v>
      </c>
      <c r="J1651" s="34" t="s">
        <v>0</v>
      </c>
      <c r="L1651" s="62" t="s">
        <v>41</v>
      </c>
      <c r="M1651" s="34">
        <v>25292</v>
      </c>
      <c r="N1651" s="67" t="str">
        <f t="shared" si="0"/>
        <v>Ina Sabadze</v>
      </c>
    </row>
    <row r="1652" spans="2:14" ht="17" x14ac:dyDescent="0.2">
      <c r="B1652" s="166" t="s">
        <v>274</v>
      </c>
      <c r="C1652" s="19" t="s">
        <v>40</v>
      </c>
      <c r="J1652" s="34" t="s">
        <v>0</v>
      </c>
      <c r="L1652" s="62" t="s">
        <v>41</v>
      </c>
      <c r="M1652" s="34">
        <v>25292</v>
      </c>
      <c r="N1652" s="67" t="str">
        <f t="shared" si="0"/>
        <v>Ina Sabadze</v>
      </c>
    </row>
    <row r="1653" spans="2:14" ht="17" x14ac:dyDescent="0.2">
      <c r="B1653" s="166" t="s">
        <v>275</v>
      </c>
      <c r="C1653" s="19" t="s">
        <v>40</v>
      </c>
      <c r="J1653" s="34" t="s">
        <v>0</v>
      </c>
      <c r="L1653" s="62" t="s">
        <v>41</v>
      </c>
      <c r="M1653" s="34">
        <v>25292</v>
      </c>
      <c r="N1653" s="67" t="str">
        <f t="shared" si="0"/>
        <v>Ina Sabadze</v>
      </c>
    </row>
    <row r="1654" spans="2:14" ht="17" x14ac:dyDescent="0.2">
      <c r="B1654" s="166" t="s">
        <v>276</v>
      </c>
      <c r="C1654" s="19" t="s">
        <v>40</v>
      </c>
      <c r="J1654" s="34" t="s">
        <v>0</v>
      </c>
      <c r="L1654" s="62" t="s">
        <v>41</v>
      </c>
      <c r="M1654" s="34">
        <v>25292</v>
      </c>
      <c r="N1654" s="67" t="str">
        <f t="shared" si="0"/>
        <v>Ina Sabadze</v>
      </c>
    </row>
    <row r="1655" spans="2:14" ht="17" x14ac:dyDescent="0.2">
      <c r="B1655" s="166" t="s">
        <v>245</v>
      </c>
      <c r="C1655" s="19" t="s">
        <v>40</v>
      </c>
      <c r="J1655" s="34" t="s">
        <v>0</v>
      </c>
      <c r="L1655" s="62" t="s">
        <v>41</v>
      </c>
      <c r="M1655" s="34">
        <v>25292</v>
      </c>
      <c r="N1655" s="67" t="str">
        <f t="shared" si="0"/>
        <v>Ina Sabadze</v>
      </c>
    </row>
    <row r="1656" spans="2:14" ht="17" x14ac:dyDescent="0.2">
      <c r="B1656" s="139" t="s">
        <v>72</v>
      </c>
      <c r="C1656" s="19" t="s">
        <v>40</v>
      </c>
      <c r="J1656" s="34" t="s">
        <v>0</v>
      </c>
      <c r="L1656" s="62" t="s">
        <v>41</v>
      </c>
      <c r="M1656" s="34">
        <v>25292</v>
      </c>
      <c r="N1656" s="67" t="str">
        <f t="shared" si="0"/>
        <v>Ina Sabadze</v>
      </c>
    </row>
    <row r="1657" spans="2:14" ht="17" x14ac:dyDescent="0.2">
      <c r="B1657" s="237" t="s">
        <v>73</v>
      </c>
      <c r="C1657" s="19" t="s">
        <v>40</v>
      </c>
      <c r="J1657" s="34" t="s">
        <v>0</v>
      </c>
      <c r="L1657" s="62" t="s">
        <v>41</v>
      </c>
      <c r="M1657" s="34">
        <v>25292</v>
      </c>
      <c r="N1657" s="67" t="str">
        <f t="shared" si="0"/>
        <v>Ina Sabadze</v>
      </c>
    </row>
    <row r="1658" spans="2:14" ht="17" x14ac:dyDescent="0.2">
      <c r="B1658" s="139" t="s">
        <v>74</v>
      </c>
      <c r="C1658" s="19" t="s">
        <v>40</v>
      </c>
      <c r="J1658" s="34" t="s">
        <v>0</v>
      </c>
      <c r="L1658" s="62" t="s">
        <v>41</v>
      </c>
      <c r="M1658" s="34">
        <v>25292</v>
      </c>
      <c r="N1658" s="67" t="str">
        <f t="shared" si="0"/>
        <v>Ina Sabadze</v>
      </c>
    </row>
    <row r="1659" spans="2:14" ht="17" x14ac:dyDescent="0.2">
      <c r="B1659" s="139" t="s">
        <v>75</v>
      </c>
      <c r="C1659" s="19" t="s">
        <v>40</v>
      </c>
      <c r="J1659" s="34" t="s">
        <v>0</v>
      </c>
      <c r="L1659" s="62" t="s">
        <v>41</v>
      </c>
      <c r="M1659" s="34">
        <v>25292</v>
      </c>
      <c r="N1659" s="67" t="str">
        <f t="shared" si="0"/>
        <v>Ina Sabadze</v>
      </c>
    </row>
    <row r="1660" spans="2:14" ht="17" x14ac:dyDescent="0.2">
      <c r="B1660" s="138" t="s">
        <v>76</v>
      </c>
      <c r="C1660" s="19" t="s">
        <v>40</v>
      </c>
      <c r="J1660" s="34" t="s">
        <v>0</v>
      </c>
      <c r="L1660" s="62" t="s">
        <v>41</v>
      </c>
      <c r="M1660" s="34">
        <v>25292</v>
      </c>
      <c r="N1660" s="67" t="str">
        <f t="shared" ref="N1660:N1732" si="1">IF(C1660="","","Ina Sabadze")</f>
        <v>Ina Sabadze</v>
      </c>
    </row>
    <row r="1661" spans="2:14" ht="68" x14ac:dyDescent="0.2">
      <c r="B1661" s="138" t="s">
        <v>204</v>
      </c>
      <c r="C1661" s="19" t="s">
        <v>40</v>
      </c>
      <c r="J1661" s="34" t="s">
        <v>0</v>
      </c>
      <c r="L1661" s="62" t="s">
        <v>41</v>
      </c>
      <c r="M1661" s="34">
        <v>25292</v>
      </c>
      <c r="N1661" s="67" t="str">
        <f t="shared" si="1"/>
        <v>Ina Sabadze</v>
      </c>
    </row>
    <row r="1662" spans="2:14" ht="17" x14ac:dyDescent="0.2">
      <c r="B1662" s="166" t="s">
        <v>246</v>
      </c>
      <c r="C1662" s="19" t="s">
        <v>40</v>
      </c>
      <c r="J1662" s="34" t="s">
        <v>0</v>
      </c>
      <c r="L1662" s="62" t="s">
        <v>41</v>
      </c>
      <c r="M1662" s="34">
        <v>25292</v>
      </c>
      <c r="N1662" s="67" t="str">
        <f t="shared" si="1"/>
        <v>Ina Sabadze</v>
      </c>
    </row>
    <row r="1663" spans="2:14" ht="17" x14ac:dyDescent="0.2">
      <c r="B1663" s="166" t="s">
        <v>277</v>
      </c>
      <c r="C1663" s="19" t="s">
        <v>40</v>
      </c>
      <c r="J1663" s="34" t="s">
        <v>0</v>
      </c>
      <c r="L1663" s="62" t="s">
        <v>41</v>
      </c>
      <c r="M1663" s="34">
        <v>25292</v>
      </c>
      <c r="N1663" s="67" t="str">
        <f t="shared" si="1"/>
        <v>Ina Sabadze</v>
      </c>
    </row>
    <row r="1664" spans="2:14" ht="17" x14ac:dyDescent="0.2">
      <c r="B1664" s="138" t="s">
        <v>80</v>
      </c>
      <c r="C1664" s="19" t="s">
        <v>40</v>
      </c>
      <c r="J1664" s="34" t="s">
        <v>0</v>
      </c>
      <c r="L1664" s="62" t="s">
        <v>41</v>
      </c>
      <c r="M1664" s="34">
        <v>25292</v>
      </c>
      <c r="N1664" s="67" t="str">
        <f t="shared" si="1"/>
        <v>Ina Sabadze</v>
      </c>
    </row>
    <row r="1665" spans="2:14" ht="17" x14ac:dyDescent="0.2">
      <c r="B1665" s="138" t="s">
        <v>81</v>
      </c>
      <c r="C1665" s="19" t="s">
        <v>40</v>
      </c>
      <c r="J1665" s="34" t="s">
        <v>0</v>
      </c>
      <c r="L1665" s="62" t="s">
        <v>41</v>
      </c>
      <c r="M1665" s="34">
        <v>25292</v>
      </c>
      <c r="N1665" s="67" t="str">
        <f t="shared" si="1"/>
        <v>Ina Sabadze</v>
      </c>
    </row>
    <row r="1666" spans="2:14" ht="17" x14ac:dyDescent="0.2">
      <c r="B1666" s="138" t="s">
        <v>82</v>
      </c>
      <c r="C1666" s="19" t="s">
        <v>40</v>
      </c>
      <c r="J1666" s="34" t="s">
        <v>0</v>
      </c>
      <c r="L1666" s="62" t="s">
        <v>41</v>
      </c>
      <c r="M1666" s="34">
        <v>25292</v>
      </c>
      <c r="N1666" s="67" t="str">
        <f t="shared" si="1"/>
        <v>Ina Sabadze</v>
      </c>
    </row>
    <row r="1667" spans="2:14" ht="17" x14ac:dyDescent="0.2">
      <c r="B1667" s="166" t="s">
        <v>278</v>
      </c>
      <c r="C1667" s="19" t="s">
        <v>40</v>
      </c>
      <c r="J1667" s="34" t="s">
        <v>0</v>
      </c>
      <c r="L1667" s="62" t="s">
        <v>41</v>
      </c>
      <c r="M1667" s="34">
        <v>25292</v>
      </c>
      <c r="N1667" s="67" t="str">
        <f t="shared" si="1"/>
        <v>Ina Sabadze</v>
      </c>
    </row>
    <row r="1668" spans="2:14" ht="17" x14ac:dyDescent="0.2">
      <c r="B1668" s="138" t="s">
        <v>84</v>
      </c>
      <c r="C1668" s="19" t="s">
        <v>40</v>
      </c>
      <c r="J1668" s="34" t="s">
        <v>0</v>
      </c>
      <c r="L1668" s="62" t="s">
        <v>41</v>
      </c>
      <c r="M1668" s="34">
        <v>25292</v>
      </c>
      <c r="N1668" s="67" t="str">
        <f t="shared" si="1"/>
        <v>Ina Sabadze</v>
      </c>
    </row>
    <row r="1669" spans="2:14" ht="17" x14ac:dyDescent="0.2">
      <c r="B1669" s="139" t="s">
        <v>85</v>
      </c>
      <c r="C1669" s="19" t="s">
        <v>40</v>
      </c>
      <c r="J1669" s="34" t="s">
        <v>0</v>
      </c>
      <c r="L1669" s="62" t="s">
        <v>41</v>
      </c>
      <c r="M1669" s="34">
        <v>25292</v>
      </c>
      <c r="N1669" s="67" t="str">
        <f t="shared" si="1"/>
        <v>Ina Sabadze</v>
      </c>
    </row>
    <row r="1670" spans="2:14" ht="17" x14ac:dyDescent="0.2">
      <c r="B1670" s="140" t="s">
        <v>86</v>
      </c>
      <c r="N1670" s="67" t="str">
        <f t="shared" si="1"/>
        <v/>
      </c>
    </row>
    <row r="1671" spans="2:14" ht="17" x14ac:dyDescent="0.2">
      <c r="B1671" s="141" t="s">
        <v>87</v>
      </c>
      <c r="C1671" s="19" t="s">
        <v>40</v>
      </c>
      <c r="J1671" s="34" t="s">
        <v>0</v>
      </c>
      <c r="L1671" s="62" t="s">
        <v>41</v>
      </c>
      <c r="M1671" s="34">
        <v>25292</v>
      </c>
      <c r="N1671" s="67" t="str">
        <f t="shared" si="1"/>
        <v>Ina Sabadze</v>
      </c>
    </row>
    <row r="1672" spans="2:14" ht="32" x14ac:dyDescent="0.2">
      <c r="B1672" s="140" t="s">
        <v>88</v>
      </c>
      <c r="C1672" s="19"/>
      <c r="N1672" s="67" t="str">
        <f t="shared" si="1"/>
        <v/>
      </c>
    </row>
    <row r="1673" spans="2:14" ht="32" x14ac:dyDescent="0.2">
      <c r="B1673" s="250" t="s">
        <v>89</v>
      </c>
      <c r="C1673" s="19" t="s">
        <v>40</v>
      </c>
      <c r="J1673" s="34" t="s">
        <v>0</v>
      </c>
      <c r="L1673" s="62" t="s">
        <v>41</v>
      </c>
      <c r="M1673" s="34">
        <v>25292</v>
      </c>
      <c r="N1673" s="67" t="str">
        <f t="shared" si="1"/>
        <v>Ina Sabadze</v>
      </c>
    </row>
    <row r="1674" spans="2:14" ht="17" x14ac:dyDescent="0.2">
      <c r="B1674" s="140" t="s">
        <v>90</v>
      </c>
      <c r="C1674" s="19"/>
      <c r="N1674" s="67" t="str">
        <f t="shared" si="1"/>
        <v/>
      </c>
    </row>
    <row r="1675" spans="2:14" ht="32" x14ac:dyDescent="0.2">
      <c r="B1675" s="142" t="s">
        <v>91</v>
      </c>
      <c r="C1675" s="19" t="s">
        <v>40</v>
      </c>
      <c r="J1675" s="34" t="s">
        <v>92</v>
      </c>
      <c r="L1675" s="62" t="s">
        <v>41</v>
      </c>
      <c r="M1675" s="34">
        <v>25292</v>
      </c>
      <c r="N1675" s="67" t="str">
        <f t="shared" si="1"/>
        <v>Ina Sabadze</v>
      </c>
    </row>
    <row r="1676" spans="2:14" ht="17" x14ac:dyDescent="0.2">
      <c r="B1676" s="140" t="s">
        <v>93</v>
      </c>
      <c r="C1676" s="19"/>
      <c r="N1676" s="67" t="str">
        <f t="shared" si="1"/>
        <v/>
      </c>
    </row>
    <row r="1677" spans="2:14" ht="32" x14ac:dyDescent="0.2">
      <c r="B1677" s="142" t="s">
        <v>94</v>
      </c>
      <c r="C1677" s="19" t="s">
        <v>40</v>
      </c>
      <c r="J1677" s="34" t="s">
        <v>92</v>
      </c>
      <c r="L1677" s="62" t="s">
        <v>41</v>
      </c>
      <c r="M1677" s="34">
        <v>25292</v>
      </c>
      <c r="N1677" s="67" t="str">
        <f t="shared" si="1"/>
        <v>Ina Sabadze</v>
      </c>
    </row>
    <row r="1678" spans="2:14" ht="48" x14ac:dyDescent="0.2">
      <c r="B1678" s="143" t="s">
        <v>95</v>
      </c>
      <c r="C1678" s="19" t="s">
        <v>40</v>
      </c>
      <c r="J1678" s="34" t="s">
        <v>92</v>
      </c>
      <c r="L1678" s="62" t="s">
        <v>41</v>
      </c>
      <c r="M1678" s="34">
        <v>25292</v>
      </c>
      <c r="N1678" s="67" t="str">
        <f t="shared" si="1"/>
        <v>Ina Sabadze</v>
      </c>
    </row>
    <row r="1679" spans="2:14" ht="17" x14ac:dyDescent="0.2">
      <c r="B1679" s="144" t="s">
        <v>96</v>
      </c>
      <c r="C1679" s="19" t="s">
        <v>40</v>
      </c>
      <c r="J1679" s="34" t="s">
        <v>92</v>
      </c>
      <c r="L1679" s="62" t="s">
        <v>41</v>
      </c>
      <c r="M1679" s="34">
        <v>25292</v>
      </c>
      <c r="N1679" s="67" t="str">
        <f t="shared" si="1"/>
        <v>Ina Sabadze</v>
      </c>
    </row>
    <row r="1680" spans="2:14" ht="32" x14ac:dyDescent="0.2">
      <c r="B1680" s="143" t="s">
        <v>97</v>
      </c>
      <c r="C1680" s="19" t="s">
        <v>40</v>
      </c>
      <c r="J1680" s="34" t="s">
        <v>92</v>
      </c>
      <c r="L1680" s="62" t="s">
        <v>41</v>
      </c>
      <c r="M1680" s="34">
        <v>25292</v>
      </c>
      <c r="N1680" s="67" t="str">
        <f t="shared" si="1"/>
        <v>Ina Sabadze</v>
      </c>
    </row>
    <row r="1681" spans="2:14" ht="17" x14ac:dyDescent="0.2">
      <c r="B1681" s="142" t="s">
        <v>98</v>
      </c>
      <c r="C1681" s="19" t="s">
        <v>40</v>
      </c>
      <c r="J1681" s="34" t="s">
        <v>92</v>
      </c>
      <c r="L1681" s="62" t="s">
        <v>41</v>
      </c>
      <c r="M1681" s="34">
        <v>25292</v>
      </c>
      <c r="N1681" s="67" t="str">
        <f t="shared" si="1"/>
        <v>Ina Sabadze</v>
      </c>
    </row>
    <row r="1682" spans="2:14" ht="17" x14ac:dyDescent="0.2">
      <c r="B1682" s="144" t="s">
        <v>99</v>
      </c>
      <c r="C1682" s="19" t="s">
        <v>40</v>
      </c>
      <c r="J1682" s="34" t="s">
        <v>92</v>
      </c>
      <c r="L1682" s="62" t="s">
        <v>41</v>
      </c>
      <c r="M1682" s="34">
        <v>25292</v>
      </c>
      <c r="N1682" s="67" t="str">
        <f t="shared" si="1"/>
        <v>Ina Sabadze</v>
      </c>
    </row>
    <row r="1683" spans="2:14" ht="17" x14ac:dyDescent="0.2">
      <c r="B1683" s="143" t="s">
        <v>100</v>
      </c>
      <c r="C1683" s="19" t="s">
        <v>40</v>
      </c>
      <c r="J1683" s="34" t="s">
        <v>92</v>
      </c>
      <c r="L1683" s="62" t="s">
        <v>41</v>
      </c>
      <c r="M1683" s="34">
        <v>25292</v>
      </c>
      <c r="N1683" s="67" t="str">
        <f t="shared" si="1"/>
        <v>Ina Sabadze</v>
      </c>
    </row>
    <row r="1684" spans="2:14" ht="17" x14ac:dyDescent="0.2">
      <c r="B1684" s="140" t="s">
        <v>101</v>
      </c>
      <c r="N1684" s="67" t="str">
        <f t="shared" si="1"/>
        <v/>
      </c>
    </row>
    <row r="1685" spans="2:14" ht="17" x14ac:dyDescent="0.2">
      <c r="B1685" s="141" t="s">
        <v>87</v>
      </c>
      <c r="C1685" s="19" t="s">
        <v>40</v>
      </c>
      <c r="J1685" s="34" t="s">
        <v>0</v>
      </c>
      <c r="L1685" s="62" t="s">
        <v>41</v>
      </c>
      <c r="M1685" s="34">
        <v>25292</v>
      </c>
      <c r="N1685" s="67" t="str">
        <f t="shared" si="1"/>
        <v>Ina Sabadze</v>
      </c>
    </row>
    <row r="1686" spans="2:14" ht="32" x14ac:dyDescent="0.2">
      <c r="B1686" s="142" t="s">
        <v>102</v>
      </c>
      <c r="C1686" s="19" t="s">
        <v>40</v>
      </c>
      <c r="J1686" s="34" t="s">
        <v>0</v>
      </c>
      <c r="L1686" s="62" t="s">
        <v>41</v>
      </c>
      <c r="M1686" s="34">
        <v>25292</v>
      </c>
      <c r="N1686" s="67" t="str">
        <f t="shared" si="1"/>
        <v>Ina Sabadze</v>
      </c>
    </row>
    <row r="1687" spans="2:14" ht="48" x14ac:dyDescent="0.2">
      <c r="B1687" s="143" t="s">
        <v>103</v>
      </c>
      <c r="C1687" s="19" t="s">
        <v>40</v>
      </c>
      <c r="J1687" s="34" t="s">
        <v>0</v>
      </c>
      <c r="L1687" s="62" t="s">
        <v>41</v>
      </c>
      <c r="M1687" s="34">
        <v>25292</v>
      </c>
      <c r="N1687" s="67" t="str">
        <f t="shared" si="1"/>
        <v>Ina Sabadze</v>
      </c>
    </row>
    <row r="1688" spans="2:14" ht="17" x14ac:dyDescent="0.2">
      <c r="B1688" s="144" t="s">
        <v>96</v>
      </c>
      <c r="C1688" s="19" t="s">
        <v>40</v>
      </c>
      <c r="J1688" s="34" t="s">
        <v>0</v>
      </c>
      <c r="L1688" s="62" t="s">
        <v>41</v>
      </c>
      <c r="M1688" s="34">
        <v>25292</v>
      </c>
      <c r="N1688" s="67" t="str">
        <f t="shared" si="1"/>
        <v>Ina Sabadze</v>
      </c>
    </row>
    <row r="1689" spans="2:14" ht="32" x14ac:dyDescent="0.2">
      <c r="B1689" s="143" t="s">
        <v>104</v>
      </c>
      <c r="C1689" s="19" t="s">
        <v>40</v>
      </c>
      <c r="J1689" s="34" t="s">
        <v>0</v>
      </c>
      <c r="L1689" s="62" t="s">
        <v>41</v>
      </c>
      <c r="M1689" s="34">
        <v>25292</v>
      </c>
      <c r="N1689" s="67" t="str">
        <f t="shared" si="1"/>
        <v>Ina Sabadze</v>
      </c>
    </row>
    <row r="1690" spans="2:14" ht="32" x14ac:dyDescent="0.2">
      <c r="B1690" s="142" t="s">
        <v>105</v>
      </c>
      <c r="C1690" s="19" t="s">
        <v>40</v>
      </c>
      <c r="J1690" s="34" t="s">
        <v>0</v>
      </c>
      <c r="L1690" s="62" t="s">
        <v>41</v>
      </c>
      <c r="M1690" s="34">
        <v>25292</v>
      </c>
      <c r="N1690" s="67" t="str">
        <f t="shared" si="1"/>
        <v>Ina Sabadze</v>
      </c>
    </row>
    <row r="1691" spans="2:14" ht="17" x14ac:dyDescent="0.2">
      <c r="B1691" s="144" t="s">
        <v>99</v>
      </c>
      <c r="C1691" s="19" t="s">
        <v>40</v>
      </c>
      <c r="J1691" s="34" t="s">
        <v>0</v>
      </c>
      <c r="L1691" s="62" t="s">
        <v>41</v>
      </c>
      <c r="M1691" s="34">
        <v>25292</v>
      </c>
      <c r="N1691" s="67" t="str">
        <f t="shared" si="1"/>
        <v>Ina Sabadze</v>
      </c>
    </row>
    <row r="1692" spans="2:14" ht="17" x14ac:dyDescent="0.2">
      <c r="B1692" s="143" t="s">
        <v>106</v>
      </c>
      <c r="C1692" s="19" t="s">
        <v>40</v>
      </c>
      <c r="J1692" s="34" t="s">
        <v>0</v>
      </c>
      <c r="L1692" s="62" t="s">
        <v>41</v>
      </c>
      <c r="M1692" s="34">
        <v>25292</v>
      </c>
      <c r="N1692" s="67" t="str">
        <f t="shared" si="1"/>
        <v>Ina Sabadze</v>
      </c>
    </row>
    <row r="1693" spans="2:14" ht="17" x14ac:dyDescent="0.2">
      <c r="B1693" s="140" t="s">
        <v>107</v>
      </c>
      <c r="N1693" s="67" t="str">
        <f t="shared" si="1"/>
        <v/>
      </c>
    </row>
    <row r="1694" spans="2:14" ht="17" x14ac:dyDescent="0.2">
      <c r="B1694" s="141" t="s">
        <v>87</v>
      </c>
      <c r="C1694" s="19" t="s">
        <v>40</v>
      </c>
      <c r="J1694" s="34" t="s">
        <v>0</v>
      </c>
      <c r="L1694" s="62" t="s">
        <v>41</v>
      </c>
      <c r="M1694" s="34">
        <v>25292</v>
      </c>
      <c r="N1694" s="67" t="str">
        <f t="shared" si="1"/>
        <v>Ina Sabadze</v>
      </c>
    </row>
    <row r="1695" spans="2:14" ht="32" x14ac:dyDescent="0.2">
      <c r="B1695" s="142" t="s">
        <v>102</v>
      </c>
      <c r="C1695" s="19" t="s">
        <v>40</v>
      </c>
      <c r="J1695" s="34" t="s">
        <v>0</v>
      </c>
      <c r="L1695" s="62" t="s">
        <v>41</v>
      </c>
      <c r="M1695" s="34">
        <v>25292</v>
      </c>
      <c r="N1695" s="67" t="str">
        <f t="shared" si="1"/>
        <v>Ina Sabadze</v>
      </c>
    </row>
    <row r="1696" spans="2:14" ht="48" x14ac:dyDescent="0.2">
      <c r="B1696" s="143" t="s">
        <v>108</v>
      </c>
      <c r="C1696" s="19" t="s">
        <v>40</v>
      </c>
      <c r="J1696" s="34" t="s">
        <v>0</v>
      </c>
      <c r="L1696" s="62" t="s">
        <v>41</v>
      </c>
      <c r="M1696" s="34">
        <v>25292</v>
      </c>
      <c r="N1696" s="67" t="str">
        <f t="shared" si="1"/>
        <v>Ina Sabadze</v>
      </c>
    </row>
    <row r="1697" spans="2:14" ht="17" x14ac:dyDescent="0.2">
      <c r="B1697" s="144" t="s">
        <v>96</v>
      </c>
      <c r="C1697" s="19" t="s">
        <v>40</v>
      </c>
      <c r="J1697" s="34" t="s">
        <v>0</v>
      </c>
      <c r="L1697" s="62" t="s">
        <v>41</v>
      </c>
      <c r="M1697" s="34">
        <v>25292</v>
      </c>
      <c r="N1697" s="67" t="str">
        <f t="shared" si="1"/>
        <v>Ina Sabadze</v>
      </c>
    </row>
    <row r="1698" spans="2:14" ht="32" x14ac:dyDescent="0.2">
      <c r="B1698" s="143" t="s">
        <v>109</v>
      </c>
      <c r="C1698" s="19" t="s">
        <v>40</v>
      </c>
      <c r="J1698" s="34" t="s">
        <v>0</v>
      </c>
      <c r="L1698" s="62" t="s">
        <v>41</v>
      </c>
      <c r="M1698" s="34">
        <v>25292</v>
      </c>
      <c r="N1698" s="67" t="str">
        <f t="shared" si="1"/>
        <v>Ina Sabadze</v>
      </c>
    </row>
    <row r="1699" spans="2:14" ht="32" x14ac:dyDescent="0.2">
      <c r="B1699" s="142" t="s">
        <v>110</v>
      </c>
      <c r="C1699" s="19" t="s">
        <v>40</v>
      </c>
      <c r="J1699" s="34" t="s">
        <v>0</v>
      </c>
      <c r="L1699" s="62" t="s">
        <v>41</v>
      </c>
      <c r="M1699" s="34">
        <v>25292</v>
      </c>
      <c r="N1699" s="67" t="str">
        <f t="shared" si="1"/>
        <v>Ina Sabadze</v>
      </c>
    </row>
    <row r="1700" spans="2:14" ht="17" x14ac:dyDescent="0.2">
      <c r="B1700" s="144" t="s">
        <v>99</v>
      </c>
      <c r="C1700" s="19" t="s">
        <v>40</v>
      </c>
      <c r="J1700" s="34" t="s">
        <v>0</v>
      </c>
      <c r="L1700" s="62" t="s">
        <v>41</v>
      </c>
      <c r="M1700" s="34">
        <v>25292</v>
      </c>
      <c r="N1700" s="67" t="str">
        <f t="shared" si="1"/>
        <v>Ina Sabadze</v>
      </c>
    </row>
    <row r="1701" spans="2:14" ht="17" x14ac:dyDescent="0.2">
      <c r="B1701" s="143" t="s">
        <v>111</v>
      </c>
      <c r="C1701" s="19" t="s">
        <v>40</v>
      </c>
      <c r="J1701" s="34" t="s">
        <v>0</v>
      </c>
      <c r="L1701" s="62" t="s">
        <v>41</v>
      </c>
      <c r="M1701" s="34">
        <v>25292</v>
      </c>
      <c r="N1701" s="67" t="str">
        <f t="shared" si="1"/>
        <v>Ina Sabadze</v>
      </c>
    </row>
    <row r="1702" spans="2:14" ht="17" x14ac:dyDescent="0.2">
      <c r="B1702" s="140" t="s">
        <v>112</v>
      </c>
      <c r="N1702" s="67" t="str">
        <f t="shared" si="1"/>
        <v/>
      </c>
    </row>
    <row r="1703" spans="2:14" ht="17" x14ac:dyDescent="0.2">
      <c r="B1703" s="141" t="s">
        <v>87</v>
      </c>
      <c r="C1703" s="19" t="s">
        <v>40</v>
      </c>
      <c r="J1703" s="34" t="s">
        <v>0</v>
      </c>
      <c r="L1703" s="62" t="s">
        <v>41</v>
      </c>
      <c r="M1703" s="34">
        <v>25292</v>
      </c>
      <c r="N1703" s="67" t="str">
        <f t="shared" si="1"/>
        <v>Ina Sabadze</v>
      </c>
    </row>
    <row r="1704" spans="2:14" ht="32" x14ac:dyDescent="0.2">
      <c r="B1704" s="142" t="s">
        <v>102</v>
      </c>
      <c r="C1704" s="19" t="s">
        <v>40</v>
      </c>
      <c r="J1704" s="34" t="s">
        <v>0</v>
      </c>
      <c r="L1704" s="62" t="s">
        <v>41</v>
      </c>
      <c r="M1704" s="34">
        <v>25292</v>
      </c>
      <c r="N1704" s="67" t="str">
        <f t="shared" si="1"/>
        <v>Ina Sabadze</v>
      </c>
    </row>
    <row r="1705" spans="2:14" ht="48" x14ac:dyDescent="0.2">
      <c r="B1705" s="143" t="s">
        <v>113</v>
      </c>
      <c r="C1705" s="19" t="s">
        <v>40</v>
      </c>
      <c r="J1705" s="34" t="s">
        <v>0</v>
      </c>
      <c r="L1705" s="62" t="s">
        <v>41</v>
      </c>
      <c r="M1705" s="34">
        <v>25292</v>
      </c>
      <c r="N1705" s="67" t="str">
        <f t="shared" si="1"/>
        <v>Ina Sabadze</v>
      </c>
    </row>
    <row r="1706" spans="2:14" ht="17" x14ac:dyDescent="0.2">
      <c r="B1706" s="144" t="s">
        <v>96</v>
      </c>
      <c r="C1706" s="19" t="s">
        <v>40</v>
      </c>
      <c r="J1706" s="34" t="s">
        <v>0</v>
      </c>
      <c r="L1706" s="62" t="s">
        <v>41</v>
      </c>
      <c r="M1706" s="34">
        <v>25292</v>
      </c>
      <c r="N1706" s="67" t="str">
        <f t="shared" si="1"/>
        <v>Ina Sabadze</v>
      </c>
    </row>
    <row r="1707" spans="2:14" ht="32" x14ac:dyDescent="0.2">
      <c r="B1707" s="143" t="s">
        <v>97</v>
      </c>
      <c r="C1707" s="19" t="s">
        <v>40</v>
      </c>
      <c r="J1707" s="34" t="s">
        <v>0</v>
      </c>
      <c r="L1707" s="62" t="s">
        <v>41</v>
      </c>
      <c r="M1707" s="34">
        <v>25292</v>
      </c>
      <c r="N1707" s="67" t="str">
        <f t="shared" si="1"/>
        <v>Ina Sabadze</v>
      </c>
    </row>
    <row r="1708" spans="2:14" ht="32" x14ac:dyDescent="0.2">
      <c r="B1708" s="142" t="s">
        <v>114</v>
      </c>
      <c r="C1708" s="19" t="s">
        <v>40</v>
      </c>
      <c r="J1708" s="34" t="s">
        <v>0</v>
      </c>
      <c r="L1708" s="62" t="s">
        <v>41</v>
      </c>
      <c r="M1708" s="34">
        <v>25292</v>
      </c>
      <c r="N1708" s="67" t="str">
        <f t="shared" si="1"/>
        <v>Ina Sabadze</v>
      </c>
    </row>
    <row r="1709" spans="2:14" ht="17" x14ac:dyDescent="0.2">
      <c r="B1709" s="144" t="s">
        <v>99</v>
      </c>
      <c r="C1709" s="19" t="s">
        <v>40</v>
      </c>
      <c r="J1709" s="34" t="s">
        <v>0</v>
      </c>
      <c r="L1709" s="62" t="s">
        <v>41</v>
      </c>
      <c r="M1709" s="34">
        <v>25292</v>
      </c>
      <c r="N1709" s="67" t="str">
        <f t="shared" si="1"/>
        <v>Ina Sabadze</v>
      </c>
    </row>
    <row r="1710" spans="2:14" ht="17" x14ac:dyDescent="0.2">
      <c r="B1710" s="143" t="s">
        <v>115</v>
      </c>
      <c r="C1710" s="19" t="s">
        <v>40</v>
      </c>
      <c r="J1710" s="34" t="s">
        <v>0</v>
      </c>
      <c r="L1710" s="62" t="s">
        <v>41</v>
      </c>
      <c r="M1710" s="34">
        <v>25292</v>
      </c>
      <c r="N1710" s="67" t="str">
        <f t="shared" si="1"/>
        <v>Ina Sabadze</v>
      </c>
    </row>
    <row r="1711" spans="2:14" ht="17" x14ac:dyDescent="0.2">
      <c r="B1711" s="140" t="s">
        <v>206</v>
      </c>
      <c r="C1711" s="19"/>
      <c r="N1711" s="67" t="str">
        <f t="shared" si="1"/>
        <v/>
      </c>
    </row>
    <row r="1712" spans="2:14" ht="17" x14ac:dyDescent="0.2">
      <c r="B1712" s="213" t="s">
        <v>87</v>
      </c>
      <c r="C1712" s="19" t="s">
        <v>40</v>
      </c>
      <c r="J1712" s="34" t="s">
        <v>0</v>
      </c>
      <c r="L1712" s="62" t="s">
        <v>41</v>
      </c>
      <c r="M1712" s="34">
        <v>25292</v>
      </c>
      <c r="N1712" s="67" t="str">
        <f t="shared" si="1"/>
        <v>Ina Sabadze</v>
      </c>
    </row>
    <row r="1713" spans="2:14" ht="32" x14ac:dyDescent="0.2">
      <c r="B1713" s="214" t="s">
        <v>207</v>
      </c>
      <c r="C1713" s="19" t="s">
        <v>40</v>
      </c>
      <c r="J1713" s="34" t="s">
        <v>0</v>
      </c>
      <c r="L1713" s="62" t="s">
        <v>41</v>
      </c>
      <c r="M1713" s="34">
        <v>25292</v>
      </c>
      <c r="N1713" s="67" t="str">
        <f t="shared" si="1"/>
        <v>Ina Sabadze</v>
      </c>
    </row>
    <row r="1714" spans="2:14" ht="48" x14ac:dyDescent="0.2">
      <c r="B1714" s="215" t="s">
        <v>208</v>
      </c>
      <c r="C1714" s="19" t="s">
        <v>40</v>
      </c>
      <c r="J1714" s="34" t="s">
        <v>0</v>
      </c>
      <c r="L1714" s="62" t="s">
        <v>41</v>
      </c>
      <c r="M1714" s="34">
        <v>25292</v>
      </c>
      <c r="N1714" s="67" t="str">
        <f t="shared" si="1"/>
        <v>Ina Sabadze</v>
      </c>
    </row>
    <row r="1715" spans="2:14" ht="17" x14ac:dyDescent="0.2">
      <c r="B1715" s="216" t="s">
        <v>96</v>
      </c>
      <c r="C1715" s="19" t="s">
        <v>40</v>
      </c>
      <c r="J1715" s="34" t="s">
        <v>0</v>
      </c>
      <c r="L1715" s="62" t="s">
        <v>41</v>
      </c>
      <c r="M1715" s="34">
        <v>25292</v>
      </c>
      <c r="N1715" s="67" t="str">
        <f t="shared" si="1"/>
        <v>Ina Sabadze</v>
      </c>
    </row>
    <row r="1716" spans="2:14" ht="32" x14ac:dyDescent="0.2">
      <c r="B1716" s="215" t="s">
        <v>209</v>
      </c>
      <c r="C1716" s="19" t="s">
        <v>40</v>
      </c>
      <c r="J1716" s="34" t="s">
        <v>0</v>
      </c>
      <c r="L1716" s="62" t="s">
        <v>41</v>
      </c>
      <c r="M1716" s="34">
        <v>25292</v>
      </c>
      <c r="N1716" s="67" t="str">
        <f t="shared" si="1"/>
        <v>Ina Sabadze</v>
      </c>
    </row>
    <row r="1717" spans="2:14" ht="32" x14ac:dyDescent="0.2">
      <c r="B1717" s="238" t="s">
        <v>210</v>
      </c>
      <c r="C1717" s="19" t="s">
        <v>40</v>
      </c>
      <c r="J1717" s="34" t="s">
        <v>0</v>
      </c>
      <c r="L1717" s="62" t="s">
        <v>41</v>
      </c>
      <c r="M1717" s="34">
        <v>25292</v>
      </c>
      <c r="N1717" s="67" t="str">
        <f t="shared" si="1"/>
        <v>Ina Sabadze</v>
      </c>
    </row>
    <row r="1718" spans="2:14" ht="17" x14ac:dyDescent="0.2">
      <c r="B1718" s="215" t="s">
        <v>99</v>
      </c>
      <c r="C1718" s="19" t="s">
        <v>40</v>
      </c>
      <c r="J1718" s="34" t="s">
        <v>0</v>
      </c>
      <c r="L1718" s="62" t="s">
        <v>41</v>
      </c>
      <c r="M1718" s="34">
        <v>25292</v>
      </c>
      <c r="N1718" s="67" t="str">
        <f t="shared" si="1"/>
        <v>Ina Sabadze</v>
      </c>
    </row>
    <row r="1719" spans="2:14" ht="17" x14ac:dyDescent="0.2">
      <c r="B1719" s="143" t="s">
        <v>247</v>
      </c>
      <c r="C1719" s="19" t="s">
        <v>40</v>
      </c>
      <c r="L1719" s="62" t="s">
        <v>41</v>
      </c>
      <c r="M1719" s="34">
        <v>25292</v>
      </c>
      <c r="N1719" s="67" t="str">
        <f t="shared" si="1"/>
        <v>Ina Sabadze</v>
      </c>
    </row>
    <row r="1720" spans="2:14" x14ac:dyDescent="0.2">
      <c r="B1720" s="251" t="s">
        <v>279</v>
      </c>
      <c r="C1720" s="252"/>
      <c r="N1720" s="67"/>
    </row>
    <row r="1721" spans="2:14" ht="17" x14ac:dyDescent="0.2">
      <c r="B1721" s="213" t="s">
        <v>87</v>
      </c>
      <c r="C1721" s="252" t="s">
        <v>40</v>
      </c>
      <c r="J1721" s="34" t="s">
        <v>0</v>
      </c>
      <c r="L1721" s="62" t="s">
        <v>41</v>
      </c>
      <c r="M1721" s="34">
        <v>25292</v>
      </c>
      <c r="N1721" s="67"/>
    </row>
    <row r="1722" spans="2:14" ht="32" x14ac:dyDescent="0.2">
      <c r="B1722" s="253" t="s">
        <v>102</v>
      </c>
      <c r="C1722" s="252" t="s">
        <v>40</v>
      </c>
      <c r="J1722" s="34" t="s">
        <v>0</v>
      </c>
      <c r="L1722" s="62" t="s">
        <v>41</v>
      </c>
      <c r="M1722" s="34">
        <v>25292</v>
      </c>
      <c r="N1722" s="67"/>
    </row>
    <row r="1723" spans="2:14" ht="48" x14ac:dyDescent="0.2">
      <c r="B1723" s="238" t="s">
        <v>280</v>
      </c>
      <c r="C1723" s="252" t="s">
        <v>40</v>
      </c>
      <c r="J1723" s="34" t="s">
        <v>0</v>
      </c>
      <c r="L1723" s="62" t="s">
        <v>41</v>
      </c>
      <c r="M1723" s="34">
        <v>25292</v>
      </c>
      <c r="N1723" s="67"/>
    </row>
    <row r="1724" spans="2:14" ht="17" x14ac:dyDescent="0.2">
      <c r="B1724" s="216" t="s">
        <v>96</v>
      </c>
      <c r="C1724" s="252" t="s">
        <v>40</v>
      </c>
      <c r="J1724" s="34" t="s">
        <v>0</v>
      </c>
      <c r="L1724" s="62" t="s">
        <v>41</v>
      </c>
      <c r="M1724" s="34">
        <v>25292</v>
      </c>
      <c r="N1724" s="67"/>
    </row>
    <row r="1725" spans="2:14" ht="32" x14ac:dyDescent="0.2">
      <c r="B1725" s="238" t="s">
        <v>281</v>
      </c>
      <c r="C1725" s="252" t="s">
        <v>40</v>
      </c>
      <c r="J1725" s="34" t="s">
        <v>0</v>
      </c>
      <c r="L1725" s="62" t="s">
        <v>41</v>
      </c>
      <c r="M1725" s="34">
        <v>25292</v>
      </c>
      <c r="N1725" s="67"/>
    </row>
    <row r="1726" spans="2:14" ht="32" x14ac:dyDescent="0.2">
      <c r="B1726" s="253" t="s">
        <v>282</v>
      </c>
      <c r="C1726" s="252" t="s">
        <v>40</v>
      </c>
      <c r="J1726" s="34" t="s">
        <v>0</v>
      </c>
      <c r="L1726" s="62" t="s">
        <v>41</v>
      </c>
      <c r="M1726" s="34">
        <v>25292</v>
      </c>
      <c r="N1726" s="67"/>
    </row>
    <row r="1727" spans="2:14" ht="17" x14ac:dyDescent="0.2">
      <c r="B1727" s="215" t="s">
        <v>99</v>
      </c>
      <c r="C1727" s="252" t="s">
        <v>40</v>
      </c>
      <c r="J1727" s="34" t="s">
        <v>0</v>
      </c>
      <c r="L1727" s="62" t="s">
        <v>41</v>
      </c>
      <c r="M1727" s="34">
        <v>25292</v>
      </c>
      <c r="N1727" s="67"/>
    </row>
    <row r="1728" spans="2:14" ht="17" x14ac:dyDescent="0.2">
      <c r="B1728" s="217" t="s">
        <v>283</v>
      </c>
      <c r="C1728" s="252" t="s">
        <v>40</v>
      </c>
      <c r="J1728" s="34" t="s">
        <v>0</v>
      </c>
      <c r="L1728" s="62" t="s">
        <v>41</v>
      </c>
      <c r="M1728" s="34">
        <v>25292</v>
      </c>
      <c r="N1728" s="67"/>
    </row>
    <row r="1729" spans="2:14" ht="34" x14ac:dyDescent="0.2">
      <c r="B1729" s="132" t="s">
        <v>116</v>
      </c>
      <c r="N1729" s="67" t="str">
        <f t="shared" si="1"/>
        <v/>
      </c>
    </row>
    <row r="1730" spans="2:14" ht="64" x14ac:dyDescent="0.2">
      <c r="B1730" s="143" t="s">
        <v>117</v>
      </c>
      <c r="C1730" s="19" t="s">
        <v>40</v>
      </c>
      <c r="J1730" s="34" t="s">
        <v>92</v>
      </c>
      <c r="L1730" s="62" t="s">
        <v>41</v>
      </c>
      <c r="M1730" s="34">
        <v>25292</v>
      </c>
      <c r="N1730" s="67" t="str">
        <f t="shared" si="1"/>
        <v>Ina Sabadze</v>
      </c>
    </row>
    <row r="1731" spans="2:14" ht="64" x14ac:dyDescent="0.2">
      <c r="B1731" s="143" t="s">
        <v>118</v>
      </c>
      <c r="C1731" s="19" t="s">
        <v>40</v>
      </c>
      <c r="J1731" s="34" t="s">
        <v>92</v>
      </c>
      <c r="L1731" s="62" t="s">
        <v>41</v>
      </c>
      <c r="M1731" s="34">
        <v>25292</v>
      </c>
      <c r="N1731" s="67" t="str">
        <f t="shared" si="1"/>
        <v>Ina Sabadze</v>
      </c>
    </row>
    <row r="1732" spans="2:14" ht="17" x14ac:dyDescent="0.2">
      <c r="B1732" s="143" t="s">
        <v>119</v>
      </c>
      <c r="C1732" s="19" t="s">
        <v>40</v>
      </c>
      <c r="J1732" s="34" t="s">
        <v>92</v>
      </c>
      <c r="L1732" s="62" t="s">
        <v>41</v>
      </c>
      <c r="M1732" s="34">
        <v>25292</v>
      </c>
      <c r="N1732" s="67" t="str">
        <f t="shared" si="1"/>
        <v>Ina Sabadze</v>
      </c>
    </row>
    <row r="1733" spans="2:14" ht="32" x14ac:dyDescent="0.2">
      <c r="B1733" s="143" t="s">
        <v>120</v>
      </c>
      <c r="C1733" s="19" t="s">
        <v>40</v>
      </c>
      <c r="J1733" s="34" t="s">
        <v>92</v>
      </c>
      <c r="L1733" s="62" t="s">
        <v>41</v>
      </c>
      <c r="M1733" s="34">
        <v>25292</v>
      </c>
      <c r="N1733" s="67" t="str">
        <f t="shared" ref="N1733:N1794" si="2">IF(C1733="","","Ina Sabadze")</f>
        <v>Ina Sabadze</v>
      </c>
    </row>
    <row r="1734" spans="2:14" ht="17" x14ac:dyDescent="0.2">
      <c r="B1734" s="128" t="s">
        <v>121</v>
      </c>
      <c r="C1734" s="19"/>
      <c r="N1734" s="67" t="str">
        <f t="shared" si="2"/>
        <v/>
      </c>
    </row>
    <row r="1735" spans="2:14" ht="17" x14ac:dyDescent="0.2">
      <c r="B1735" s="145" t="s">
        <v>122</v>
      </c>
      <c r="C1735" s="19" t="s">
        <v>40</v>
      </c>
      <c r="J1735" s="34" t="s">
        <v>0</v>
      </c>
      <c r="L1735" s="62" t="s">
        <v>41</v>
      </c>
      <c r="M1735" s="34">
        <v>25292</v>
      </c>
      <c r="N1735" s="67" t="str">
        <f t="shared" si="2"/>
        <v>Ina Sabadze</v>
      </c>
    </row>
    <row r="1736" spans="2:14" ht="17" x14ac:dyDescent="0.2">
      <c r="B1736" s="139" t="s">
        <v>123</v>
      </c>
      <c r="C1736" s="19" t="s">
        <v>40</v>
      </c>
      <c r="J1736" s="34" t="s">
        <v>0</v>
      </c>
      <c r="L1736" s="62" t="s">
        <v>41</v>
      </c>
      <c r="M1736" s="34">
        <v>25292</v>
      </c>
      <c r="N1736" s="67" t="str">
        <f t="shared" si="2"/>
        <v>Ina Sabadze</v>
      </c>
    </row>
    <row r="1737" spans="2:14" ht="34" x14ac:dyDescent="0.2">
      <c r="B1737" s="167" t="s">
        <v>284</v>
      </c>
      <c r="C1737" s="19" t="s">
        <v>40</v>
      </c>
      <c r="J1737" s="34" t="s">
        <v>0</v>
      </c>
      <c r="L1737" s="62" t="s">
        <v>41</v>
      </c>
      <c r="M1737" s="34">
        <v>25292</v>
      </c>
      <c r="N1737" s="67" t="str">
        <f t="shared" si="2"/>
        <v>Ina Sabadze</v>
      </c>
    </row>
    <row r="1738" spans="2:14" ht="17" x14ac:dyDescent="0.2">
      <c r="B1738" s="139" t="s">
        <v>125</v>
      </c>
      <c r="C1738" s="19" t="s">
        <v>40</v>
      </c>
      <c r="J1738" s="34" t="s">
        <v>0</v>
      </c>
      <c r="L1738" s="62" t="s">
        <v>41</v>
      </c>
      <c r="M1738" s="34">
        <v>25292</v>
      </c>
      <c r="N1738" s="67" t="str">
        <f t="shared" si="2"/>
        <v>Ina Sabadze</v>
      </c>
    </row>
    <row r="1739" spans="2:14" ht="17" x14ac:dyDescent="0.2">
      <c r="B1739" s="145" t="s">
        <v>126</v>
      </c>
      <c r="C1739" s="19" t="s">
        <v>40</v>
      </c>
      <c r="J1739" s="34" t="s">
        <v>0</v>
      </c>
      <c r="L1739" s="62" t="s">
        <v>41</v>
      </c>
      <c r="M1739" s="34">
        <v>25292</v>
      </c>
      <c r="N1739" s="67" t="str">
        <f t="shared" si="2"/>
        <v>Ina Sabadze</v>
      </c>
    </row>
    <row r="1740" spans="2:14" ht="17" x14ac:dyDescent="0.2">
      <c r="B1740" s="166" t="s">
        <v>285</v>
      </c>
      <c r="C1740" s="19" t="s">
        <v>40</v>
      </c>
      <c r="J1740" s="34" t="s">
        <v>0</v>
      </c>
      <c r="L1740" s="62" t="s">
        <v>41</v>
      </c>
      <c r="M1740" s="34">
        <v>25292</v>
      </c>
      <c r="N1740" s="67" t="str">
        <f t="shared" si="2"/>
        <v>Ina Sabadze</v>
      </c>
    </row>
    <row r="1741" spans="2:14" ht="17" x14ac:dyDescent="0.2">
      <c r="B1741" s="166" t="s">
        <v>286</v>
      </c>
      <c r="C1741" s="19" t="s">
        <v>40</v>
      </c>
      <c r="J1741" s="34" t="s">
        <v>0</v>
      </c>
      <c r="L1741" s="62" t="s">
        <v>41</v>
      </c>
      <c r="M1741" s="34">
        <v>25292</v>
      </c>
      <c r="N1741" s="67" t="str">
        <f t="shared" si="2"/>
        <v>Ina Sabadze</v>
      </c>
    </row>
    <row r="1742" spans="2:14" ht="17" x14ac:dyDescent="0.2">
      <c r="B1742" s="146" t="s">
        <v>248</v>
      </c>
      <c r="C1742" s="19" t="s">
        <v>40</v>
      </c>
      <c r="J1742" s="34" t="s">
        <v>0</v>
      </c>
      <c r="L1742" s="62" t="s">
        <v>41</v>
      </c>
      <c r="M1742" s="34">
        <v>25292</v>
      </c>
      <c r="N1742" s="67" t="str">
        <f t="shared" si="2"/>
        <v>Ina Sabadze</v>
      </c>
    </row>
    <row r="1743" spans="2:14" ht="17" x14ac:dyDescent="0.2">
      <c r="B1743" s="138" t="s">
        <v>130</v>
      </c>
      <c r="C1743" s="19" t="s">
        <v>40</v>
      </c>
      <c r="J1743" s="34" t="s">
        <v>0</v>
      </c>
      <c r="L1743" s="62" t="s">
        <v>41</v>
      </c>
      <c r="M1743" s="34">
        <v>25292</v>
      </c>
      <c r="N1743" s="67" t="str">
        <f t="shared" si="2"/>
        <v>Ina Sabadze</v>
      </c>
    </row>
    <row r="1744" spans="2:14" ht="17" x14ac:dyDescent="0.2">
      <c r="B1744" s="147" t="s">
        <v>131</v>
      </c>
      <c r="C1744" s="19" t="s">
        <v>40</v>
      </c>
      <c r="J1744" s="34" t="s">
        <v>0</v>
      </c>
      <c r="L1744" s="62" t="s">
        <v>41</v>
      </c>
      <c r="M1744" s="34">
        <v>25292</v>
      </c>
      <c r="N1744" s="67" t="str">
        <f t="shared" si="2"/>
        <v>Ina Sabadze</v>
      </c>
    </row>
    <row r="1745" spans="2:14" ht="17" x14ac:dyDescent="0.2">
      <c r="B1745" s="147" t="s">
        <v>132</v>
      </c>
      <c r="C1745" s="19" t="s">
        <v>40</v>
      </c>
      <c r="J1745" s="34" t="s">
        <v>0</v>
      </c>
      <c r="L1745" s="62" t="s">
        <v>41</v>
      </c>
      <c r="M1745" s="34">
        <v>25292</v>
      </c>
      <c r="N1745" s="67" t="str">
        <f t="shared" si="2"/>
        <v>Ina Sabadze</v>
      </c>
    </row>
    <row r="1746" spans="2:14" ht="17" x14ac:dyDescent="0.2">
      <c r="B1746" s="147" t="s">
        <v>134</v>
      </c>
      <c r="C1746" s="19" t="s">
        <v>40</v>
      </c>
      <c r="J1746" s="34" t="s">
        <v>0</v>
      </c>
      <c r="L1746" s="62" t="s">
        <v>41</v>
      </c>
      <c r="M1746" s="34">
        <v>25292</v>
      </c>
      <c r="N1746" s="67" t="str">
        <f t="shared" si="2"/>
        <v>Ina Sabadze</v>
      </c>
    </row>
    <row r="1747" spans="2:14" ht="17" x14ac:dyDescent="0.2">
      <c r="B1747" s="147" t="s">
        <v>136</v>
      </c>
      <c r="C1747" s="19" t="s">
        <v>40</v>
      </c>
      <c r="J1747" s="34" t="s">
        <v>0</v>
      </c>
      <c r="L1747" s="62" t="s">
        <v>41</v>
      </c>
      <c r="M1747" s="34">
        <v>25292</v>
      </c>
      <c r="N1747" s="67" t="str">
        <f t="shared" si="2"/>
        <v>Ina Sabadze</v>
      </c>
    </row>
    <row r="1748" spans="2:14" ht="20" x14ac:dyDescent="0.25">
      <c r="B1748" s="230" t="s">
        <v>238</v>
      </c>
      <c r="C1748" s="19"/>
      <c r="N1748" s="67" t="str">
        <f t="shared" si="2"/>
        <v/>
      </c>
    </row>
    <row r="1749" spans="2:14" ht="17" x14ac:dyDescent="0.2">
      <c r="B1749" s="147" t="s">
        <v>239</v>
      </c>
      <c r="C1749" s="19" t="s">
        <v>40</v>
      </c>
      <c r="J1749" s="34" t="s">
        <v>0</v>
      </c>
      <c r="L1749" s="62" t="s">
        <v>41</v>
      </c>
      <c r="M1749" s="34">
        <v>25292</v>
      </c>
      <c r="N1749" s="67" t="str">
        <f t="shared" si="2"/>
        <v>Ina Sabadze</v>
      </c>
    </row>
    <row r="1750" spans="2:14" ht="23" x14ac:dyDescent="0.3">
      <c r="B1750" s="148" t="s">
        <v>137</v>
      </c>
      <c r="C1750" s="19"/>
      <c r="N1750" s="67" t="str">
        <f t="shared" si="2"/>
        <v/>
      </c>
    </row>
    <row r="1751" spans="2:14" ht="23" x14ac:dyDescent="0.3">
      <c r="B1751" s="148" t="s">
        <v>138</v>
      </c>
      <c r="C1751" s="19"/>
      <c r="N1751" s="67" t="str">
        <f t="shared" si="2"/>
        <v/>
      </c>
    </row>
    <row r="1752" spans="2:14" ht="17" x14ac:dyDescent="0.2">
      <c r="B1752" s="147" t="s">
        <v>139</v>
      </c>
      <c r="C1752" s="19" t="s">
        <v>40</v>
      </c>
      <c r="J1752" s="34" t="s">
        <v>0</v>
      </c>
      <c r="L1752" s="62" t="s">
        <v>41</v>
      </c>
      <c r="M1752" s="34">
        <v>25292</v>
      </c>
      <c r="N1752" s="67" t="str">
        <f t="shared" si="2"/>
        <v>Ina Sabadze</v>
      </c>
    </row>
    <row r="1753" spans="2:14" ht="17" x14ac:dyDescent="0.2">
      <c r="B1753" s="147" t="s">
        <v>140</v>
      </c>
      <c r="C1753" s="19" t="s">
        <v>40</v>
      </c>
      <c r="J1753" s="34" t="s">
        <v>0</v>
      </c>
      <c r="L1753" s="62" t="s">
        <v>41</v>
      </c>
      <c r="M1753" s="34">
        <v>25292</v>
      </c>
      <c r="N1753" s="67" t="str">
        <f t="shared" si="2"/>
        <v>Ina Sabadze</v>
      </c>
    </row>
    <row r="1754" spans="2:14" ht="17" x14ac:dyDescent="0.2">
      <c r="B1754" s="147" t="s">
        <v>141</v>
      </c>
      <c r="C1754" s="19" t="s">
        <v>40</v>
      </c>
      <c r="J1754" s="34" t="s">
        <v>0</v>
      </c>
      <c r="L1754" s="62" t="s">
        <v>41</v>
      </c>
      <c r="M1754" s="34">
        <v>25292</v>
      </c>
      <c r="N1754" s="67" t="str">
        <f t="shared" si="2"/>
        <v>Ina Sabadze</v>
      </c>
    </row>
    <row r="1755" spans="2:14" ht="17" x14ac:dyDescent="0.2">
      <c r="B1755" s="147" t="s">
        <v>142</v>
      </c>
      <c r="C1755" s="19" t="s">
        <v>40</v>
      </c>
      <c r="J1755" s="34" t="s">
        <v>0</v>
      </c>
      <c r="L1755" s="62" t="s">
        <v>41</v>
      </c>
      <c r="M1755" s="34">
        <v>25292</v>
      </c>
      <c r="N1755" s="67" t="str">
        <f t="shared" si="2"/>
        <v>Ina Sabadze</v>
      </c>
    </row>
    <row r="1756" spans="2:14" ht="17" x14ac:dyDescent="0.2">
      <c r="B1756" s="147" t="s">
        <v>143</v>
      </c>
      <c r="C1756" s="19" t="s">
        <v>40</v>
      </c>
      <c r="J1756" s="34" t="s">
        <v>0</v>
      </c>
      <c r="L1756" s="62" t="s">
        <v>41</v>
      </c>
      <c r="M1756" s="34">
        <v>25292</v>
      </c>
      <c r="N1756" s="67" t="str">
        <f t="shared" si="2"/>
        <v>Ina Sabadze</v>
      </c>
    </row>
    <row r="1757" spans="2:14" ht="17" x14ac:dyDescent="0.2">
      <c r="B1757" s="147" t="s">
        <v>240</v>
      </c>
      <c r="C1757" s="19" t="s">
        <v>40</v>
      </c>
      <c r="J1757" s="34" t="s">
        <v>0</v>
      </c>
      <c r="L1757" s="62" t="s">
        <v>41</v>
      </c>
      <c r="M1757" s="34">
        <v>25292</v>
      </c>
      <c r="N1757" s="67" t="str">
        <f t="shared" si="2"/>
        <v>Ina Sabadze</v>
      </c>
    </row>
    <row r="1758" spans="2:14" ht="23" x14ac:dyDescent="0.3">
      <c r="B1758" s="148" t="s">
        <v>144</v>
      </c>
      <c r="C1758" s="19"/>
      <c r="N1758" s="67" t="str">
        <f t="shared" si="2"/>
        <v/>
      </c>
    </row>
    <row r="1759" spans="2:14" ht="17" x14ac:dyDescent="0.2">
      <c r="B1759" s="147" t="s">
        <v>145</v>
      </c>
      <c r="C1759" s="19" t="s">
        <v>40</v>
      </c>
      <c r="J1759" s="34" t="s">
        <v>0</v>
      </c>
      <c r="L1759" s="62" t="s">
        <v>41</v>
      </c>
      <c r="M1759" s="34">
        <v>25292</v>
      </c>
      <c r="N1759" s="67" t="str">
        <f t="shared" si="2"/>
        <v>Ina Sabadze</v>
      </c>
    </row>
    <row r="1760" spans="2:14" ht="17" x14ac:dyDescent="0.2">
      <c r="B1760" s="147" t="s">
        <v>146</v>
      </c>
      <c r="C1760" s="19" t="s">
        <v>40</v>
      </c>
      <c r="J1760" s="34" t="s">
        <v>0</v>
      </c>
      <c r="L1760" s="62" t="s">
        <v>41</v>
      </c>
      <c r="M1760" s="34">
        <v>25292</v>
      </c>
      <c r="N1760" s="67" t="str">
        <f t="shared" si="2"/>
        <v>Ina Sabadze</v>
      </c>
    </row>
    <row r="1761" spans="2:14" ht="17" x14ac:dyDescent="0.2">
      <c r="B1761" s="168" t="s">
        <v>287</v>
      </c>
      <c r="C1761" s="19" t="s">
        <v>40</v>
      </c>
      <c r="J1761" s="34" t="s">
        <v>0</v>
      </c>
      <c r="L1761" s="62" t="s">
        <v>41</v>
      </c>
      <c r="M1761" s="34">
        <v>25292</v>
      </c>
      <c r="N1761" s="67" t="str">
        <f t="shared" si="2"/>
        <v>Ina Sabadze</v>
      </c>
    </row>
    <row r="1762" spans="2:14" ht="17" x14ac:dyDescent="0.2">
      <c r="B1762" s="147" t="s">
        <v>249</v>
      </c>
      <c r="C1762" s="19" t="s">
        <v>40</v>
      </c>
      <c r="J1762" s="34" t="s">
        <v>0</v>
      </c>
      <c r="L1762" s="62" t="s">
        <v>41</v>
      </c>
      <c r="M1762" s="34">
        <v>25292</v>
      </c>
      <c r="N1762" s="67" t="str">
        <f t="shared" si="2"/>
        <v>Ina Sabadze</v>
      </c>
    </row>
    <row r="1763" spans="2:14" ht="17" x14ac:dyDescent="0.2">
      <c r="B1763" s="147" t="s">
        <v>149</v>
      </c>
      <c r="C1763" s="19" t="s">
        <v>40</v>
      </c>
      <c r="J1763" s="34" t="s">
        <v>0</v>
      </c>
      <c r="L1763" s="62" t="s">
        <v>41</v>
      </c>
      <c r="M1763" s="34">
        <v>25292</v>
      </c>
      <c r="N1763" s="67" t="str">
        <f t="shared" si="2"/>
        <v>Ina Sabadze</v>
      </c>
    </row>
    <row r="1764" spans="2:14" ht="20" x14ac:dyDescent="0.25">
      <c r="B1764" s="149" t="s">
        <v>150</v>
      </c>
      <c r="C1764" s="19"/>
      <c r="N1764" s="67" t="str">
        <f t="shared" si="2"/>
        <v/>
      </c>
    </row>
    <row r="1765" spans="2:14" ht="17" x14ac:dyDescent="0.2">
      <c r="B1765" s="150" t="s">
        <v>151</v>
      </c>
      <c r="C1765" s="19"/>
      <c r="N1765" s="67" t="str">
        <f t="shared" si="2"/>
        <v/>
      </c>
    </row>
    <row r="1766" spans="2:14" ht="17" x14ac:dyDescent="0.2">
      <c r="B1766" s="151" t="s">
        <v>152</v>
      </c>
      <c r="C1766" s="19" t="s">
        <v>40</v>
      </c>
      <c r="J1766" s="34" t="s">
        <v>0</v>
      </c>
      <c r="L1766" s="62" t="s">
        <v>41</v>
      </c>
      <c r="M1766" s="34">
        <v>25292</v>
      </c>
      <c r="N1766" s="67" t="str">
        <f t="shared" si="2"/>
        <v>Ina Sabadze</v>
      </c>
    </row>
    <row r="1767" spans="2:14" ht="17" x14ac:dyDescent="0.2">
      <c r="B1767" s="151" t="s">
        <v>153</v>
      </c>
      <c r="C1767" s="19" t="s">
        <v>40</v>
      </c>
      <c r="J1767" s="34" t="s">
        <v>0</v>
      </c>
      <c r="L1767" s="62" t="s">
        <v>41</v>
      </c>
      <c r="M1767" s="34">
        <v>25292</v>
      </c>
      <c r="N1767" s="67" t="str">
        <f t="shared" si="2"/>
        <v>Ina Sabadze</v>
      </c>
    </row>
    <row r="1768" spans="2:14" ht="17" x14ac:dyDescent="0.2">
      <c r="B1768" s="152" t="s">
        <v>154</v>
      </c>
      <c r="C1768" s="19" t="s">
        <v>40</v>
      </c>
      <c r="J1768" s="34" t="s">
        <v>0</v>
      </c>
      <c r="L1768" s="62" t="s">
        <v>41</v>
      </c>
      <c r="M1768" s="34">
        <v>25292</v>
      </c>
      <c r="N1768" s="67" t="str">
        <f t="shared" si="2"/>
        <v>Ina Sabadze</v>
      </c>
    </row>
    <row r="1769" spans="2:14" ht="17" x14ac:dyDescent="0.2">
      <c r="B1769" s="143" t="s">
        <v>155</v>
      </c>
      <c r="C1769" s="19" t="s">
        <v>40</v>
      </c>
      <c r="J1769" s="34" t="s">
        <v>0</v>
      </c>
      <c r="L1769" s="62" t="s">
        <v>41</v>
      </c>
      <c r="M1769" s="34">
        <v>25292</v>
      </c>
      <c r="N1769" s="67" t="str">
        <f t="shared" si="2"/>
        <v>Ina Sabadze</v>
      </c>
    </row>
    <row r="1770" spans="2:14" ht="17" x14ac:dyDescent="0.2">
      <c r="B1770" s="153" t="s">
        <v>156</v>
      </c>
      <c r="N1770" s="67" t="str">
        <f t="shared" si="2"/>
        <v/>
      </c>
    </row>
    <row r="1771" spans="2:14" ht="17" x14ac:dyDescent="0.2">
      <c r="B1771" s="153" t="s">
        <v>157</v>
      </c>
      <c r="C1771" s="19"/>
      <c r="N1771" s="67" t="str">
        <f t="shared" si="2"/>
        <v/>
      </c>
    </row>
    <row r="1772" spans="2:14" ht="17" x14ac:dyDescent="0.2">
      <c r="B1772" s="154" t="s">
        <v>158</v>
      </c>
      <c r="C1772" s="19" t="s">
        <v>40</v>
      </c>
      <c r="J1772" s="34" t="s">
        <v>0</v>
      </c>
      <c r="L1772" s="62" t="s">
        <v>41</v>
      </c>
      <c r="M1772" s="34">
        <v>25292</v>
      </c>
      <c r="N1772" s="67" t="str">
        <f t="shared" si="2"/>
        <v>Ina Sabadze</v>
      </c>
    </row>
    <row r="1773" spans="2:14" ht="17" x14ac:dyDescent="0.2">
      <c r="B1773" s="155" t="s">
        <v>159</v>
      </c>
      <c r="C1773" s="19" t="s">
        <v>40</v>
      </c>
      <c r="J1773" s="34" t="s">
        <v>0</v>
      </c>
      <c r="L1773" s="62" t="s">
        <v>41</v>
      </c>
      <c r="M1773" s="34">
        <v>25292</v>
      </c>
      <c r="N1773" s="67" t="str">
        <f t="shared" si="2"/>
        <v>Ina Sabadze</v>
      </c>
    </row>
    <row r="1774" spans="2:14" ht="17" x14ac:dyDescent="0.2">
      <c r="B1774" s="151" t="s">
        <v>160</v>
      </c>
      <c r="C1774" s="19" t="s">
        <v>40</v>
      </c>
      <c r="J1774" s="34" t="s">
        <v>0</v>
      </c>
      <c r="L1774" s="62" t="s">
        <v>41</v>
      </c>
      <c r="M1774" s="34">
        <v>25292</v>
      </c>
      <c r="N1774" s="67" t="str">
        <f t="shared" si="2"/>
        <v>Ina Sabadze</v>
      </c>
    </row>
    <row r="1775" spans="2:14" ht="17" x14ac:dyDescent="0.2">
      <c r="B1775" s="153" t="s">
        <v>161</v>
      </c>
      <c r="C1775" s="19"/>
      <c r="N1775" s="67" t="str">
        <f t="shared" si="2"/>
        <v/>
      </c>
    </row>
    <row r="1776" spans="2:14" ht="17" x14ac:dyDescent="0.2">
      <c r="B1776" s="156" t="s">
        <v>162</v>
      </c>
      <c r="C1776" s="19"/>
      <c r="N1776" s="67" t="str">
        <f t="shared" si="2"/>
        <v/>
      </c>
    </row>
    <row r="1777" spans="2:14" ht="48" x14ac:dyDescent="0.2">
      <c r="B1777" s="151" t="s">
        <v>163</v>
      </c>
      <c r="C1777" s="19" t="s">
        <v>40</v>
      </c>
      <c r="J1777" s="173"/>
      <c r="L1777" s="62" t="s">
        <v>41</v>
      </c>
      <c r="M1777" s="34">
        <v>25292</v>
      </c>
      <c r="N1777" s="67" t="str">
        <f t="shared" si="2"/>
        <v>Ina Sabadze</v>
      </c>
    </row>
    <row r="1778" spans="2:14" ht="29.25" customHeight="1" x14ac:dyDescent="0.2">
      <c r="B1778" s="166" t="s">
        <v>288</v>
      </c>
      <c r="C1778" s="19" t="s">
        <v>40</v>
      </c>
      <c r="J1778" s="34" t="s">
        <v>0</v>
      </c>
      <c r="L1778" s="62" t="s">
        <v>41</v>
      </c>
      <c r="M1778" s="34">
        <v>25292</v>
      </c>
      <c r="N1778" s="67" t="str">
        <f t="shared" si="2"/>
        <v>Ina Sabadze</v>
      </c>
    </row>
    <row r="1779" spans="2:14" ht="17" x14ac:dyDescent="0.2">
      <c r="B1779" s="156" t="s">
        <v>165</v>
      </c>
      <c r="C1779" s="19"/>
      <c r="N1779" s="67" t="str">
        <f t="shared" si="2"/>
        <v/>
      </c>
    </row>
    <row r="1780" spans="2:14" ht="48" x14ac:dyDescent="0.2">
      <c r="B1780" s="151" t="s">
        <v>166</v>
      </c>
      <c r="C1780" s="19" t="s">
        <v>40</v>
      </c>
      <c r="J1780" s="173"/>
      <c r="L1780" s="62" t="s">
        <v>41</v>
      </c>
      <c r="M1780" s="34">
        <v>25292</v>
      </c>
      <c r="N1780" s="67" t="str">
        <f t="shared" si="2"/>
        <v>Ina Sabadze</v>
      </c>
    </row>
    <row r="1781" spans="2:14" ht="17" x14ac:dyDescent="0.2">
      <c r="B1781" s="138" t="s">
        <v>167</v>
      </c>
      <c r="C1781" s="19" t="s">
        <v>40</v>
      </c>
      <c r="J1781" s="34" t="s">
        <v>0</v>
      </c>
      <c r="L1781" s="62" t="s">
        <v>41</v>
      </c>
      <c r="M1781" s="34">
        <v>25292</v>
      </c>
      <c r="N1781" s="67" t="str">
        <f t="shared" si="2"/>
        <v>Ina Sabadze</v>
      </c>
    </row>
    <row r="1782" spans="2:14" ht="17" x14ac:dyDescent="0.2">
      <c r="B1782" s="157" t="s">
        <v>168</v>
      </c>
      <c r="N1782" s="67" t="str">
        <f t="shared" si="2"/>
        <v/>
      </c>
    </row>
    <row r="1783" spans="2:14" ht="51" x14ac:dyDescent="0.2">
      <c r="B1783" s="158" t="s">
        <v>169</v>
      </c>
      <c r="C1783" s="19" t="s">
        <v>40</v>
      </c>
      <c r="J1783" s="34" t="s">
        <v>0</v>
      </c>
      <c r="L1783" s="62" t="s">
        <v>41</v>
      </c>
      <c r="M1783" s="34">
        <v>25292</v>
      </c>
      <c r="N1783" s="67" t="str">
        <f t="shared" si="2"/>
        <v>Ina Sabadze</v>
      </c>
    </row>
    <row r="1784" spans="2:14" ht="17" x14ac:dyDescent="0.2">
      <c r="B1784" s="159" t="s">
        <v>170</v>
      </c>
      <c r="C1784" s="19" t="s">
        <v>40</v>
      </c>
      <c r="J1784" s="34" t="s">
        <v>0</v>
      </c>
      <c r="L1784" s="62" t="s">
        <v>41</v>
      </c>
      <c r="M1784" s="34">
        <v>25292</v>
      </c>
      <c r="N1784" s="67" t="str">
        <f t="shared" si="2"/>
        <v>Ina Sabadze</v>
      </c>
    </row>
    <row r="1785" spans="2:14" ht="17" x14ac:dyDescent="0.2">
      <c r="B1785" s="157" t="s">
        <v>215</v>
      </c>
      <c r="C1785" s="19"/>
      <c r="N1785" s="67" t="str">
        <f t="shared" si="2"/>
        <v/>
      </c>
    </row>
    <row r="1786" spans="2:14" ht="51" x14ac:dyDescent="0.2">
      <c r="B1786" s="158" t="s">
        <v>216</v>
      </c>
      <c r="C1786" s="19" t="s">
        <v>40</v>
      </c>
      <c r="J1786" s="173"/>
      <c r="L1786" s="62" t="s">
        <v>41</v>
      </c>
      <c r="M1786" s="34">
        <v>25292</v>
      </c>
      <c r="N1786" s="67" t="str">
        <f t="shared" si="2"/>
        <v>Ina Sabadze</v>
      </c>
    </row>
    <row r="1787" spans="2:14" ht="17" x14ac:dyDescent="0.2">
      <c r="B1787" s="144" t="s">
        <v>217</v>
      </c>
      <c r="C1787" s="19" t="s">
        <v>40</v>
      </c>
      <c r="J1787" s="34" t="s">
        <v>0</v>
      </c>
      <c r="L1787" s="62" t="s">
        <v>41</v>
      </c>
      <c r="M1787" s="34">
        <v>25292</v>
      </c>
      <c r="N1787" s="67" t="str">
        <f t="shared" si="2"/>
        <v>Ina Sabadze</v>
      </c>
    </row>
    <row r="1788" spans="2:14" ht="17" x14ac:dyDescent="0.2">
      <c r="B1788" s="157" t="s">
        <v>171</v>
      </c>
      <c r="C1788" s="19"/>
      <c r="N1788" s="67" t="str">
        <f t="shared" si="2"/>
        <v/>
      </c>
    </row>
    <row r="1789" spans="2:14" ht="48" x14ac:dyDescent="0.2">
      <c r="B1789" s="144" t="s">
        <v>172</v>
      </c>
      <c r="C1789" s="19" t="s">
        <v>40</v>
      </c>
      <c r="J1789" s="173"/>
      <c r="L1789" s="62" t="s">
        <v>41</v>
      </c>
      <c r="M1789" s="34">
        <v>25292</v>
      </c>
      <c r="N1789" s="67" t="str">
        <f t="shared" si="2"/>
        <v>Ina Sabadze</v>
      </c>
    </row>
    <row r="1790" spans="2:14" ht="17" x14ac:dyDescent="0.2">
      <c r="B1790" s="160" t="s">
        <v>173</v>
      </c>
      <c r="C1790" s="19" t="s">
        <v>40</v>
      </c>
      <c r="J1790" s="34" t="s">
        <v>0</v>
      </c>
      <c r="L1790" s="62" t="s">
        <v>41</v>
      </c>
      <c r="M1790" s="34">
        <v>25292</v>
      </c>
      <c r="N1790" s="67" t="str">
        <f t="shared" si="2"/>
        <v>Ina Sabadze</v>
      </c>
    </row>
    <row r="1791" spans="2:14" ht="17" x14ac:dyDescent="0.2">
      <c r="B1791" s="161" t="s">
        <v>174</v>
      </c>
      <c r="N1791" s="67" t="str">
        <f t="shared" si="2"/>
        <v/>
      </c>
    </row>
    <row r="1792" spans="2:14" ht="51" x14ac:dyDescent="0.2">
      <c r="B1792" s="161" t="s">
        <v>175</v>
      </c>
      <c r="C1792" s="19"/>
      <c r="N1792" s="67" t="str">
        <f t="shared" si="2"/>
        <v/>
      </c>
    </row>
    <row r="1793" spans="2:14" ht="17" x14ac:dyDescent="0.2">
      <c r="B1793" s="131" t="s">
        <v>176</v>
      </c>
      <c r="C1793" s="19" t="s">
        <v>40</v>
      </c>
      <c r="J1793" s="34" t="s">
        <v>0</v>
      </c>
      <c r="L1793" s="62" t="s">
        <v>41</v>
      </c>
      <c r="M1793" s="34">
        <v>25292</v>
      </c>
      <c r="N1793" s="67" t="str">
        <f t="shared" si="2"/>
        <v>Ina Sabadze</v>
      </c>
    </row>
    <row r="1794" spans="2:14" ht="17" x14ac:dyDescent="0.2">
      <c r="B1794" s="160" t="s">
        <v>177</v>
      </c>
      <c r="C1794" s="19" t="s">
        <v>40</v>
      </c>
      <c r="J1794" s="34" t="s">
        <v>0</v>
      </c>
      <c r="L1794" s="62" t="s">
        <v>41</v>
      </c>
      <c r="M1794" s="34">
        <v>25292</v>
      </c>
      <c r="N1794" s="67" t="str">
        <f t="shared" si="2"/>
        <v>Ina Sabadze</v>
      </c>
    </row>
    <row r="1795" spans="2:14" ht="17" x14ac:dyDescent="0.2">
      <c r="B1795" s="160" t="s">
        <v>250</v>
      </c>
      <c r="C1795" s="19" t="s">
        <v>40</v>
      </c>
      <c r="J1795" s="34" t="s">
        <v>0</v>
      </c>
      <c r="L1795" s="62" t="s">
        <v>41</v>
      </c>
      <c r="M1795" s="34">
        <v>25292</v>
      </c>
      <c r="N1795" s="67" t="str">
        <f t="shared" ref="N1795:N1831" si="3">IF(C1795="","","Ina Sabadze")</f>
        <v>Ina Sabadze</v>
      </c>
    </row>
    <row r="1796" spans="2:14" ht="68" x14ac:dyDescent="0.2">
      <c r="B1796" s="160" t="s">
        <v>251</v>
      </c>
      <c r="C1796" s="19" t="s">
        <v>40</v>
      </c>
      <c r="J1796" s="34" t="s">
        <v>0</v>
      </c>
      <c r="L1796" s="62" t="s">
        <v>41</v>
      </c>
      <c r="M1796" s="34">
        <v>25292</v>
      </c>
      <c r="N1796" s="67" t="str">
        <f t="shared" si="3"/>
        <v>Ina Sabadze</v>
      </c>
    </row>
    <row r="1797" spans="2:14" ht="17" x14ac:dyDescent="0.2">
      <c r="B1797" s="131" t="s">
        <v>178</v>
      </c>
      <c r="C1797" s="19" t="s">
        <v>40</v>
      </c>
      <c r="J1797" s="34" t="s">
        <v>0</v>
      </c>
      <c r="L1797" s="62" t="s">
        <v>41</v>
      </c>
      <c r="M1797" s="34">
        <v>25292</v>
      </c>
      <c r="N1797" s="67" t="str">
        <f t="shared" si="3"/>
        <v>Ina Sabadze</v>
      </c>
    </row>
    <row r="1798" spans="2:14" ht="68" x14ac:dyDescent="0.2">
      <c r="B1798" s="165" t="s">
        <v>289</v>
      </c>
      <c r="C1798" s="19" t="s">
        <v>40</v>
      </c>
      <c r="J1798" s="34" t="s">
        <v>0</v>
      </c>
      <c r="L1798" s="62" t="s">
        <v>41</v>
      </c>
      <c r="M1798" s="34">
        <v>25292</v>
      </c>
      <c r="N1798" s="67" t="str">
        <f t="shared" si="3"/>
        <v>Ina Sabadze</v>
      </c>
    </row>
    <row r="1799" spans="2:14" ht="17" x14ac:dyDescent="0.2">
      <c r="B1799" s="131" t="s">
        <v>180</v>
      </c>
      <c r="C1799" s="19" t="s">
        <v>40</v>
      </c>
      <c r="J1799" s="34" t="s">
        <v>0</v>
      </c>
      <c r="L1799" s="62" t="s">
        <v>41</v>
      </c>
      <c r="M1799" s="34">
        <v>25292</v>
      </c>
      <c r="N1799" s="67" t="str">
        <f t="shared" si="3"/>
        <v>Ina Sabadze</v>
      </c>
    </row>
    <row r="1800" spans="2:14" ht="68" x14ac:dyDescent="0.2">
      <c r="B1800" s="165" t="s">
        <v>290</v>
      </c>
      <c r="C1800" s="19" t="s">
        <v>40</v>
      </c>
      <c r="J1800" s="34" t="s">
        <v>0</v>
      </c>
      <c r="L1800" s="62" t="s">
        <v>41</v>
      </c>
      <c r="M1800" s="34">
        <v>25292</v>
      </c>
      <c r="N1800" s="67" t="str">
        <f t="shared" si="3"/>
        <v>Ina Sabadze</v>
      </c>
    </row>
    <row r="1801" spans="2:14" ht="17" x14ac:dyDescent="0.2">
      <c r="B1801" s="160" t="s">
        <v>182</v>
      </c>
      <c r="C1801" s="19" t="s">
        <v>40</v>
      </c>
      <c r="J1801" s="34" t="s">
        <v>0</v>
      </c>
      <c r="L1801" s="62" t="s">
        <v>41</v>
      </c>
      <c r="M1801" s="34">
        <v>25292</v>
      </c>
      <c r="N1801" s="67" t="str">
        <f t="shared" si="3"/>
        <v>Ina Sabadze</v>
      </c>
    </row>
    <row r="1802" spans="2:14" ht="68" x14ac:dyDescent="0.2">
      <c r="B1802" s="160" t="s">
        <v>291</v>
      </c>
      <c r="C1802" s="19" t="s">
        <v>40</v>
      </c>
      <c r="J1802" s="34" t="s">
        <v>0</v>
      </c>
      <c r="L1802" s="62" t="s">
        <v>41</v>
      </c>
      <c r="M1802" s="34">
        <v>25292</v>
      </c>
      <c r="N1802" s="67" t="str">
        <f t="shared" si="3"/>
        <v>Ina Sabadze</v>
      </c>
    </row>
    <row r="1803" spans="2:14" ht="17" x14ac:dyDescent="0.2">
      <c r="B1803" s="162" t="s">
        <v>184</v>
      </c>
      <c r="C1803" s="19" t="s">
        <v>40</v>
      </c>
      <c r="J1803" s="34" t="s">
        <v>0</v>
      </c>
      <c r="L1803" s="62" t="s">
        <v>41</v>
      </c>
      <c r="M1803" s="34">
        <v>25292</v>
      </c>
      <c r="N1803" s="67" t="str">
        <f t="shared" si="3"/>
        <v>Ina Sabadze</v>
      </c>
    </row>
    <row r="1804" spans="2:14" ht="17" x14ac:dyDescent="0.2">
      <c r="B1804" s="162" t="s">
        <v>185</v>
      </c>
      <c r="C1804" s="19" t="s">
        <v>40</v>
      </c>
      <c r="J1804" s="34" t="s">
        <v>0</v>
      </c>
      <c r="L1804" s="62" t="s">
        <v>41</v>
      </c>
      <c r="M1804" s="34">
        <v>25292</v>
      </c>
      <c r="N1804" s="67" t="str">
        <f t="shared" si="3"/>
        <v>Ina Sabadze</v>
      </c>
    </row>
    <row r="1805" spans="2:14" ht="17" x14ac:dyDescent="0.2">
      <c r="N1805" s="67" t="str">
        <f t="shared" si="3"/>
        <v/>
      </c>
    </row>
    <row r="1806" spans="2:14" ht="17" x14ac:dyDescent="0.2">
      <c r="N1806" s="67" t="str">
        <f t="shared" si="3"/>
        <v/>
      </c>
    </row>
    <row r="1807" spans="2:14" ht="25" x14ac:dyDescent="0.3">
      <c r="B1807" s="125" t="s">
        <v>292</v>
      </c>
      <c r="C1807" s="59"/>
      <c r="N1807" s="67" t="str">
        <f t="shared" si="3"/>
        <v/>
      </c>
    </row>
    <row r="1808" spans="2:14" ht="123.75" customHeight="1" x14ac:dyDescent="0.2">
      <c r="B1808" s="170" t="s">
        <v>293</v>
      </c>
      <c r="C1808" s="19"/>
      <c r="N1808" s="67" t="str">
        <f t="shared" si="3"/>
        <v/>
      </c>
    </row>
    <row r="1809" spans="2:14" ht="17" x14ac:dyDescent="0.2">
      <c r="B1809" s="127" t="s">
        <v>31</v>
      </c>
      <c r="C1809" s="19"/>
      <c r="N1809" s="67" t="str">
        <f t="shared" si="3"/>
        <v/>
      </c>
    </row>
    <row r="1810" spans="2:14" ht="17" x14ac:dyDescent="0.2">
      <c r="B1810" s="127" t="s">
        <v>32</v>
      </c>
      <c r="N1810" s="67" t="str">
        <f t="shared" si="3"/>
        <v/>
      </c>
    </row>
    <row r="1811" spans="2:14" ht="17" x14ac:dyDescent="0.2">
      <c r="B1811" s="128" t="s">
        <v>33</v>
      </c>
      <c r="N1811" s="67" t="str">
        <f t="shared" si="3"/>
        <v/>
      </c>
    </row>
    <row r="1812" spans="2:14" ht="17" x14ac:dyDescent="0.2">
      <c r="B1812" s="127" t="s">
        <v>34</v>
      </c>
      <c r="C1812" s="19"/>
      <c r="N1812" s="67" t="str">
        <f t="shared" si="3"/>
        <v/>
      </c>
    </row>
    <row r="1813" spans="2:14" ht="51" x14ac:dyDescent="0.2">
      <c r="B1813" s="163" t="s">
        <v>294</v>
      </c>
      <c r="C1813" s="19"/>
      <c r="N1813" s="67" t="str">
        <f t="shared" si="3"/>
        <v/>
      </c>
    </row>
    <row r="1814" spans="2:14" ht="17" x14ac:dyDescent="0.2">
      <c r="B1814" s="129" t="s">
        <v>36</v>
      </c>
      <c r="C1814" s="19"/>
      <c r="N1814" s="67" t="str">
        <f t="shared" si="3"/>
        <v/>
      </c>
    </row>
    <row r="1815" spans="2:14" ht="17" x14ac:dyDescent="0.2">
      <c r="B1815" s="129" t="s">
        <v>37</v>
      </c>
      <c r="C1815" s="19"/>
      <c r="N1815" s="67" t="str">
        <f t="shared" si="3"/>
        <v/>
      </c>
    </row>
    <row r="1816" spans="2:14" ht="17" x14ac:dyDescent="0.2">
      <c r="B1816" s="128" t="s">
        <v>38</v>
      </c>
      <c r="C1816" s="19"/>
      <c r="N1816" s="67" t="str">
        <f t="shared" si="3"/>
        <v/>
      </c>
    </row>
    <row r="1817" spans="2:14" ht="52" x14ac:dyDescent="0.2">
      <c r="B1817" s="130" t="s">
        <v>223</v>
      </c>
      <c r="C1817" s="19" t="s">
        <v>40</v>
      </c>
      <c r="E1817" s="34" t="s">
        <v>0</v>
      </c>
      <c r="G1817" s="62" t="s">
        <v>41</v>
      </c>
      <c r="H1817" s="34">
        <v>18223</v>
      </c>
      <c r="N1817" s="67" t="str">
        <f t="shared" si="3"/>
        <v>Ina Sabadze</v>
      </c>
    </row>
    <row r="1818" spans="2:14" ht="32" x14ac:dyDescent="0.2">
      <c r="B1818" s="130" t="s">
        <v>224</v>
      </c>
      <c r="C1818" s="19" t="s">
        <v>40</v>
      </c>
      <c r="E1818" s="34" t="s">
        <v>0</v>
      </c>
      <c r="G1818" s="62" t="s">
        <v>41</v>
      </c>
      <c r="H1818" s="34">
        <v>18223</v>
      </c>
      <c r="N1818" s="67" t="str">
        <f t="shared" si="3"/>
        <v>Ina Sabadze</v>
      </c>
    </row>
    <row r="1819" spans="2:14" ht="17" x14ac:dyDescent="0.2">
      <c r="B1819" s="128" t="s">
        <v>44</v>
      </c>
      <c r="C1819" s="19"/>
      <c r="N1819" s="67" t="str">
        <f t="shared" si="3"/>
        <v/>
      </c>
    </row>
    <row r="1820" spans="2:14" ht="17" x14ac:dyDescent="0.2">
      <c r="B1820" s="130" t="s">
        <v>225</v>
      </c>
      <c r="C1820" s="19" t="s">
        <v>40</v>
      </c>
      <c r="E1820" s="34" t="s">
        <v>0</v>
      </c>
      <c r="G1820" s="62" t="s">
        <v>41</v>
      </c>
      <c r="H1820" s="34">
        <v>18223</v>
      </c>
      <c r="N1820" s="67" t="str">
        <f t="shared" si="3"/>
        <v>Ina Sabadze</v>
      </c>
    </row>
    <row r="1821" spans="2:14" ht="17" x14ac:dyDescent="0.2">
      <c r="B1821" s="128" t="s">
        <v>47</v>
      </c>
      <c r="N1821" s="67" t="str">
        <f t="shared" si="3"/>
        <v/>
      </c>
    </row>
    <row r="1822" spans="2:14" ht="17" x14ac:dyDescent="0.2">
      <c r="B1822" s="131" t="s">
        <v>48</v>
      </c>
      <c r="C1822" s="19" t="s">
        <v>40</v>
      </c>
      <c r="E1822" s="34" t="s">
        <v>0</v>
      </c>
      <c r="G1822" s="62" t="s">
        <v>41</v>
      </c>
      <c r="H1822" s="34">
        <v>18223</v>
      </c>
      <c r="N1822" s="67" t="str">
        <f t="shared" si="3"/>
        <v>Ina Sabadze</v>
      </c>
    </row>
    <row r="1823" spans="2:14" ht="17" x14ac:dyDescent="0.2">
      <c r="B1823" s="131" t="s">
        <v>49</v>
      </c>
      <c r="C1823" s="19" t="s">
        <v>40</v>
      </c>
      <c r="E1823" s="34" t="s">
        <v>0</v>
      </c>
      <c r="G1823" s="62" t="s">
        <v>41</v>
      </c>
      <c r="H1823" s="34">
        <v>18223</v>
      </c>
      <c r="N1823" s="67" t="str">
        <f t="shared" si="3"/>
        <v>Ina Sabadze</v>
      </c>
    </row>
    <row r="1824" spans="2:14" ht="34" x14ac:dyDescent="0.2">
      <c r="B1824" s="131" t="s">
        <v>50</v>
      </c>
      <c r="C1824" s="19" t="s">
        <v>40</v>
      </c>
      <c r="G1824" s="62" t="s">
        <v>41</v>
      </c>
      <c r="H1824" s="34">
        <v>18223</v>
      </c>
      <c r="N1824" s="67" t="str">
        <f t="shared" si="3"/>
        <v>Ina Sabadze</v>
      </c>
    </row>
    <row r="1825" spans="2:14" ht="17" x14ac:dyDescent="0.2">
      <c r="B1825" s="128" t="s">
        <v>51</v>
      </c>
      <c r="C1825" s="19"/>
      <c r="N1825" s="67" t="str">
        <f t="shared" si="3"/>
        <v/>
      </c>
    </row>
    <row r="1826" spans="2:14" ht="17" x14ac:dyDescent="0.2">
      <c r="B1826" s="131" t="s">
        <v>52</v>
      </c>
      <c r="C1826" s="19" t="s">
        <v>40</v>
      </c>
      <c r="E1826" s="34" t="s">
        <v>0</v>
      </c>
      <c r="G1826" s="62" t="s">
        <v>41</v>
      </c>
      <c r="H1826" s="34">
        <v>18223</v>
      </c>
      <c r="N1826" s="67" t="str">
        <f t="shared" si="3"/>
        <v>Ina Sabadze</v>
      </c>
    </row>
    <row r="1827" spans="2:14" ht="17" x14ac:dyDescent="0.2">
      <c r="B1827" s="132" t="s">
        <v>53</v>
      </c>
      <c r="C1827" s="19"/>
      <c r="N1827" s="67" t="str">
        <f t="shared" si="3"/>
        <v/>
      </c>
    </row>
    <row r="1828" spans="2:14" ht="51" x14ac:dyDescent="0.2">
      <c r="B1828" s="133" t="s">
        <v>227</v>
      </c>
      <c r="C1828" s="19" t="s">
        <v>40</v>
      </c>
      <c r="E1828" s="34" t="s">
        <v>0</v>
      </c>
      <c r="G1828" s="62" t="s">
        <v>41</v>
      </c>
      <c r="H1828" s="34">
        <v>18223</v>
      </c>
      <c r="N1828" s="67" t="str">
        <f t="shared" si="3"/>
        <v>Ina Sabadze</v>
      </c>
    </row>
    <row r="1829" spans="2:14" ht="17" x14ac:dyDescent="0.2">
      <c r="B1829" s="128" t="s">
        <v>55</v>
      </c>
      <c r="C1829" s="19"/>
      <c r="N1829" s="67" t="str">
        <f t="shared" si="3"/>
        <v/>
      </c>
    </row>
    <row r="1830" spans="2:14" ht="51" x14ac:dyDescent="0.2">
      <c r="B1830" s="134" t="s">
        <v>56</v>
      </c>
      <c r="C1830" s="19" t="s">
        <v>57</v>
      </c>
      <c r="E1830" s="34" t="s">
        <v>0</v>
      </c>
      <c r="G1830" s="62" t="s">
        <v>41</v>
      </c>
      <c r="H1830" s="34">
        <v>18223</v>
      </c>
      <c r="N1830" s="67" t="str">
        <f t="shared" si="3"/>
        <v>Ina Sabadze</v>
      </c>
    </row>
    <row r="1831" spans="2:14" ht="17" x14ac:dyDescent="0.2">
      <c r="B1831" s="128" t="s">
        <v>58</v>
      </c>
      <c r="N1831" s="67" t="str">
        <f t="shared" si="3"/>
        <v/>
      </c>
    </row>
    <row r="1832" spans="2:14" ht="51" x14ac:dyDescent="0.2">
      <c r="B1832" s="131" t="s">
        <v>295</v>
      </c>
      <c r="C1832" s="19" t="s">
        <v>40</v>
      </c>
      <c r="E1832" s="34" t="s">
        <v>0</v>
      </c>
      <c r="G1832" s="62" t="s">
        <v>41</v>
      </c>
      <c r="H1832" s="34">
        <v>18223</v>
      </c>
    </row>
    <row r="1833" spans="2:14" x14ac:dyDescent="0.2">
      <c r="B1833" s="231" t="s">
        <v>229</v>
      </c>
      <c r="C1833" s="232"/>
    </row>
    <row r="1834" spans="2:14" ht="17" x14ac:dyDescent="0.2">
      <c r="B1834" s="233" t="s">
        <v>230</v>
      </c>
      <c r="C1834" s="232" t="s">
        <v>40</v>
      </c>
      <c r="E1834" s="34" t="s">
        <v>0</v>
      </c>
      <c r="G1834" s="62" t="s">
        <v>41</v>
      </c>
      <c r="H1834" s="34">
        <v>18223</v>
      </c>
    </row>
    <row r="1835" spans="2:14" ht="17" x14ac:dyDescent="0.2">
      <c r="B1835" s="233" t="s">
        <v>231</v>
      </c>
      <c r="C1835" s="232" t="s">
        <v>40</v>
      </c>
      <c r="E1835" s="34" t="s">
        <v>0</v>
      </c>
      <c r="G1835" s="62" t="s">
        <v>41</v>
      </c>
      <c r="H1835" s="34">
        <v>18223</v>
      </c>
    </row>
    <row r="1836" spans="2:14" ht="17" x14ac:dyDescent="0.2">
      <c r="B1836" s="233" t="s">
        <v>232</v>
      </c>
      <c r="C1836" s="232" t="s">
        <v>40</v>
      </c>
      <c r="E1836" s="34" t="s">
        <v>0</v>
      </c>
      <c r="G1836" s="62" t="s">
        <v>41</v>
      </c>
      <c r="H1836" s="34">
        <v>18223</v>
      </c>
    </row>
    <row r="1837" spans="2:14" ht="17" x14ac:dyDescent="0.2">
      <c r="B1837" s="233" t="s">
        <v>233</v>
      </c>
      <c r="C1837" s="232" t="s">
        <v>40</v>
      </c>
      <c r="E1837" s="34" t="s">
        <v>0</v>
      </c>
      <c r="G1837" s="62" t="s">
        <v>41</v>
      </c>
      <c r="H1837" s="34">
        <v>18223</v>
      </c>
    </row>
    <row r="1838" spans="2:14" ht="17" x14ac:dyDescent="0.2">
      <c r="B1838" s="233" t="s">
        <v>236</v>
      </c>
      <c r="C1838" s="232" t="s">
        <v>40</v>
      </c>
      <c r="E1838" s="34" t="s">
        <v>0</v>
      </c>
      <c r="G1838" s="62" t="s">
        <v>41</v>
      </c>
      <c r="H1838" s="34">
        <v>18223</v>
      </c>
    </row>
    <row r="1839" spans="2:14" ht="17" x14ac:dyDescent="0.2">
      <c r="B1839" s="128" t="s">
        <v>65</v>
      </c>
    </row>
    <row r="1840" spans="2:14" ht="17" x14ac:dyDescent="0.2">
      <c r="B1840" s="174" t="s">
        <v>66</v>
      </c>
      <c r="C1840" s="19" t="s">
        <v>40</v>
      </c>
      <c r="E1840" s="34" t="s">
        <v>0</v>
      </c>
      <c r="G1840" s="62" t="s">
        <v>41</v>
      </c>
      <c r="H1840" s="34">
        <v>18223</v>
      </c>
    </row>
    <row r="1841" spans="2:8" ht="17" x14ac:dyDescent="0.2">
      <c r="B1841" s="138" t="s">
        <v>67</v>
      </c>
      <c r="C1841" s="19" t="s">
        <v>40</v>
      </c>
      <c r="E1841" s="34" t="s">
        <v>0</v>
      </c>
      <c r="G1841" s="62" t="s">
        <v>41</v>
      </c>
      <c r="H1841" s="34">
        <v>18223</v>
      </c>
    </row>
    <row r="1842" spans="2:8" ht="17" x14ac:dyDescent="0.2">
      <c r="B1842" s="166" t="s">
        <v>274</v>
      </c>
      <c r="C1842" s="19" t="s">
        <v>40</v>
      </c>
      <c r="E1842" s="34" t="s">
        <v>0</v>
      </c>
      <c r="G1842" s="62" t="s">
        <v>41</v>
      </c>
      <c r="H1842" s="34">
        <v>18223</v>
      </c>
    </row>
    <row r="1843" spans="2:8" ht="34" x14ac:dyDescent="0.2">
      <c r="B1843" s="166" t="s">
        <v>296</v>
      </c>
      <c r="C1843" s="19" t="s">
        <v>40</v>
      </c>
      <c r="E1843" s="34" t="s">
        <v>0</v>
      </c>
      <c r="G1843" s="62" t="s">
        <v>41</v>
      </c>
      <c r="H1843" s="34">
        <v>18223</v>
      </c>
    </row>
    <row r="1844" spans="2:8" ht="17" x14ac:dyDescent="0.2">
      <c r="B1844" s="166" t="s">
        <v>276</v>
      </c>
      <c r="C1844" s="19" t="s">
        <v>40</v>
      </c>
      <c r="E1844" s="34" t="s">
        <v>0</v>
      </c>
      <c r="G1844" s="62" t="s">
        <v>41</v>
      </c>
      <c r="H1844" s="34">
        <v>18223</v>
      </c>
    </row>
    <row r="1845" spans="2:8" ht="17" x14ac:dyDescent="0.2">
      <c r="B1845" s="166" t="s">
        <v>71</v>
      </c>
      <c r="C1845" s="19" t="s">
        <v>40</v>
      </c>
      <c r="E1845" s="34" t="s">
        <v>0</v>
      </c>
      <c r="G1845" s="62" t="s">
        <v>41</v>
      </c>
      <c r="H1845" s="34">
        <v>18223</v>
      </c>
    </row>
    <row r="1846" spans="2:8" ht="17" x14ac:dyDescent="0.2">
      <c r="B1846" s="139" t="s">
        <v>72</v>
      </c>
      <c r="C1846" s="19" t="s">
        <v>40</v>
      </c>
      <c r="E1846" s="34" t="s">
        <v>0</v>
      </c>
      <c r="G1846" s="62" t="s">
        <v>41</v>
      </c>
      <c r="H1846" s="34">
        <v>18223</v>
      </c>
    </row>
    <row r="1847" spans="2:8" ht="17" x14ac:dyDescent="0.2">
      <c r="B1847" s="237" t="s">
        <v>73</v>
      </c>
      <c r="C1847" s="19" t="s">
        <v>40</v>
      </c>
      <c r="G1847" s="62" t="s">
        <v>41</v>
      </c>
      <c r="H1847" s="34">
        <v>18223</v>
      </c>
    </row>
    <row r="1848" spans="2:8" ht="17" x14ac:dyDescent="0.2">
      <c r="B1848" s="139" t="s">
        <v>74</v>
      </c>
      <c r="C1848" s="19" t="s">
        <v>40</v>
      </c>
      <c r="E1848" s="34" t="s">
        <v>0</v>
      </c>
      <c r="G1848" s="62" t="s">
        <v>41</v>
      </c>
      <c r="H1848" s="34">
        <v>18223</v>
      </c>
    </row>
    <row r="1849" spans="2:8" ht="17" x14ac:dyDescent="0.2">
      <c r="B1849" s="139" t="s">
        <v>75</v>
      </c>
      <c r="C1849" s="19" t="s">
        <v>40</v>
      </c>
      <c r="E1849" s="34" t="s">
        <v>0</v>
      </c>
      <c r="G1849" s="62" t="s">
        <v>41</v>
      </c>
      <c r="H1849" s="34">
        <v>18223</v>
      </c>
    </row>
    <row r="1850" spans="2:8" ht="17" x14ac:dyDescent="0.2">
      <c r="B1850" s="138" t="s">
        <v>76</v>
      </c>
      <c r="C1850" s="19" t="s">
        <v>40</v>
      </c>
      <c r="E1850" s="34" t="s">
        <v>0</v>
      </c>
      <c r="G1850" s="62" t="s">
        <v>41</v>
      </c>
      <c r="H1850" s="34">
        <v>18223</v>
      </c>
    </row>
    <row r="1851" spans="2:8" ht="68" x14ac:dyDescent="0.2">
      <c r="B1851" s="138" t="s">
        <v>297</v>
      </c>
      <c r="C1851" s="19" t="s">
        <v>40</v>
      </c>
      <c r="E1851" s="34" t="s">
        <v>0</v>
      </c>
      <c r="G1851" s="62" t="s">
        <v>41</v>
      </c>
      <c r="H1851" s="34">
        <v>18223</v>
      </c>
    </row>
    <row r="1852" spans="2:8" ht="17" x14ac:dyDescent="0.2">
      <c r="B1852" s="166" t="s">
        <v>237</v>
      </c>
      <c r="C1852" s="19" t="s">
        <v>40</v>
      </c>
      <c r="E1852" s="34" t="s">
        <v>0</v>
      </c>
      <c r="G1852" s="62" t="s">
        <v>41</v>
      </c>
      <c r="H1852" s="34">
        <v>18223</v>
      </c>
    </row>
    <row r="1853" spans="2:8" ht="17" x14ac:dyDescent="0.2">
      <c r="B1853" s="166" t="s">
        <v>298</v>
      </c>
      <c r="C1853" s="19" t="s">
        <v>40</v>
      </c>
      <c r="E1853" s="34" t="s">
        <v>0</v>
      </c>
      <c r="G1853" s="62" t="s">
        <v>41</v>
      </c>
      <c r="H1853" s="34">
        <v>18223</v>
      </c>
    </row>
    <row r="1854" spans="2:8" ht="17" x14ac:dyDescent="0.2">
      <c r="B1854" s="138" t="s">
        <v>80</v>
      </c>
      <c r="C1854" s="19" t="s">
        <v>40</v>
      </c>
      <c r="E1854" s="34" t="s">
        <v>0</v>
      </c>
      <c r="G1854" s="62" t="s">
        <v>41</v>
      </c>
      <c r="H1854" s="34">
        <v>18223</v>
      </c>
    </row>
    <row r="1855" spans="2:8" ht="17" x14ac:dyDescent="0.2">
      <c r="B1855" s="138" t="s">
        <v>81</v>
      </c>
      <c r="C1855" s="19" t="s">
        <v>40</v>
      </c>
      <c r="E1855" s="34" t="s">
        <v>0</v>
      </c>
      <c r="G1855" s="62" t="s">
        <v>41</v>
      </c>
      <c r="H1855" s="34">
        <v>18223</v>
      </c>
    </row>
    <row r="1856" spans="2:8" ht="17" x14ac:dyDescent="0.2">
      <c r="B1856" s="138" t="s">
        <v>82</v>
      </c>
      <c r="C1856" s="19" t="s">
        <v>40</v>
      </c>
      <c r="E1856" s="34" t="s">
        <v>0</v>
      </c>
      <c r="G1856" s="62" t="s">
        <v>41</v>
      </c>
      <c r="H1856" s="34">
        <v>18223</v>
      </c>
    </row>
    <row r="1857" spans="2:8" ht="17" x14ac:dyDescent="0.2">
      <c r="B1857" s="166" t="s">
        <v>278</v>
      </c>
      <c r="C1857" s="19" t="s">
        <v>40</v>
      </c>
      <c r="E1857" s="34" t="s">
        <v>0</v>
      </c>
      <c r="G1857" s="62" t="s">
        <v>41</v>
      </c>
      <c r="H1857" s="34">
        <v>18223</v>
      </c>
    </row>
    <row r="1858" spans="2:8" ht="17" x14ac:dyDescent="0.2">
      <c r="B1858" s="138" t="s">
        <v>84</v>
      </c>
      <c r="C1858" s="19" t="s">
        <v>40</v>
      </c>
      <c r="E1858" s="34" t="s">
        <v>0</v>
      </c>
      <c r="G1858" s="62" t="s">
        <v>41</v>
      </c>
      <c r="H1858" s="34">
        <v>18223</v>
      </c>
    </row>
    <row r="1859" spans="2:8" ht="17" x14ac:dyDescent="0.2">
      <c r="B1859" s="139" t="s">
        <v>85</v>
      </c>
      <c r="C1859" s="19" t="s">
        <v>40</v>
      </c>
      <c r="E1859" s="34" t="s">
        <v>0</v>
      </c>
      <c r="G1859" s="62" t="s">
        <v>41</v>
      </c>
      <c r="H1859" s="34">
        <v>18223</v>
      </c>
    </row>
    <row r="1860" spans="2:8" x14ac:dyDescent="0.2">
      <c r="B1860" s="140" t="s">
        <v>86</v>
      </c>
    </row>
    <row r="1861" spans="2:8" ht="17" x14ac:dyDescent="0.2">
      <c r="B1861" s="141" t="s">
        <v>87</v>
      </c>
      <c r="C1861" s="19" t="s">
        <v>40</v>
      </c>
      <c r="E1861" s="34" t="s">
        <v>0</v>
      </c>
      <c r="G1861" s="62" t="s">
        <v>41</v>
      </c>
      <c r="H1861" s="34">
        <v>18223</v>
      </c>
    </row>
    <row r="1862" spans="2:8" ht="32" x14ac:dyDescent="0.2">
      <c r="B1862" s="140" t="s">
        <v>88</v>
      </c>
      <c r="C1862" s="19"/>
    </row>
    <row r="1863" spans="2:8" ht="32" x14ac:dyDescent="0.2">
      <c r="B1863" s="142" t="s">
        <v>89</v>
      </c>
      <c r="C1863" s="19" t="s">
        <v>40</v>
      </c>
      <c r="E1863" s="34" t="s">
        <v>0</v>
      </c>
      <c r="G1863" s="62" t="s">
        <v>41</v>
      </c>
      <c r="H1863" s="34">
        <v>18223</v>
      </c>
    </row>
    <row r="1864" spans="2:8" x14ac:dyDescent="0.2">
      <c r="B1864" s="140" t="s">
        <v>90</v>
      </c>
      <c r="C1864" s="19"/>
    </row>
    <row r="1865" spans="2:8" ht="32" x14ac:dyDescent="0.2">
      <c r="B1865" s="142" t="s">
        <v>91</v>
      </c>
      <c r="C1865" s="19" t="s">
        <v>40</v>
      </c>
      <c r="E1865" s="19" t="s">
        <v>299</v>
      </c>
      <c r="G1865" s="62" t="s">
        <v>41</v>
      </c>
      <c r="H1865" s="34">
        <v>18223</v>
      </c>
    </row>
    <row r="1866" spans="2:8" x14ac:dyDescent="0.2">
      <c r="B1866" s="140" t="s">
        <v>93</v>
      </c>
      <c r="C1866" s="19"/>
    </row>
    <row r="1867" spans="2:8" ht="32" x14ac:dyDescent="0.2">
      <c r="B1867" s="142" t="s">
        <v>94</v>
      </c>
      <c r="C1867" s="19" t="s">
        <v>40</v>
      </c>
      <c r="E1867" s="19" t="s">
        <v>299</v>
      </c>
      <c r="G1867" s="62" t="s">
        <v>41</v>
      </c>
      <c r="H1867" s="34">
        <v>18223</v>
      </c>
    </row>
    <row r="1868" spans="2:8" ht="48" x14ac:dyDescent="0.2">
      <c r="B1868" s="143" t="s">
        <v>95</v>
      </c>
      <c r="C1868" s="19" t="s">
        <v>40</v>
      </c>
      <c r="E1868" s="19" t="s">
        <v>299</v>
      </c>
      <c r="G1868" s="62" t="s">
        <v>41</v>
      </c>
      <c r="H1868" s="34">
        <v>18223</v>
      </c>
    </row>
    <row r="1869" spans="2:8" ht="17" x14ac:dyDescent="0.2">
      <c r="B1869" s="144" t="s">
        <v>96</v>
      </c>
      <c r="C1869" s="19" t="s">
        <v>40</v>
      </c>
      <c r="E1869" s="19" t="s">
        <v>299</v>
      </c>
      <c r="G1869" s="62" t="s">
        <v>41</v>
      </c>
      <c r="H1869" s="34">
        <v>18223</v>
      </c>
    </row>
    <row r="1870" spans="2:8" ht="32" x14ac:dyDescent="0.2">
      <c r="B1870" s="143" t="s">
        <v>97</v>
      </c>
      <c r="C1870" s="19" t="s">
        <v>40</v>
      </c>
      <c r="E1870" s="19" t="s">
        <v>299</v>
      </c>
      <c r="G1870" s="62" t="s">
        <v>41</v>
      </c>
      <c r="H1870" s="34">
        <v>18223</v>
      </c>
    </row>
    <row r="1871" spans="2:8" ht="17" x14ac:dyDescent="0.2">
      <c r="B1871" s="142" t="s">
        <v>98</v>
      </c>
      <c r="C1871" s="19" t="s">
        <v>40</v>
      </c>
      <c r="E1871" s="19" t="s">
        <v>299</v>
      </c>
      <c r="G1871" s="62" t="s">
        <v>41</v>
      </c>
      <c r="H1871" s="34">
        <v>18223</v>
      </c>
    </row>
    <row r="1872" spans="2:8" ht="17" x14ac:dyDescent="0.2">
      <c r="B1872" s="144" t="s">
        <v>99</v>
      </c>
      <c r="C1872" s="19" t="s">
        <v>40</v>
      </c>
      <c r="E1872" s="19" t="s">
        <v>299</v>
      </c>
      <c r="G1872" s="62" t="s">
        <v>41</v>
      </c>
      <c r="H1872" s="34">
        <v>18223</v>
      </c>
    </row>
    <row r="1873" spans="2:8" ht="17" x14ac:dyDescent="0.2">
      <c r="B1873" s="143" t="s">
        <v>100</v>
      </c>
      <c r="C1873" s="19" t="s">
        <v>40</v>
      </c>
      <c r="E1873" s="19" t="s">
        <v>299</v>
      </c>
      <c r="G1873" s="62" t="s">
        <v>41</v>
      </c>
      <c r="H1873" s="34">
        <v>18223</v>
      </c>
    </row>
    <row r="1874" spans="2:8" x14ac:dyDescent="0.2">
      <c r="B1874" s="140" t="s">
        <v>101</v>
      </c>
    </row>
    <row r="1875" spans="2:8" ht="17" x14ac:dyDescent="0.2">
      <c r="B1875" s="141" t="s">
        <v>87</v>
      </c>
      <c r="C1875" s="19" t="s">
        <v>40</v>
      </c>
      <c r="E1875" s="34" t="s">
        <v>0</v>
      </c>
      <c r="G1875" s="62" t="s">
        <v>41</v>
      </c>
      <c r="H1875" s="34">
        <v>18223</v>
      </c>
    </row>
    <row r="1876" spans="2:8" ht="32" x14ac:dyDescent="0.2">
      <c r="B1876" s="142" t="s">
        <v>102</v>
      </c>
      <c r="C1876" s="19" t="s">
        <v>40</v>
      </c>
      <c r="E1876" s="34" t="s">
        <v>0</v>
      </c>
      <c r="G1876" s="62" t="s">
        <v>41</v>
      </c>
      <c r="H1876" s="34">
        <v>18223</v>
      </c>
    </row>
    <row r="1877" spans="2:8" ht="48" x14ac:dyDescent="0.2">
      <c r="B1877" s="143" t="s">
        <v>103</v>
      </c>
      <c r="C1877" s="19" t="s">
        <v>40</v>
      </c>
      <c r="E1877" s="34" t="s">
        <v>0</v>
      </c>
      <c r="G1877" s="62" t="s">
        <v>41</v>
      </c>
      <c r="H1877" s="34">
        <v>18223</v>
      </c>
    </row>
    <row r="1878" spans="2:8" ht="17" x14ac:dyDescent="0.2">
      <c r="B1878" s="144" t="s">
        <v>96</v>
      </c>
      <c r="C1878" s="19" t="s">
        <v>40</v>
      </c>
      <c r="E1878" s="34" t="s">
        <v>0</v>
      </c>
      <c r="G1878" s="62" t="s">
        <v>41</v>
      </c>
      <c r="H1878" s="34">
        <v>18223</v>
      </c>
    </row>
    <row r="1879" spans="2:8" ht="32" x14ac:dyDescent="0.2">
      <c r="B1879" s="143" t="s">
        <v>104</v>
      </c>
      <c r="C1879" s="19" t="s">
        <v>40</v>
      </c>
      <c r="E1879" s="34" t="s">
        <v>0</v>
      </c>
      <c r="G1879" s="62" t="s">
        <v>41</v>
      </c>
      <c r="H1879" s="34">
        <v>18223</v>
      </c>
    </row>
    <row r="1880" spans="2:8" ht="32" x14ac:dyDescent="0.2">
      <c r="B1880" s="142" t="s">
        <v>105</v>
      </c>
      <c r="C1880" s="19" t="s">
        <v>40</v>
      </c>
      <c r="E1880" s="34" t="s">
        <v>0</v>
      </c>
      <c r="G1880" s="62" t="s">
        <v>41</v>
      </c>
      <c r="H1880" s="34">
        <v>18223</v>
      </c>
    </row>
    <row r="1881" spans="2:8" ht="17" x14ac:dyDescent="0.2">
      <c r="B1881" s="144" t="s">
        <v>99</v>
      </c>
      <c r="C1881" s="19" t="s">
        <v>40</v>
      </c>
      <c r="E1881" s="34" t="s">
        <v>0</v>
      </c>
      <c r="G1881" s="62" t="s">
        <v>41</v>
      </c>
      <c r="H1881" s="34">
        <v>18223</v>
      </c>
    </row>
    <row r="1882" spans="2:8" ht="17" x14ac:dyDescent="0.2">
      <c r="B1882" s="143" t="s">
        <v>106</v>
      </c>
      <c r="C1882" s="19" t="s">
        <v>40</v>
      </c>
      <c r="E1882" s="34" t="s">
        <v>0</v>
      </c>
      <c r="G1882" s="62" t="s">
        <v>41</v>
      </c>
      <c r="H1882" s="34">
        <v>18223</v>
      </c>
    </row>
    <row r="1883" spans="2:8" x14ac:dyDescent="0.2">
      <c r="B1883" s="140" t="s">
        <v>107</v>
      </c>
    </row>
    <row r="1884" spans="2:8" ht="17" x14ac:dyDescent="0.2">
      <c r="B1884" s="141" t="s">
        <v>87</v>
      </c>
      <c r="C1884" s="19" t="s">
        <v>40</v>
      </c>
      <c r="E1884" s="34" t="s">
        <v>0</v>
      </c>
      <c r="G1884" s="62" t="s">
        <v>41</v>
      </c>
      <c r="H1884" s="34">
        <v>18223</v>
      </c>
    </row>
    <row r="1885" spans="2:8" ht="32" x14ac:dyDescent="0.2">
      <c r="B1885" s="142" t="s">
        <v>102</v>
      </c>
      <c r="C1885" s="19" t="s">
        <v>40</v>
      </c>
      <c r="E1885" s="34" t="s">
        <v>0</v>
      </c>
      <c r="G1885" s="62" t="s">
        <v>41</v>
      </c>
      <c r="H1885" s="34">
        <v>18223</v>
      </c>
    </row>
    <row r="1886" spans="2:8" ht="48" x14ac:dyDescent="0.2">
      <c r="B1886" s="143" t="s">
        <v>108</v>
      </c>
      <c r="C1886" s="19" t="s">
        <v>40</v>
      </c>
      <c r="E1886" s="34" t="s">
        <v>0</v>
      </c>
      <c r="G1886" s="62" t="s">
        <v>41</v>
      </c>
      <c r="H1886" s="34">
        <v>18223</v>
      </c>
    </row>
    <row r="1887" spans="2:8" ht="17" x14ac:dyDescent="0.2">
      <c r="B1887" s="144" t="s">
        <v>96</v>
      </c>
      <c r="C1887" s="19" t="s">
        <v>40</v>
      </c>
      <c r="E1887" s="34" t="s">
        <v>0</v>
      </c>
      <c r="G1887" s="62" t="s">
        <v>41</v>
      </c>
      <c r="H1887" s="34">
        <v>18223</v>
      </c>
    </row>
    <row r="1888" spans="2:8" ht="32" x14ac:dyDescent="0.2">
      <c r="B1888" s="143" t="s">
        <v>109</v>
      </c>
      <c r="C1888" s="19" t="s">
        <v>40</v>
      </c>
      <c r="E1888" s="34" t="s">
        <v>0</v>
      </c>
      <c r="G1888" s="62" t="s">
        <v>41</v>
      </c>
      <c r="H1888" s="34">
        <v>18223</v>
      </c>
    </row>
    <row r="1889" spans="2:8" ht="32" x14ac:dyDescent="0.2">
      <c r="B1889" s="142" t="s">
        <v>110</v>
      </c>
      <c r="C1889" s="19" t="s">
        <v>40</v>
      </c>
      <c r="E1889" s="34" t="s">
        <v>0</v>
      </c>
      <c r="G1889" s="62" t="s">
        <v>41</v>
      </c>
      <c r="H1889" s="34">
        <v>18223</v>
      </c>
    </row>
    <row r="1890" spans="2:8" ht="17" x14ac:dyDescent="0.2">
      <c r="B1890" s="144" t="s">
        <v>99</v>
      </c>
      <c r="C1890" s="19" t="s">
        <v>40</v>
      </c>
      <c r="E1890" s="34" t="s">
        <v>0</v>
      </c>
      <c r="G1890" s="62" t="s">
        <v>41</v>
      </c>
      <c r="H1890" s="34">
        <v>18223</v>
      </c>
    </row>
    <row r="1891" spans="2:8" ht="17" x14ac:dyDescent="0.2">
      <c r="B1891" s="143" t="s">
        <v>111</v>
      </c>
      <c r="C1891" s="19" t="s">
        <v>40</v>
      </c>
      <c r="E1891" s="34" t="s">
        <v>0</v>
      </c>
      <c r="G1891" s="62" t="s">
        <v>41</v>
      </c>
      <c r="H1891" s="34">
        <v>18223</v>
      </c>
    </row>
    <row r="1892" spans="2:8" x14ac:dyDescent="0.2">
      <c r="B1892" s="140" t="s">
        <v>112</v>
      </c>
    </row>
    <row r="1893" spans="2:8" ht="17" x14ac:dyDescent="0.2">
      <c r="B1893" s="141" t="s">
        <v>87</v>
      </c>
      <c r="C1893" s="19" t="s">
        <v>40</v>
      </c>
      <c r="E1893" s="34" t="s">
        <v>0</v>
      </c>
      <c r="G1893" s="62" t="s">
        <v>41</v>
      </c>
      <c r="H1893" s="34">
        <v>18223</v>
      </c>
    </row>
    <row r="1894" spans="2:8" ht="32" x14ac:dyDescent="0.2">
      <c r="B1894" s="142" t="s">
        <v>102</v>
      </c>
      <c r="C1894" s="19" t="s">
        <v>40</v>
      </c>
      <c r="E1894" s="34" t="s">
        <v>0</v>
      </c>
      <c r="G1894" s="62" t="s">
        <v>41</v>
      </c>
      <c r="H1894" s="34">
        <v>18223</v>
      </c>
    </row>
    <row r="1895" spans="2:8" ht="48" x14ac:dyDescent="0.2">
      <c r="B1895" s="143" t="s">
        <v>113</v>
      </c>
      <c r="C1895" s="19" t="s">
        <v>40</v>
      </c>
      <c r="E1895" s="34" t="s">
        <v>0</v>
      </c>
      <c r="G1895" s="62" t="s">
        <v>41</v>
      </c>
      <c r="H1895" s="34">
        <v>18223</v>
      </c>
    </row>
    <row r="1896" spans="2:8" ht="17" x14ac:dyDescent="0.2">
      <c r="B1896" s="144" t="s">
        <v>96</v>
      </c>
      <c r="C1896" s="19" t="s">
        <v>40</v>
      </c>
      <c r="E1896" s="34" t="s">
        <v>0</v>
      </c>
      <c r="G1896" s="62" t="s">
        <v>41</v>
      </c>
      <c r="H1896" s="34">
        <v>18223</v>
      </c>
    </row>
    <row r="1897" spans="2:8" ht="32" x14ac:dyDescent="0.2">
      <c r="B1897" s="143" t="s">
        <v>97</v>
      </c>
      <c r="C1897" s="19" t="s">
        <v>40</v>
      </c>
      <c r="E1897" s="34" t="s">
        <v>0</v>
      </c>
      <c r="G1897" s="62" t="s">
        <v>41</v>
      </c>
      <c r="H1897" s="34">
        <v>18223</v>
      </c>
    </row>
    <row r="1898" spans="2:8" ht="32" x14ac:dyDescent="0.2">
      <c r="B1898" s="142" t="s">
        <v>114</v>
      </c>
      <c r="C1898" s="19" t="s">
        <v>40</v>
      </c>
      <c r="E1898" s="34" t="s">
        <v>0</v>
      </c>
      <c r="G1898" s="62" t="s">
        <v>41</v>
      </c>
      <c r="H1898" s="34">
        <v>18223</v>
      </c>
    </row>
    <row r="1899" spans="2:8" ht="17" x14ac:dyDescent="0.2">
      <c r="B1899" s="144" t="s">
        <v>99</v>
      </c>
      <c r="C1899" s="19" t="s">
        <v>40</v>
      </c>
      <c r="E1899" s="34" t="s">
        <v>0</v>
      </c>
      <c r="G1899" s="62" t="s">
        <v>41</v>
      </c>
      <c r="H1899" s="34">
        <v>18223</v>
      </c>
    </row>
    <row r="1900" spans="2:8" ht="17" x14ac:dyDescent="0.2">
      <c r="B1900" s="143" t="s">
        <v>115</v>
      </c>
      <c r="C1900" s="19" t="s">
        <v>40</v>
      </c>
      <c r="E1900" s="34" t="s">
        <v>0</v>
      </c>
      <c r="G1900" s="62" t="s">
        <v>41</v>
      </c>
      <c r="H1900" s="34">
        <v>18223</v>
      </c>
    </row>
    <row r="1901" spans="2:8" x14ac:dyDescent="0.2">
      <c r="B1901" s="251" t="s">
        <v>206</v>
      </c>
      <c r="C1901" s="252"/>
    </row>
    <row r="1902" spans="2:8" ht="17" x14ac:dyDescent="0.2">
      <c r="B1902" s="213" t="s">
        <v>87</v>
      </c>
      <c r="C1902" s="252" t="s">
        <v>40</v>
      </c>
      <c r="E1902" s="34" t="s">
        <v>0</v>
      </c>
      <c r="G1902" s="62" t="s">
        <v>41</v>
      </c>
      <c r="H1902" s="34">
        <v>18223</v>
      </c>
    </row>
    <row r="1903" spans="2:8" ht="32" x14ac:dyDescent="0.2">
      <c r="B1903" s="253" t="s">
        <v>102</v>
      </c>
      <c r="C1903" s="252" t="s">
        <v>40</v>
      </c>
      <c r="E1903" s="34" t="s">
        <v>0</v>
      </c>
      <c r="G1903" s="62" t="s">
        <v>41</v>
      </c>
      <c r="H1903" s="34">
        <v>18223</v>
      </c>
    </row>
    <row r="1904" spans="2:8" ht="48" x14ac:dyDescent="0.2">
      <c r="B1904" s="238" t="s">
        <v>280</v>
      </c>
      <c r="C1904" s="252" t="s">
        <v>40</v>
      </c>
      <c r="E1904" s="34" t="s">
        <v>0</v>
      </c>
      <c r="G1904" s="62" t="s">
        <v>41</v>
      </c>
      <c r="H1904" s="34">
        <v>18223</v>
      </c>
    </row>
    <row r="1905" spans="2:8" ht="17" x14ac:dyDescent="0.2">
      <c r="B1905" s="216" t="s">
        <v>96</v>
      </c>
      <c r="C1905" s="252" t="s">
        <v>40</v>
      </c>
      <c r="E1905" s="34" t="s">
        <v>0</v>
      </c>
      <c r="G1905" s="62" t="s">
        <v>41</v>
      </c>
      <c r="H1905" s="34">
        <v>18223</v>
      </c>
    </row>
    <row r="1906" spans="2:8" ht="32" x14ac:dyDescent="0.2">
      <c r="B1906" s="238" t="s">
        <v>281</v>
      </c>
      <c r="C1906" s="252" t="s">
        <v>40</v>
      </c>
      <c r="E1906" s="34" t="s">
        <v>0</v>
      </c>
      <c r="G1906" s="62" t="s">
        <v>41</v>
      </c>
      <c r="H1906" s="34">
        <v>18223</v>
      </c>
    </row>
    <row r="1907" spans="2:8" ht="32" x14ac:dyDescent="0.2">
      <c r="B1907" s="253" t="s">
        <v>282</v>
      </c>
      <c r="C1907" s="252" t="s">
        <v>40</v>
      </c>
      <c r="E1907" s="34" t="s">
        <v>0</v>
      </c>
      <c r="G1907" s="62" t="s">
        <v>41</v>
      </c>
      <c r="H1907" s="34">
        <v>18223</v>
      </c>
    </row>
    <row r="1908" spans="2:8" ht="17" x14ac:dyDescent="0.2">
      <c r="B1908" s="215" t="s">
        <v>99</v>
      </c>
      <c r="C1908" s="252" t="s">
        <v>40</v>
      </c>
      <c r="E1908" s="34" t="s">
        <v>0</v>
      </c>
      <c r="G1908" s="62" t="s">
        <v>41</v>
      </c>
      <c r="H1908" s="34">
        <v>18223</v>
      </c>
    </row>
    <row r="1909" spans="2:8" ht="32" x14ac:dyDescent="0.2">
      <c r="B1909" s="217" t="s">
        <v>300</v>
      </c>
      <c r="C1909" s="252" t="s">
        <v>40</v>
      </c>
      <c r="E1909" s="34" t="s">
        <v>0</v>
      </c>
      <c r="G1909" s="62" t="s">
        <v>41</v>
      </c>
      <c r="H1909" s="34">
        <v>18223</v>
      </c>
    </row>
    <row r="1910" spans="2:8" ht="34" x14ac:dyDescent="0.2">
      <c r="B1910" s="132" t="s">
        <v>116</v>
      </c>
    </row>
    <row r="1911" spans="2:8" ht="64" x14ac:dyDescent="0.2">
      <c r="B1911" s="143" t="s">
        <v>117</v>
      </c>
      <c r="C1911" s="19" t="s">
        <v>40</v>
      </c>
      <c r="E1911" s="19" t="s">
        <v>299</v>
      </c>
      <c r="G1911" s="62" t="s">
        <v>41</v>
      </c>
      <c r="H1911" s="34">
        <v>18223</v>
      </c>
    </row>
    <row r="1912" spans="2:8" ht="64" x14ac:dyDescent="0.2">
      <c r="B1912" s="143" t="s">
        <v>118</v>
      </c>
      <c r="C1912" s="19" t="s">
        <v>40</v>
      </c>
      <c r="E1912" s="19" t="s">
        <v>299</v>
      </c>
      <c r="G1912" s="62" t="s">
        <v>41</v>
      </c>
      <c r="H1912" s="34">
        <v>18223</v>
      </c>
    </row>
    <row r="1913" spans="2:8" ht="17" x14ac:dyDescent="0.2">
      <c r="B1913" s="143" t="s">
        <v>119</v>
      </c>
      <c r="C1913" s="19" t="s">
        <v>40</v>
      </c>
      <c r="E1913" s="19" t="s">
        <v>299</v>
      </c>
      <c r="G1913" s="62" t="s">
        <v>41</v>
      </c>
      <c r="H1913" s="34">
        <v>18223</v>
      </c>
    </row>
    <row r="1914" spans="2:8" ht="32" x14ac:dyDescent="0.2">
      <c r="B1914" s="143" t="s">
        <v>120</v>
      </c>
      <c r="C1914" s="19" t="s">
        <v>40</v>
      </c>
      <c r="E1914" s="19" t="s">
        <v>299</v>
      </c>
      <c r="G1914" s="62" t="s">
        <v>41</v>
      </c>
      <c r="H1914" s="34">
        <v>18223</v>
      </c>
    </row>
    <row r="1915" spans="2:8" ht="17" x14ac:dyDescent="0.2">
      <c r="B1915" s="128" t="s">
        <v>121</v>
      </c>
      <c r="C1915" s="19"/>
    </row>
    <row r="1916" spans="2:8" ht="17" x14ac:dyDescent="0.2">
      <c r="B1916" s="145" t="s">
        <v>122</v>
      </c>
      <c r="C1916" s="19" t="s">
        <v>40</v>
      </c>
      <c r="E1916" s="34" t="s">
        <v>0</v>
      </c>
      <c r="G1916" s="62" t="s">
        <v>41</v>
      </c>
      <c r="H1916" s="34">
        <v>18223</v>
      </c>
    </row>
    <row r="1917" spans="2:8" ht="17" x14ac:dyDescent="0.2">
      <c r="B1917" s="139" t="s">
        <v>123</v>
      </c>
      <c r="C1917" s="19" t="s">
        <v>40</v>
      </c>
      <c r="E1917" s="34" t="s">
        <v>0</v>
      </c>
      <c r="G1917" s="62" t="s">
        <v>41</v>
      </c>
      <c r="H1917" s="34">
        <v>18223</v>
      </c>
    </row>
    <row r="1918" spans="2:8" ht="34" x14ac:dyDescent="0.2">
      <c r="B1918" s="167" t="s">
        <v>284</v>
      </c>
      <c r="C1918" s="19" t="s">
        <v>40</v>
      </c>
      <c r="E1918" s="34" t="s">
        <v>0</v>
      </c>
      <c r="G1918" s="62" t="s">
        <v>41</v>
      </c>
      <c r="H1918" s="34">
        <v>18223</v>
      </c>
    </row>
    <row r="1919" spans="2:8" ht="17" x14ac:dyDescent="0.2">
      <c r="B1919" s="139" t="s">
        <v>125</v>
      </c>
      <c r="C1919" s="19" t="s">
        <v>40</v>
      </c>
      <c r="E1919" s="34" t="s">
        <v>0</v>
      </c>
      <c r="G1919" s="62" t="s">
        <v>41</v>
      </c>
      <c r="H1919" s="34">
        <v>18223</v>
      </c>
    </row>
    <row r="1920" spans="2:8" ht="17" x14ac:dyDescent="0.2">
      <c r="B1920" s="145" t="s">
        <v>126</v>
      </c>
      <c r="C1920" s="19" t="s">
        <v>40</v>
      </c>
      <c r="E1920" s="34" t="s">
        <v>0</v>
      </c>
      <c r="G1920" s="62" t="s">
        <v>41</v>
      </c>
      <c r="H1920" s="34">
        <v>18223</v>
      </c>
    </row>
    <row r="1921" spans="2:8" ht="17" x14ac:dyDescent="0.2">
      <c r="B1921" s="166" t="s">
        <v>285</v>
      </c>
      <c r="C1921" s="19" t="s">
        <v>40</v>
      </c>
      <c r="E1921" s="34" t="s">
        <v>0</v>
      </c>
      <c r="G1921" s="62" t="s">
        <v>41</v>
      </c>
      <c r="H1921" s="34">
        <v>18223</v>
      </c>
    </row>
    <row r="1922" spans="2:8" ht="34" x14ac:dyDescent="0.2">
      <c r="B1922" s="166" t="s">
        <v>301</v>
      </c>
      <c r="C1922" s="19" t="s">
        <v>40</v>
      </c>
      <c r="E1922" s="34" t="s">
        <v>0</v>
      </c>
      <c r="G1922" s="62" t="s">
        <v>41</v>
      </c>
      <c r="H1922" s="34">
        <v>18223</v>
      </c>
    </row>
    <row r="1923" spans="2:8" ht="17" x14ac:dyDescent="0.2">
      <c r="B1923" s="220" t="s">
        <v>129</v>
      </c>
      <c r="C1923" s="19" t="s">
        <v>40</v>
      </c>
      <c r="E1923" s="34" t="s">
        <v>0</v>
      </c>
      <c r="G1923" s="62" t="s">
        <v>41</v>
      </c>
      <c r="H1923" s="34">
        <v>18223</v>
      </c>
    </row>
    <row r="1924" spans="2:8" ht="17" x14ac:dyDescent="0.2">
      <c r="B1924" s="138" t="s">
        <v>130</v>
      </c>
      <c r="C1924" s="19" t="s">
        <v>40</v>
      </c>
      <c r="E1924" s="34" t="s">
        <v>0</v>
      </c>
      <c r="G1924" s="62" t="s">
        <v>41</v>
      </c>
      <c r="H1924" s="34">
        <v>18223</v>
      </c>
    </row>
    <row r="1925" spans="2:8" ht="17" x14ac:dyDescent="0.2">
      <c r="B1925" s="147" t="s">
        <v>131</v>
      </c>
      <c r="C1925" s="19" t="s">
        <v>40</v>
      </c>
      <c r="E1925" s="34" t="s">
        <v>0</v>
      </c>
      <c r="G1925" s="62" t="s">
        <v>41</v>
      </c>
      <c r="H1925" s="34">
        <v>18223</v>
      </c>
    </row>
    <row r="1926" spans="2:8" ht="17" x14ac:dyDescent="0.2">
      <c r="B1926" s="147" t="s">
        <v>132</v>
      </c>
      <c r="C1926" s="19" t="s">
        <v>40</v>
      </c>
      <c r="E1926" s="34" t="s">
        <v>0</v>
      </c>
      <c r="G1926" s="62" t="s">
        <v>41</v>
      </c>
      <c r="H1926" s="34">
        <v>18223</v>
      </c>
    </row>
    <row r="1927" spans="2:8" ht="17" x14ac:dyDescent="0.2">
      <c r="B1927" s="147" t="s">
        <v>134</v>
      </c>
      <c r="C1927" s="19" t="s">
        <v>40</v>
      </c>
      <c r="E1927" s="34" t="s">
        <v>0</v>
      </c>
      <c r="G1927" s="62" t="s">
        <v>41</v>
      </c>
      <c r="H1927" s="34">
        <v>18223</v>
      </c>
    </row>
    <row r="1928" spans="2:8" ht="17" x14ac:dyDescent="0.2">
      <c r="B1928" s="147" t="s">
        <v>136</v>
      </c>
      <c r="C1928" s="19" t="s">
        <v>40</v>
      </c>
      <c r="E1928" s="34" t="s">
        <v>0</v>
      </c>
      <c r="G1928" s="62" t="s">
        <v>41</v>
      </c>
      <c r="H1928" s="34">
        <v>18223</v>
      </c>
    </row>
    <row r="1929" spans="2:8" ht="20" x14ac:dyDescent="0.25">
      <c r="B1929" s="230" t="s">
        <v>238</v>
      </c>
      <c r="C1929" s="19"/>
      <c r="G1929" s="62" t="s">
        <v>41</v>
      </c>
      <c r="H1929" s="34">
        <v>18223</v>
      </c>
    </row>
    <row r="1930" spans="2:8" ht="17" x14ac:dyDescent="0.2">
      <c r="B1930" s="147" t="s">
        <v>239</v>
      </c>
      <c r="C1930" s="19" t="s">
        <v>40</v>
      </c>
      <c r="E1930" s="34" t="s">
        <v>0</v>
      </c>
      <c r="G1930" s="62" t="s">
        <v>41</v>
      </c>
      <c r="H1930" s="34">
        <v>18223</v>
      </c>
    </row>
    <row r="1931" spans="2:8" ht="23" x14ac:dyDescent="0.3">
      <c r="B1931" s="148" t="s">
        <v>137</v>
      </c>
      <c r="C1931" s="19"/>
    </row>
    <row r="1932" spans="2:8" ht="23" x14ac:dyDescent="0.3">
      <c r="B1932" s="148" t="s">
        <v>138</v>
      </c>
      <c r="C1932" s="19"/>
    </row>
    <row r="1933" spans="2:8" ht="17" x14ac:dyDescent="0.2">
      <c r="B1933" s="147" t="s">
        <v>302</v>
      </c>
      <c r="C1933" s="19" t="s">
        <v>40</v>
      </c>
      <c r="E1933" s="34" t="s">
        <v>0</v>
      </c>
      <c r="G1933" s="62" t="s">
        <v>41</v>
      </c>
      <c r="H1933" s="34">
        <v>18223</v>
      </c>
    </row>
    <row r="1934" spans="2:8" ht="17" x14ac:dyDescent="0.2">
      <c r="B1934" s="147" t="s">
        <v>303</v>
      </c>
      <c r="C1934" s="19" t="s">
        <v>40</v>
      </c>
      <c r="E1934" s="34" t="s">
        <v>0</v>
      </c>
      <c r="G1934" s="62" t="s">
        <v>41</v>
      </c>
      <c r="H1934" s="34">
        <v>18223</v>
      </c>
    </row>
    <row r="1935" spans="2:8" ht="17" x14ac:dyDescent="0.2">
      <c r="B1935" s="147" t="s">
        <v>304</v>
      </c>
      <c r="C1935" s="19" t="s">
        <v>40</v>
      </c>
      <c r="E1935" s="34" t="s">
        <v>0</v>
      </c>
      <c r="G1935" s="62" t="s">
        <v>41</v>
      </c>
      <c r="H1935" s="34">
        <v>18223</v>
      </c>
    </row>
    <row r="1936" spans="2:8" ht="17" x14ac:dyDescent="0.2">
      <c r="B1936" s="147" t="s">
        <v>305</v>
      </c>
      <c r="C1936" s="19" t="s">
        <v>40</v>
      </c>
      <c r="E1936" s="34" t="s">
        <v>0</v>
      </c>
      <c r="G1936" s="62" t="s">
        <v>41</v>
      </c>
      <c r="H1936" s="34">
        <v>18223</v>
      </c>
    </row>
    <row r="1937" spans="2:8" ht="17" x14ac:dyDescent="0.2">
      <c r="B1937" s="147" t="s">
        <v>306</v>
      </c>
      <c r="C1937" s="19" t="s">
        <v>40</v>
      </c>
      <c r="E1937" s="34" t="s">
        <v>0</v>
      </c>
      <c r="G1937" s="62" t="s">
        <v>41</v>
      </c>
      <c r="H1937" s="34">
        <v>18223</v>
      </c>
    </row>
    <row r="1938" spans="2:8" ht="17" x14ac:dyDescent="0.2">
      <c r="B1938" s="147" t="s">
        <v>240</v>
      </c>
      <c r="C1938" s="19" t="s">
        <v>40</v>
      </c>
      <c r="E1938" s="34" t="s">
        <v>0</v>
      </c>
      <c r="G1938" s="62" t="s">
        <v>41</v>
      </c>
      <c r="H1938" s="34">
        <v>18223</v>
      </c>
    </row>
    <row r="1939" spans="2:8" ht="23" x14ac:dyDescent="0.3">
      <c r="B1939" s="148" t="s">
        <v>144</v>
      </c>
      <c r="C1939" s="19"/>
    </row>
    <row r="1940" spans="2:8" ht="17" x14ac:dyDescent="0.2">
      <c r="B1940" s="147" t="s">
        <v>145</v>
      </c>
      <c r="C1940" s="19" t="s">
        <v>40</v>
      </c>
      <c r="E1940" s="34" t="s">
        <v>0</v>
      </c>
      <c r="G1940" s="62" t="s">
        <v>41</v>
      </c>
      <c r="H1940" s="34">
        <v>18223</v>
      </c>
    </row>
    <row r="1941" spans="2:8" ht="34" x14ac:dyDescent="0.2">
      <c r="B1941" s="147" t="s">
        <v>307</v>
      </c>
      <c r="C1941" s="19" t="s">
        <v>40</v>
      </c>
      <c r="E1941" s="34" t="s">
        <v>0</v>
      </c>
      <c r="G1941" s="62" t="s">
        <v>41</v>
      </c>
      <c r="H1941" s="34">
        <v>18223</v>
      </c>
    </row>
    <row r="1942" spans="2:8" ht="34" x14ac:dyDescent="0.2">
      <c r="B1942" s="168" t="s">
        <v>308</v>
      </c>
      <c r="C1942" s="19" t="s">
        <v>40</v>
      </c>
      <c r="E1942" s="34" t="s">
        <v>0</v>
      </c>
      <c r="G1942" s="62" t="s">
        <v>41</v>
      </c>
      <c r="H1942" s="34">
        <v>18223</v>
      </c>
    </row>
    <row r="1943" spans="2:8" ht="17" x14ac:dyDescent="0.2">
      <c r="B1943" s="168" t="s">
        <v>241</v>
      </c>
      <c r="C1943" s="19" t="s">
        <v>40</v>
      </c>
      <c r="E1943" s="34" t="s">
        <v>0</v>
      </c>
      <c r="G1943" s="62" t="s">
        <v>41</v>
      </c>
      <c r="H1943" s="34">
        <v>18223</v>
      </c>
    </row>
    <row r="1944" spans="2:8" ht="17" x14ac:dyDescent="0.2">
      <c r="B1944" s="147" t="s">
        <v>309</v>
      </c>
      <c r="C1944" s="19" t="s">
        <v>40</v>
      </c>
      <c r="E1944" s="34" t="s">
        <v>0</v>
      </c>
      <c r="G1944" s="62" t="s">
        <v>41</v>
      </c>
      <c r="H1944" s="34">
        <v>18223</v>
      </c>
    </row>
    <row r="1945" spans="2:8" ht="20" x14ac:dyDescent="0.25">
      <c r="B1945" s="149" t="s">
        <v>150</v>
      </c>
      <c r="C1945" s="19"/>
    </row>
    <row r="1946" spans="2:8" x14ac:dyDescent="0.2">
      <c r="B1946" s="150" t="s">
        <v>151</v>
      </c>
      <c r="C1946" s="19"/>
    </row>
    <row r="1947" spans="2:8" ht="17" x14ac:dyDescent="0.2">
      <c r="B1947" s="151" t="s">
        <v>152</v>
      </c>
      <c r="C1947" s="19" t="s">
        <v>40</v>
      </c>
      <c r="E1947" s="34" t="s">
        <v>0</v>
      </c>
      <c r="G1947" s="62" t="s">
        <v>41</v>
      </c>
      <c r="H1947" s="34">
        <v>18223</v>
      </c>
    </row>
    <row r="1948" spans="2:8" ht="17" x14ac:dyDescent="0.2">
      <c r="B1948" s="151" t="s">
        <v>153</v>
      </c>
      <c r="C1948" s="19" t="s">
        <v>40</v>
      </c>
      <c r="E1948" s="34" t="s">
        <v>0</v>
      </c>
      <c r="G1948" s="62" t="s">
        <v>41</v>
      </c>
      <c r="H1948" s="34">
        <v>18223</v>
      </c>
    </row>
    <row r="1949" spans="2:8" ht="17" x14ac:dyDescent="0.2">
      <c r="B1949" s="152" t="s">
        <v>154</v>
      </c>
      <c r="C1949" s="19" t="s">
        <v>40</v>
      </c>
      <c r="E1949" s="34" t="s">
        <v>0</v>
      </c>
      <c r="G1949" s="62" t="s">
        <v>41</v>
      </c>
      <c r="H1949" s="34">
        <v>18223</v>
      </c>
    </row>
    <row r="1950" spans="2:8" ht="17" x14ac:dyDescent="0.2">
      <c r="B1950" s="143" t="s">
        <v>155</v>
      </c>
      <c r="C1950" s="19" t="s">
        <v>40</v>
      </c>
      <c r="E1950" s="34" t="s">
        <v>0</v>
      </c>
      <c r="G1950" s="62" t="s">
        <v>41</v>
      </c>
      <c r="H1950" s="34">
        <v>18223</v>
      </c>
    </row>
    <row r="1951" spans="2:8" x14ac:dyDescent="0.2">
      <c r="B1951" s="153" t="s">
        <v>156</v>
      </c>
    </row>
    <row r="1952" spans="2:8" x14ac:dyDescent="0.2">
      <c r="B1952" s="153" t="s">
        <v>157</v>
      </c>
      <c r="C1952" s="19"/>
    </row>
    <row r="1953" spans="2:8" ht="17" x14ac:dyDescent="0.2">
      <c r="B1953" s="154" t="s">
        <v>158</v>
      </c>
      <c r="C1953" s="19" t="s">
        <v>40</v>
      </c>
      <c r="E1953" s="34" t="s">
        <v>0</v>
      </c>
      <c r="G1953" s="62" t="s">
        <v>41</v>
      </c>
      <c r="H1953" s="34">
        <v>18223</v>
      </c>
    </row>
    <row r="1954" spans="2:8" ht="17" x14ac:dyDescent="0.2">
      <c r="B1954" s="155" t="s">
        <v>159</v>
      </c>
      <c r="C1954" s="19" t="s">
        <v>40</v>
      </c>
      <c r="E1954" s="34" t="s">
        <v>0</v>
      </c>
      <c r="G1954" s="62" t="s">
        <v>41</v>
      </c>
      <c r="H1954" s="34">
        <v>18223</v>
      </c>
    </row>
    <row r="1955" spans="2:8" ht="17" x14ac:dyDescent="0.2">
      <c r="B1955" s="151" t="s">
        <v>160</v>
      </c>
      <c r="C1955" s="19" t="s">
        <v>40</v>
      </c>
      <c r="E1955" s="34" t="s">
        <v>0</v>
      </c>
      <c r="G1955" s="62" t="s">
        <v>41</v>
      </c>
      <c r="H1955" s="34">
        <v>18223</v>
      </c>
    </row>
    <row r="1956" spans="2:8" x14ac:dyDescent="0.2">
      <c r="B1956" s="153" t="s">
        <v>161</v>
      </c>
      <c r="C1956" s="19"/>
    </row>
    <row r="1957" spans="2:8" x14ac:dyDescent="0.2">
      <c r="B1957" s="156" t="s">
        <v>162</v>
      </c>
      <c r="C1957" s="19"/>
    </row>
    <row r="1958" spans="2:8" ht="48" x14ac:dyDescent="0.2">
      <c r="B1958" s="151" t="s">
        <v>163</v>
      </c>
      <c r="C1958" s="19" t="s">
        <v>40</v>
      </c>
      <c r="E1958" s="34" t="s">
        <v>0</v>
      </c>
      <c r="G1958" s="62" t="s">
        <v>41</v>
      </c>
      <c r="H1958" s="34">
        <v>18223</v>
      </c>
    </row>
    <row r="1959" spans="2:8" ht="34" x14ac:dyDescent="0.2">
      <c r="B1959" s="166" t="s">
        <v>310</v>
      </c>
      <c r="C1959" s="19" t="s">
        <v>40</v>
      </c>
      <c r="E1959" s="34" t="s">
        <v>0</v>
      </c>
      <c r="G1959" s="62" t="s">
        <v>41</v>
      </c>
      <c r="H1959" s="34">
        <v>18223</v>
      </c>
    </row>
    <row r="1960" spans="2:8" x14ac:dyDescent="0.2">
      <c r="B1960" s="156" t="s">
        <v>165</v>
      </c>
      <c r="C1960" s="19"/>
    </row>
    <row r="1961" spans="2:8" ht="48" x14ac:dyDescent="0.2">
      <c r="B1961" s="151" t="s">
        <v>166</v>
      </c>
      <c r="C1961" s="19" t="s">
        <v>40</v>
      </c>
      <c r="E1961" s="173"/>
      <c r="G1961" s="62" t="s">
        <v>41</v>
      </c>
      <c r="H1961" s="34">
        <v>18223</v>
      </c>
    </row>
    <row r="1962" spans="2:8" ht="17" x14ac:dyDescent="0.2">
      <c r="B1962" s="138" t="s">
        <v>167</v>
      </c>
      <c r="C1962" s="19" t="s">
        <v>40</v>
      </c>
      <c r="G1962" s="62" t="s">
        <v>41</v>
      </c>
      <c r="H1962" s="34">
        <v>18223</v>
      </c>
    </row>
    <row r="1963" spans="2:8" x14ac:dyDescent="0.2">
      <c r="B1963" s="157" t="s">
        <v>168</v>
      </c>
    </row>
    <row r="1964" spans="2:8" ht="51" x14ac:dyDescent="0.2">
      <c r="B1964" s="158" t="s">
        <v>169</v>
      </c>
      <c r="C1964" s="19" t="s">
        <v>40</v>
      </c>
      <c r="E1964" s="34" t="s">
        <v>0</v>
      </c>
      <c r="G1964" s="62" t="s">
        <v>41</v>
      </c>
      <c r="H1964" s="34">
        <v>18223</v>
      </c>
    </row>
    <row r="1965" spans="2:8" ht="17" x14ac:dyDescent="0.2">
      <c r="B1965" s="159" t="s">
        <v>170</v>
      </c>
      <c r="C1965" s="19" t="s">
        <v>40</v>
      </c>
      <c r="G1965" s="62" t="s">
        <v>41</v>
      </c>
      <c r="H1965" s="34">
        <v>18223</v>
      </c>
    </row>
    <row r="1966" spans="2:8" x14ac:dyDescent="0.2">
      <c r="B1966" s="157" t="s">
        <v>171</v>
      </c>
      <c r="C1966" s="19"/>
    </row>
    <row r="1967" spans="2:8" ht="48" x14ac:dyDescent="0.2">
      <c r="B1967" s="144" t="s">
        <v>172</v>
      </c>
      <c r="C1967" s="19" t="s">
        <v>40</v>
      </c>
      <c r="E1967" s="173"/>
      <c r="G1967" s="62" t="s">
        <v>41</v>
      </c>
      <c r="H1967" s="34">
        <v>18223</v>
      </c>
    </row>
    <row r="1968" spans="2:8" ht="17" x14ac:dyDescent="0.2">
      <c r="B1968" s="160" t="s">
        <v>173</v>
      </c>
      <c r="C1968" s="19" t="s">
        <v>40</v>
      </c>
      <c r="E1968" s="34" t="s">
        <v>0</v>
      </c>
      <c r="G1968" s="62" t="s">
        <v>41</v>
      </c>
      <c r="H1968" s="34">
        <v>18223</v>
      </c>
    </row>
    <row r="1969" spans="2:8" ht="17" x14ac:dyDescent="0.2">
      <c r="B1969" s="161" t="s">
        <v>174</v>
      </c>
    </row>
    <row r="1970" spans="2:8" ht="51" x14ac:dyDescent="0.2">
      <c r="B1970" s="161" t="s">
        <v>175</v>
      </c>
      <c r="C1970" s="19"/>
    </row>
    <row r="1971" spans="2:8" ht="17" x14ac:dyDescent="0.2">
      <c r="B1971" s="131" t="s">
        <v>176</v>
      </c>
      <c r="C1971" s="19" t="s">
        <v>40</v>
      </c>
      <c r="E1971" s="34" t="s">
        <v>0</v>
      </c>
      <c r="G1971" s="62" t="s">
        <v>41</v>
      </c>
      <c r="H1971" s="34">
        <v>18223</v>
      </c>
    </row>
    <row r="1972" spans="2:8" ht="17" x14ac:dyDescent="0.2">
      <c r="B1972" s="160" t="s">
        <v>177</v>
      </c>
      <c r="C1972" s="19" t="s">
        <v>40</v>
      </c>
      <c r="E1972" s="34" t="s">
        <v>0</v>
      </c>
      <c r="G1972" s="62" t="s">
        <v>41</v>
      </c>
      <c r="H1972" s="34">
        <v>18223</v>
      </c>
    </row>
    <row r="1973" spans="2:8" ht="17" x14ac:dyDescent="0.2">
      <c r="B1973" s="131" t="s">
        <v>178</v>
      </c>
      <c r="C1973" s="19" t="s">
        <v>40</v>
      </c>
      <c r="E1973" s="34" t="s">
        <v>0</v>
      </c>
      <c r="G1973" s="62" t="s">
        <v>41</v>
      </c>
      <c r="H1973" s="34">
        <v>18223</v>
      </c>
    </row>
    <row r="1974" spans="2:8" ht="68" x14ac:dyDescent="0.2">
      <c r="B1974" s="165" t="s">
        <v>289</v>
      </c>
      <c r="C1974" s="19" t="s">
        <v>40</v>
      </c>
      <c r="E1974" s="34" t="s">
        <v>0</v>
      </c>
      <c r="G1974" s="62" t="s">
        <v>41</v>
      </c>
      <c r="H1974" s="34">
        <v>18223</v>
      </c>
    </row>
    <row r="1975" spans="2:8" ht="17" x14ac:dyDescent="0.2">
      <c r="B1975" s="131" t="s">
        <v>180</v>
      </c>
      <c r="C1975" s="19" t="s">
        <v>40</v>
      </c>
      <c r="E1975" s="34" t="s">
        <v>0</v>
      </c>
      <c r="G1975" s="62" t="s">
        <v>41</v>
      </c>
      <c r="H1975" s="34">
        <v>18223</v>
      </c>
    </row>
    <row r="1976" spans="2:8" ht="68" x14ac:dyDescent="0.2">
      <c r="B1976" s="165" t="s">
        <v>290</v>
      </c>
      <c r="C1976" s="19" t="s">
        <v>40</v>
      </c>
      <c r="E1976" s="34" t="s">
        <v>0</v>
      </c>
      <c r="G1976" s="62" t="s">
        <v>41</v>
      </c>
      <c r="H1976" s="34">
        <v>18223</v>
      </c>
    </row>
    <row r="1977" spans="2:8" ht="17" x14ac:dyDescent="0.2">
      <c r="B1977" s="160" t="s">
        <v>182</v>
      </c>
      <c r="C1977" s="19" t="s">
        <v>40</v>
      </c>
      <c r="E1977" s="34" t="s">
        <v>0</v>
      </c>
      <c r="G1977" s="62" t="s">
        <v>41</v>
      </c>
      <c r="H1977" s="34">
        <v>18223</v>
      </c>
    </row>
    <row r="1978" spans="2:8" ht="68" x14ac:dyDescent="0.2">
      <c r="B1978" s="160" t="s">
        <v>291</v>
      </c>
      <c r="C1978" s="19" t="s">
        <v>40</v>
      </c>
      <c r="E1978" s="34" t="s">
        <v>0</v>
      </c>
      <c r="G1978" s="62" t="s">
        <v>41</v>
      </c>
      <c r="H1978" s="34">
        <v>18223</v>
      </c>
    </row>
    <row r="1979" spans="2:8" ht="17" x14ac:dyDescent="0.2">
      <c r="B1979" s="162" t="s">
        <v>184</v>
      </c>
      <c r="C1979" s="19" t="s">
        <v>40</v>
      </c>
      <c r="E1979" s="34" t="s">
        <v>0</v>
      </c>
      <c r="G1979" s="62" t="s">
        <v>41</v>
      </c>
      <c r="H1979" s="34">
        <v>18223</v>
      </c>
    </row>
    <row r="1980" spans="2:8" ht="17" x14ac:dyDescent="0.2">
      <c r="B1980" s="162" t="s">
        <v>185</v>
      </c>
      <c r="C1980" s="19" t="s">
        <v>40</v>
      </c>
      <c r="E1980" s="34" t="s">
        <v>0</v>
      </c>
      <c r="G1980" s="62" t="s">
        <v>41</v>
      </c>
      <c r="H1980" s="34">
        <v>18223</v>
      </c>
    </row>
    <row r="1984" spans="2:8" ht="25" x14ac:dyDescent="0.3">
      <c r="B1984" s="125" t="s">
        <v>311</v>
      </c>
      <c r="C1984" s="59"/>
    </row>
    <row r="1985" spans="2:13" ht="69" x14ac:dyDescent="0.2">
      <c r="B1985" s="170" t="s">
        <v>312</v>
      </c>
      <c r="C1985" s="19"/>
    </row>
    <row r="1986" spans="2:13" ht="17" x14ac:dyDescent="0.2">
      <c r="B1986" s="127" t="s">
        <v>31</v>
      </c>
      <c r="C1986" s="19"/>
    </row>
    <row r="1987" spans="2:13" ht="17" x14ac:dyDescent="0.2">
      <c r="B1987" s="127" t="s">
        <v>32</v>
      </c>
    </row>
    <row r="1988" spans="2:13" ht="17" x14ac:dyDescent="0.2">
      <c r="B1988" s="128" t="s">
        <v>33</v>
      </c>
    </row>
    <row r="1989" spans="2:13" ht="17" x14ac:dyDescent="0.2">
      <c r="B1989" s="127" t="s">
        <v>34</v>
      </c>
      <c r="C1989" s="19"/>
    </row>
    <row r="1990" spans="2:13" ht="34" x14ac:dyDescent="0.2">
      <c r="B1990" s="163" t="s">
        <v>313</v>
      </c>
      <c r="C1990" s="19"/>
    </row>
    <row r="1991" spans="2:13" ht="17" x14ac:dyDescent="0.2">
      <c r="B1991" s="129" t="s">
        <v>36</v>
      </c>
      <c r="C1991" s="19"/>
    </row>
    <row r="1992" spans="2:13" ht="17" x14ac:dyDescent="0.2">
      <c r="B1992" s="129" t="s">
        <v>37</v>
      </c>
      <c r="C1992" s="19"/>
    </row>
    <row r="1993" spans="2:13" ht="17" x14ac:dyDescent="0.2">
      <c r="B1993" s="128" t="s">
        <v>38</v>
      </c>
      <c r="C1993" s="19"/>
    </row>
    <row r="1994" spans="2:13" ht="51" customHeight="1" x14ac:dyDescent="0.2">
      <c r="B1994" s="130" t="s">
        <v>223</v>
      </c>
      <c r="C1994" s="19" t="s">
        <v>40</v>
      </c>
      <c r="J1994" s="34" t="s">
        <v>0</v>
      </c>
      <c r="L1994" s="62" t="s">
        <v>41</v>
      </c>
      <c r="M1994" s="34">
        <v>25292</v>
      </c>
    </row>
    <row r="1995" spans="2:13" ht="32" x14ac:dyDescent="0.2">
      <c r="B1995" s="130" t="s">
        <v>224</v>
      </c>
      <c r="C1995" s="19" t="s">
        <v>40</v>
      </c>
      <c r="J1995" s="34" t="s">
        <v>0</v>
      </c>
      <c r="L1995" s="62" t="s">
        <v>41</v>
      </c>
      <c r="M1995" s="34">
        <v>25292</v>
      </c>
    </row>
    <row r="1996" spans="2:13" ht="17" x14ac:dyDescent="0.2">
      <c r="B1996" s="128" t="s">
        <v>44</v>
      </c>
      <c r="C1996" s="19"/>
    </row>
    <row r="1997" spans="2:13" ht="17" x14ac:dyDescent="0.2">
      <c r="B1997" s="130" t="s">
        <v>225</v>
      </c>
      <c r="C1997" s="19" t="s">
        <v>40</v>
      </c>
      <c r="J1997" s="34" t="s">
        <v>0</v>
      </c>
      <c r="L1997" s="62" t="s">
        <v>41</v>
      </c>
      <c r="M1997" s="34">
        <v>25292</v>
      </c>
    </row>
    <row r="1998" spans="2:13" ht="17" x14ac:dyDescent="0.2">
      <c r="B1998" s="128" t="s">
        <v>47</v>
      </c>
    </row>
    <row r="1999" spans="2:13" ht="17" x14ac:dyDescent="0.2">
      <c r="B1999" s="131" t="s">
        <v>48</v>
      </c>
      <c r="C1999" s="19" t="s">
        <v>40</v>
      </c>
      <c r="J1999" s="34" t="s">
        <v>0</v>
      </c>
      <c r="L1999" s="62" t="s">
        <v>41</v>
      </c>
      <c r="M1999" s="34">
        <v>25292</v>
      </c>
    </row>
    <row r="2000" spans="2:13" ht="17" x14ac:dyDescent="0.2">
      <c r="B2000" s="131" t="s">
        <v>49</v>
      </c>
      <c r="C2000" s="19" t="s">
        <v>40</v>
      </c>
      <c r="J2000" s="34" t="s">
        <v>0</v>
      </c>
      <c r="L2000" s="62" t="s">
        <v>41</v>
      </c>
      <c r="M2000" s="34">
        <v>25292</v>
      </c>
    </row>
    <row r="2001" spans="2:13" ht="34" x14ac:dyDescent="0.2">
      <c r="B2001" s="131" t="s">
        <v>50</v>
      </c>
      <c r="C2001" s="19" t="s">
        <v>40</v>
      </c>
      <c r="J2001" s="34" t="s">
        <v>92</v>
      </c>
      <c r="L2001" s="62" t="s">
        <v>41</v>
      </c>
      <c r="M2001" s="34">
        <v>25292</v>
      </c>
    </row>
    <row r="2002" spans="2:13" ht="17" x14ac:dyDescent="0.2">
      <c r="B2002" s="128" t="s">
        <v>51</v>
      </c>
      <c r="C2002" s="19"/>
    </row>
    <row r="2003" spans="2:13" ht="32.25" customHeight="1" x14ac:dyDescent="0.2">
      <c r="B2003" s="131" t="s">
        <v>52</v>
      </c>
      <c r="C2003" s="19" t="s">
        <v>40</v>
      </c>
      <c r="J2003" s="34" t="s">
        <v>0</v>
      </c>
      <c r="L2003" s="62" t="s">
        <v>41</v>
      </c>
      <c r="M2003" s="34">
        <v>25292</v>
      </c>
    </row>
    <row r="2004" spans="2:13" ht="17" x14ac:dyDescent="0.2">
      <c r="B2004" s="132" t="s">
        <v>53</v>
      </c>
      <c r="C2004" s="19"/>
    </row>
    <row r="2005" spans="2:13" ht="51" x14ac:dyDescent="0.2">
      <c r="B2005" s="133" t="s">
        <v>227</v>
      </c>
      <c r="C2005" s="19" t="s">
        <v>40</v>
      </c>
      <c r="J2005" s="34" t="s">
        <v>0</v>
      </c>
      <c r="L2005" s="62" t="s">
        <v>41</v>
      </c>
      <c r="M2005" s="34">
        <v>25292</v>
      </c>
    </row>
    <row r="2006" spans="2:13" ht="17" x14ac:dyDescent="0.2">
      <c r="B2006" s="128" t="s">
        <v>55</v>
      </c>
      <c r="C2006" s="19"/>
    </row>
    <row r="2007" spans="2:13" ht="51" x14ac:dyDescent="0.2">
      <c r="B2007" s="134" t="s">
        <v>56</v>
      </c>
      <c r="C2007" s="19" t="s">
        <v>57</v>
      </c>
      <c r="J2007" s="34" t="s">
        <v>0</v>
      </c>
      <c r="L2007" s="62" t="s">
        <v>41</v>
      </c>
      <c r="M2007" s="34">
        <v>25292</v>
      </c>
    </row>
    <row r="2008" spans="2:13" ht="17" x14ac:dyDescent="0.2">
      <c r="B2008" s="128" t="s">
        <v>58</v>
      </c>
    </row>
    <row r="2009" spans="2:13" ht="51" x14ac:dyDescent="0.2">
      <c r="B2009" s="131" t="s">
        <v>228</v>
      </c>
      <c r="C2009" s="19" t="s">
        <v>40</v>
      </c>
      <c r="J2009" s="34" t="s">
        <v>0</v>
      </c>
      <c r="L2009" s="62" t="s">
        <v>41</v>
      </c>
      <c r="M2009" s="34">
        <v>25292</v>
      </c>
    </row>
    <row r="2010" spans="2:13" x14ac:dyDescent="0.2">
      <c r="B2010" s="231" t="s">
        <v>229</v>
      </c>
      <c r="C2010" s="232"/>
    </row>
    <row r="2011" spans="2:13" ht="17" x14ac:dyDescent="0.2">
      <c r="B2011" s="233" t="s">
        <v>230</v>
      </c>
      <c r="C2011" s="232" t="s">
        <v>40</v>
      </c>
      <c r="J2011" s="34" t="s">
        <v>0</v>
      </c>
      <c r="L2011" s="62" t="s">
        <v>41</v>
      </c>
      <c r="M2011" s="34">
        <v>25292</v>
      </c>
    </row>
    <row r="2012" spans="2:13" ht="17" x14ac:dyDescent="0.2">
      <c r="B2012" s="233" t="s">
        <v>231</v>
      </c>
      <c r="C2012" s="232" t="s">
        <v>40</v>
      </c>
      <c r="J2012" s="34" t="s">
        <v>0</v>
      </c>
      <c r="L2012" s="62" t="s">
        <v>41</v>
      </c>
      <c r="M2012" s="34">
        <v>25292</v>
      </c>
    </row>
    <row r="2013" spans="2:13" ht="17" x14ac:dyDescent="0.2">
      <c r="B2013" s="233" t="s">
        <v>232</v>
      </c>
      <c r="C2013" s="232" t="s">
        <v>40</v>
      </c>
      <c r="J2013" s="34" t="s">
        <v>0</v>
      </c>
      <c r="L2013" s="62" t="s">
        <v>41</v>
      </c>
      <c r="M2013" s="34">
        <v>25292</v>
      </c>
    </row>
    <row r="2014" spans="2:13" ht="17" x14ac:dyDescent="0.2">
      <c r="B2014" s="233" t="s">
        <v>233</v>
      </c>
      <c r="C2014" s="232" t="s">
        <v>40</v>
      </c>
      <c r="J2014" s="34" t="s">
        <v>0</v>
      </c>
      <c r="L2014" s="62" t="s">
        <v>41</v>
      </c>
      <c r="M2014" s="34">
        <v>25292</v>
      </c>
    </row>
    <row r="2015" spans="2:13" ht="17" x14ac:dyDescent="0.2">
      <c r="B2015" s="233" t="s">
        <v>236</v>
      </c>
      <c r="C2015" s="232" t="s">
        <v>40</v>
      </c>
      <c r="J2015" s="34" t="s">
        <v>0</v>
      </c>
    </row>
    <row r="2016" spans="2:13" ht="17" x14ac:dyDescent="0.2">
      <c r="B2016" s="128" t="s">
        <v>65</v>
      </c>
    </row>
    <row r="2017" spans="2:13" ht="17" x14ac:dyDescent="0.2">
      <c r="B2017" s="174" t="s">
        <v>66</v>
      </c>
      <c r="C2017" s="19" t="s">
        <v>40</v>
      </c>
      <c r="J2017" s="34" t="s">
        <v>0</v>
      </c>
      <c r="L2017" s="62" t="s">
        <v>41</v>
      </c>
      <c r="M2017" s="34">
        <v>25292</v>
      </c>
    </row>
    <row r="2018" spans="2:13" ht="17" x14ac:dyDescent="0.2">
      <c r="B2018" s="138" t="s">
        <v>67</v>
      </c>
      <c r="C2018" s="19" t="s">
        <v>40</v>
      </c>
      <c r="J2018" s="34" t="s">
        <v>0</v>
      </c>
      <c r="L2018" s="62" t="s">
        <v>41</v>
      </c>
      <c r="M2018" s="34">
        <v>25292</v>
      </c>
    </row>
    <row r="2019" spans="2:13" ht="17" x14ac:dyDescent="0.2">
      <c r="B2019" s="166" t="s">
        <v>274</v>
      </c>
      <c r="C2019" s="19" t="s">
        <v>40</v>
      </c>
      <c r="J2019" s="34" t="s">
        <v>0</v>
      </c>
      <c r="L2019" s="62" t="s">
        <v>41</v>
      </c>
      <c r="M2019" s="34">
        <v>25292</v>
      </c>
    </row>
    <row r="2020" spans="2:13" ht="17" x14ac:dyDescent="0.2">
      <c r="B2020" s="166" t="s">
        <v>314</v>
      </c>
      <c r="C2020" s="19" t="s">
        <v>40</v>
      </c>
      <c r="J2020" s="34" t="s">
        <v>0</v>
      </c>
      <c r="L2020" s="62" t="s">
        <v>41</v>
      </c>
      <c r="M2020" s="34">
        <v>25292</v>
      </c>
    </row>
    <row r="2021" spans="2:13" ht="17" x14ac:dyDescent="0.2">
      <c r="B2021" s="166" t="s">
        <v>315</v>
      </c>
      <c r="C2021" s="19" t="s">
        <v>40</v>
      </c>
      <c r="J2021" s="34" t="s">
        <v>0</v>
      </c>
      <c r="L2021" s="62" t="s">
        <v>41</v>
      </c>
      <c r="M2021" s="34">
        <v>25292</v>
      </c>
    </row>
    <row r="2022" spans="2:13" ht="17" x14ac:dyDescent="0.2">
      <c r="B2022" s="166" t="s">
        <v>316</v>
      </c>
      <c r="C2022" s="19" t="s">
        <v>40</v>
      </c>
      <c r="J2022" s="34" t="s">
        <v>0</v>
      </c>
      <c r="L2022" s="62" t="s">
        <v>41</v>
      </c>
      <c r="M2022" s="34">
        <v>25292</v>
      </c>
    </row>
    <row r="2023" spans="2:13" ht="17" x14ac:dyDescent="0.2">
      <c r="B2023" s="139" t="s">
        <v>72</v>
      </c>
      <c r="C2023" s="19" t="s">
        <v>40</v>
      </c>
      <c r="J2023" s="34" t="s">
        <v>0</v>
      </c>
      <c r="L2023" s="62" t="s">
        <v>41</v>
      </c>
      <c r="M2023" s="34">
        <v>25292</v>
      </c>
    </row>
    <row r="2024" spans="2:13" ht="17" x14ac:dyDescent="0.2">
      <c r="B2024" s="237" t="s">
        <v>73</v>
      </c>
      <c r="C2024" s="19" t="s">
        <v>40</v>
      </c>
      <c r="J2024" s="34" t="s">
        <v>0</v>
      </c>
      <c r="L2024" s="62" t="s">
        <v>41</v>
      </c>
      <c r="M2024" s="34">
        <v>25292</v>
      </c>
    </row>
    <row r="2025" spans="2:13" ht="17" x14ac:dyDescent="0.2">
      <c r="B2025" s="139" t="s">
        <v>74</v>
      </c>
      <c r="C2025" s="19" t="s">
        <v>40</v>
      </c>
      <c r="J2025" s="34" t="s">
        <v>0</v>
      </c>
      <c r="L2025" s="62" t="s">
        <v>41</v>
      </c>
      <c r="M2025" s="34">
        <v>25292</v>
      </c>
    </row>
    <row r="2026" spans="2:13" ht="17" x14ac:dyDescent="0.2">
      <c r="B2026" s="139" t="s">
        <v>75</v>
      </c>
      <c r="C2026" s="19" t="s">
        <v>40</v>
      </c>
      <c r="J2026" s="34" t="s">
        <v>0</v>
      </c>
      <c r="L2026" s="62" t="s">
        <v>41</v>
      </c>
      <c r="M2026" s="34">
        <v>25292</v>
      </c>
    </row>
    <row r="2027" spans="2:13" ht="17" x14ac:dyDescent="0.2">
      <c r="B2027" s="138" t="s">
        <v>76</v>
      </c>
      <c r="C2027" s="19" t="s">
        <v>40</v>
      </c>
      <c r="J2027" s="34" t="s">
        <v>0</v>
      </c>
      <c r="L2027" s="62" t="s">
        <v>41</v>
      </c>
      <c r="M2027" s="34">
        <v>25292</v>
      </c>
    </row>
    <row r="2028" spans="2:13" ht="68" x14ac:dyDescent="0.2">
      <c r="B2028" s="138" t="s">
        <v>204</v>
      </c>
      <c r="C2028" s="19" t="s">
        <v>40</v>
      </c>
      <c r="J2028" s="34" t="s">
        <v>0</v>
      </c>
      <c r="L2028" s="62" t="s">
        <v>41</v>
      </c>
      <c r="M2028" s="34">
        <v>25292</v>
      </c>
    </row>
    <row r="2029" spans="2:13" ht="17" x14ac:dyDescent="0.2">
      <c r="B2029" s="166" t="s">
        <v>237</v>
      </c>
      <c r="C2029" s="19" t="s">
        <v>40</v>
      </c>
      <c r="J2029" s="34" t="s">
        <v>0</v>
      </c>
      <c r="L2029" s="62" t="s">
        <v>41</v>
      </c>
      <c r="M2029" s="34">
        <v>25292</v>
      </c>
    </row>
    <row r="2030" spans="2:13" ht="17" x14ac:dyDescent="0.2">
      <c r="B2030" s="166" t="s">
        <v>317</v>
      </c>
      <c r="C2030" s="19" t="s">
        <v>40</v>
      </c>
      <c r="J2030" s="34" t="s">
        <v>0</v>
      </c>
      <c r="L2030" s="62" t="s">
        <v>41</v>
      </c>
      <c r="M2030" s="34">
        <v>25292</v>
      </c>
    </row>
    <row r="2031" spans="2:13" ht="34" x14ac:dyDescent="0.2">
      <c r="B2031" s="138" t="s">
        <v>318</v>
      </c>
      <c r="C2031" s="19" t="s">
        <v>40</v>
      </c>
      <c r="J2031" s="34" t="s">
        <v>0</v>
      </c>
      <c r="L2031" s="62" t="s">
        <v>41</v>
      </c>
      <c r="M2031" s="34">
        <v>25292</v>
      </c>
    </row>
    <row r="2032" spans="2:13" ht="34" x14ac:dyDescent="0.2">
      <c r="B2032" s="138" t="s">
        <v>319</v>
      </c>
      <c r="C2032" s="19" t="s">
        <v>40</v>
      </c>
      <c r="J2032" s="34" t="s">
        <v>0</v>
      </c>
      <c r="L2032" s="62" t="s">
        <v>41</v>
      </c>
      <c r="M2032" s="34">
        <v>25292</v>
      </c>
    </row>
    <row r="2033" spans="2:13" ht="17" x14ac:dyDescent="0.2">
      <c r="B2033" s="138" t="s">
        <v>320</v>
      </c>
      <c r="C2033" s="19" t="s">
        <v>40</v>
      </c>
      <c r="J2033" s="34" t="s">
        <v>0</v>
      </c>
      <c r="L2033" s="62" t="s">
        <v>41</v>
      </c>
      <c r="M2033" s="34">
        <v>25292</v>
      </c>
    </row>
    <row r="2034" spans="2:13" ht="17" x14ac:dyDescent="0.2">
      <c r="B2034" s="166" t="s">
        <v>278</v>
      </c>
      <c r="C2034" s="19" t="s">
        <v>40</v>
      </c>
      <c r="J2034" s="34" t="s">
        <v>0</v>
      </c>
      <c r="L2034" s="62" t="s">
        <v>41</v>
      </c>
      <c r="M2034" s="34">
        <v>25292</v>
      </c>
    </row>
    <row r="2035" spans="2:13" ht="17" x14ac:dyDescent="0.2">
      <c r="B2035" s="166" t="s">
        <v>84</v>
      </c>
      <c r="C2035" s="19" t="s">
        <v>40</v>
      </c>
      <c r="J2035" s="34" t="s">
        <v>0</v>
      </c>
      <c r="L2035" s="62" t="s">
        <v>41</v>
      </c>
      <c r="M2035" s="34">
        <v>25292</v>
      </c>
    </row>
    <row r="2036" spans="2:13" ht="17" x14ac:dyDescent="0.2">
      <c r="B2036" s="167" t="s">
        <v>85</v>
      </c>
      <c r="C2036" s="19" t="s">
        <v>40</v>
      </c>
      <c r="J2036" s="34" t="s">
        <v>0</v>
      </c>
      <c r="L2036" s="62" t="s">
        <v>41</v>
      </c>
      <c r="M2036" s="34">
        <v>25292</v>
      </c>
    </row>
    <row r="2037" spans="2:13" x14ac:dyDescent="0.2">
      <c r="B2037" s="140" t="s">
        <v>86</v>
      </c>
    </row>
    <row r="2038" spans="2:13" ht="17" x14ac:dyDescent="0.2">
      <c r="B2038" s="141" t="s">
        <v>87</v>
      </c>
      <c r="C2038" s="19" t="s">
        <v>40</v>
      </c>
      <c r="J2038" s="34" t="s">
        <v>0</v>
      </c>
      <c r="L2038" s="62" t="s">
        <v>41</v>
      </c>
      <c r="M2038" s="34">
        <v>25292</v>
      </c>
    </row>
    <row r="2039" spans="2:13" ht="32" x14ac:dyDescent="0.2">
      <c r="B2039" s="140" t="s">
        <v>88</v>
      </c>
      <c r="C2039" s="19"/>
    </row>
    <row r="2040" spans="2:13" ht="32" x14ac:dyDescent="0.2">
      <c r="B2040" s="142" t="s">
        <v>89</v>
      </c>
      <c r="C2040" s="19" t="s">
        <v>40</v>
      </c>
      <c r="J2040" s="34" t="s">
        <v>0</v>
      </c>
      <c r="L2040" s="62" t="s">
        <v>41</v>
      </c>
      <c r="M2040" s="34">
        <v>25292</v>
      </c>
    </row>
    <row r="2041" spans="2:13" x14ac:dyDescent="0.2">
      <c r="B2041" s="140" t="s">
        <v>90</v>
      </c>
      <c r="C2041" s="19"/>
    </row>
    <row r="2042" spans="2:13" ht="32" x14ac:dyDescent="0.2">
      <c r="B2042" s="142" t="s">
        <v>91</v>
      </c>
      <c r="C2042" s="19" t="s">
        <v>40</v>
      </c>
      <c r="J2042" s="34" t="s">
        <v>92</v>
      </c>
      <c r="L2042" s="62" t="s">
        <v>41</v>
      </c>
      <c r="M2042" s="34">
        <v>25292</v>
      </c>
    </row>
    <row r="2043" spans="2:13" x14ac:dyDescent="0.2">
      <c r="B2043" s="140" t="s">
        <v>93</v>
      </c>
      <c r="C2043" s="19"/>
    </row>
    <row r="2044" spans="2:13" ht="32" x14ac:dyDescent="0.2">
      <c r="B2044" s="142" t="s">
        <v>94</v>
      </c>
      <c r="C2044" s="19" t="s">
        <v>40</v>
      </c>
      <c r="J2044" s="34" t="s">
        <v>92</v>
      </c>
      <c r="L2044" s="62" t="s">
        <v>41</v>
      </c>
      <c r="M2044" s="34">
        <v>25292</v>
      </c>
    </row>
    <row r="2045" spans="2:13" ht="48" x14ac:dyDescent="0.2">
      <c r="B2045" s="143" t="s">
        <v>95</v>
      </c>
      <c r="C2045" s="19" t="s">
        <v>40</v>
      </c>
      <c r="J2045" s="34" t="s">
        <v>92</v>
      </c>
      <c r="L2045" s="62" t="s">
        <v>41</v>
      </c>
      <c r="M2045" s="34">
        <v>25292</v>
      </c>
    </row>
    <row r="2046" spans="2:13" ht="17" x14ac:dyDescent="0.2">
      <c r="B2046" s="144" t="s">
        <v>96</v>
      </c>
      <c r="C2046" s="19" t="s">
        <v>40</v>
      </c>
      <c r="J2046" s="34" t="s">
        <v>92</v>
      </c>
      <c r="L2046" s="62" t="s">
        <v>41</v>
      </c>
      <c r="M2046" s="34">
        <v>25292</v>
      </c>
    </row>
    <row r="2047" spans="2:13" ht="32" x14ac:dyDescent="0.2">
      <c r="B2047" s="143" t="s">
        <v>97</v>
      </c>
      <c r="C2047" s="19" t="s">
        <v>40</v>
      </c>
      <c r="J2047" s="34" t="s">
        <v>92</v>
      </c>
      <c r="L2047" s="62" t="s">
        <v>41</v>
      </c>
      <c r="M2047" s="34">
        <v>25292</v>
      </c>
    </row>
    <row r="2048" spans="2:13" ht="17" x14ac:dyDescent="0.2">
      <c r="B2048" s="142" t="s">
        <v>98</v>
      </c>
      <c r="C2048" s="19" t="s">
        <v>40</v>
      </c>
      <c r="J2048" s="34" t="s">
        <v>92</v>
      </c>
      <c r="L2048" s="62" t="s">
        <v>41</v>
      </c>
      <c r="M2048" s="34">
        <v>25292</v>
      </c>
    </row>
    <row r="2049" spans="2:13" ht="17" x14ac:dyDescent="0.2">
      <c r="B2049" s="144" t="s">
        <v>99</v>
      </c>
      <c r="C2049" s="19" t="s">
        <v>40</v>
      </c>
      <c r="J2049" s="34" t="s">
        <v>92</v>
      </c>
      <c r="L2049" s="62" t="s">
        <v>41</v>
      </c>
      <c r="M2049" s="34">
        <v>25292</v>
      </c>
    </row>
    <row r="2050" spans="2:13" ht="17" x14ac:dyDescent="0.2">
      <c r="B2050" s="143" t="s">
        <v>100</v>
      </c>
      <c r="C2050" s="19" t="s">
        <v>40</v>
      </c>
      <c r="J2050" s="34" t="s">
        <v>92</v>
      </c>
      <c r="L2050" s="62" t="s">
        <v>41</v>
      </c>
      <c r="M2050" s="34">
        <v>25292</v>
      </c>
    </row>
    <row r="2051" spans="2:13" x14ac:dyDescent="0.2">
      <c r="B2051" s="140" t="s">
        <v>101</v>
      </c>
    </row>
    <row r="2052" spans="2:13" ht="17" x14ac:dyDescent="0.2">
      <c r="B2052" s="141" t="s">
        <v>87</v>
      </c>
      <c r="C2052" s="19" t="s">
        <v>40</v>
      </c>
      <c r="J2052" s="34" t="s">
        <v>0</v>
      </c>
      <c r="L2052" s="62" t="s">
        <v>41</v>
      </c>
      <c r="M2052" s="34">
        <v>25292</v>
      </c>
    </row>
    <row r="2053" spans="2:13" ht="32" x14ac:dyDescent="0.2">
      <c r="B2053" s="142" t="s">
        <v>102</v>
      </c>
      <c r="C2053" s="19" t="s">
        <v>40</v>
      </c>
      <c r="J2053" s="34" t="s">
        <v>0</v>
      </c>
      <c r="L2053" s="62" t="s">
        <v>41</v>
      </c>
      <c r="M2053" s="34">
        <v>25292</v>
      </c>
    </row>
    <row r="2054" spans="2:13" ht="48" x14ac:dyDescent="0.2">
      <c r="B2054" s="143" t="s">
        <v>103</v>
      </c>
      <c r="C2054" s="19" t="s">
        <v>40</v>
      </c>
      <c r="J2054" s="34" t="s">
        <v>0</v>
      </c>
      <c r="L2054" s="62" t="s">
        <v>41</v>
      </c>
      <c r="M2054" s="34">
        <v>25292</v>
      </c>
    </row>
    <row r="2055" spans="2:13" ht="17" x14ac:dyDescent="0.2">
      <c r="B2055" s="144" t="s">
        <v>96</v>
      </c>
      <c r="C2055" s="19" t="s">
        <v>40</v>
      </c>
      <c r="J2055" s="34" t="s">
        <v>0</v>
      </c>
      <c r="L2055" s="62" t="s">
        <v>41</v>
      </c>
      <c r="M2055" s="34">
        <v>25292</v>
      </c>
    </row>
    <row r="2056" spans="2:13" ht="32" x14ac:dyDescent="0.2">
      <c r="B2056" s="143" t="s">
        <v>104</v>
      </c>
      <c r="C2056" s="19" t="s">
        <v>40</v>
      </c>
      <c r="J2056" s="34" t="s">
        <v>0</v>
      </c>
      <c r="L2056" s="62" t="s">
        <v>41</v>
      </c>
      <c r="M2056" s="34">
        <v>25292</v>
      </c>
    </row>
    <row r="2057" spans="2:13" ht="32" x14ac:dyDescent="0.2">
      <c r="B2057" s="142" t="s">
        <v>105</v>
      </c>
      <c r="C2057" s="19" t="s">
        <v>40</v>
      </c>
      <c r="J2057" s="34" t="s">
        <v>0</v>
      </c>
      <c r="L2057" s="62" t="s">
        <v>41</v>
      </c>
      <c r="M2057" s="34">
        <v>25292</v>
      </c>
    </row>
    <row r="2058" spans="2:13" ht="17" x14ac:dyDescent="0.2">
      <c r="B2058" s="144" t="s">
        <v>99</v>
      </c>
      <c r="C2058" s="19" t="s">
        <v>40</v>
      </c>
      <c r="J2058" s="34" t="s">
        <v>0</v>
      </c>
      <c r="L2058" s="62" t="s">
        <v>41</v>
      </c>
      <c r="M2058" s="34">
        <v>25292</v>
      </c>
    </row>
    <row r="2059" spans="2:13" ht="17" x14ac:dyDescent="0.2">
      <c r="B2059" s="143" t="s">
        <v>106</v>
      </c>
      <c r="C2059" s="19" t="s">
        <v>40</v>
      </c>
      <c r="J2059" s="34" t="s">
        <v>0</v>
      </c>
      <c r="L2059" s="62" t="s">
        <v>41</v>
      </c>
      <c r="M2059" s="34">
        <v>25292</v>
      </c>
    </row>
    <row r="2060" spans="2:13" x14ac:dyDescent="0.2">
      <c r="B2060" s="140" t="s">
        <v>107</v>
      </c>
    </row>
    <row r="2061" spans="2:13" ht="17" x14ac:dyDescent="0.2">
      <c r="B2061" s="141" t="s">
        <v>87</v>
      </c>
      <c r="C2061" s="19" t="s">
        <v>40</v>
      </c>
      <c r="J2061" s="34" t="s">
        <v>0</v>
      </c>
      <c r="L2061" s="62" t="s">
        <v>41</v>
      </c>
      <c r="M2061" s="34">
        <v>25292</v>
      </c>
    </row>
    <row r="2062" spans="2:13" ht="32" x14ac:dyDescent="0.2">
      <c r="B2062" s="142" t="s">
        <v>102</v>
      </c>
      <c r="C2062" s="19" t="s">
        <v>40</v>
      </c>
      <c r="J2062" s="34" t="s">
        <v>0</v>
      </c>
      <c r="L2062" s="62" t="s">
        <v>41</v>
      </c>
      <c r="M2062" s="34">
        <v>25292</v>
      </c>
    </row>
    <row r="2063" spans="2:13" ht="48" x14ac:dyDescent="0.2">
      <c r="B2063" s="143" t="s">
        <v>108</v>
      </c>
      <c r="C2063" s="19" t="s">
        <v>40</v>
      </c>
      <c r="J2063" s="34" t="s">
        <v>0</v>
      </c>
      <c r="L2063" s="62" t="s">
        <v>41</v>
      </c>
      <c r="M2063" s="34">
        <v>25292</v>
      </c>
    </row>
    <row r="2064" spans="2:13" ht="17" x14ac:dyDescent="0.2">
      <c r="B2064" s="144" t="s">
        <v>96</v>
      </c>
      <c r="C2064" s="19" t="s">
        <v>40</v>
      </c>
      <c r="J2064" s="34" t="s">
        <v>0</v>
      </c>
      <c r="L2064" s="62" t="s">
        <v>41</v>
      </c>
      <c r="M2064" s="34">
        <v>25292</v>
      </c>
    </row>
    <row r="2065" spans="2:13" ht="32" x14ac:dyDescent="0.2">
      <c r="B2065" s="143" t="s">
        <v>109</v>
      </c>
      <c r="C2065" s="19" t="s">
        <v>40</v>
      </c>
      <c r="J2065" s="34" t="s">
        <v>0</v>
      </c>
      <c r="L2065" s="62" t="s">
        <v>41</v>
      </c>
      <c r="M2065" s="34">
        <v>25292</v>
      </c>
    </row>
    <row r="2066" spans="2:13" ht="32" x14ac:dyDescent="0.2">
      <c r="B2066" s="142" t="s">
        <v>110</v>
      </c>
      <c r="C2066" s="19" t="s">
        <v>40</v>
      </c>
      <c r="J2066" s="34" t="s">
        <v>0</v>
      </c>
      <c r="L2066" s="62" t="s">
        <v>41</v>
      </c>
      <c r="M2066" s="34">
        <v>25292</v>
      </c>
    </row>
    <row r="2067" spans="2:13" ht="17" x14ac:dyDescent="0.2">
      <c r="B2067" s="144" t="s">
        <v>99</v>
      </c>
      <c r="C2067" s="19" t="s">
        <v>40</v>
      </c>
      <c r="J2067" s="34" t="s">
        <v>0</v>
      </c>
      <c r="L2067" s="62" t="s">
        <v>41</v>
      </c>
      <c r="M2067" s="34">
        <v>25292</v>
      </c>
    </row>
    <row r="2068" spans="2:13" ht="17" x14ac:dyDescent="0.2">
      <c r="B2068" s="143" t="s">
        <v>321</v>
      </c>
      <c r="C2068" s="19" t="s">
        <v>40</v>
      </c>
      <c r="J2068" s="34" t="s">
        <v>0</v>
      </c>
      <c r="L2068" s="62" t="s">
        <v>41</v>
      </c>
      <c r="M2068" s="34">
        <v>25292</v>
      </c>
    </row>
    <row r="2069" spans="2:13" x14ac:dyDescent="0.2">
      <c r="B2069" s="140" t="s">
        <v>112</v>
      </c>
    </row>
    <row r="2070" spans="2:13" ht="17" x14ac:dyDescent="0.2">
      <c r="B2070" s="141" t="s">
        <v>87</v>
      </c>
      <c r="C2070" s="19" t="s">
        <v>40</v>
      </c>
      <c r="J2070" s="34" t="s">
        <v>0</v>
      </c>
      <c r="L2070" s="62" t="s">
        <v>41</v>
      </c>
      <c r="M2070" s="34">
        <v>25292</v>
      </c>
    </row>
    <row r="2071" spans="2:13" ht="32" x14ac:dyDescent="0.2">
      <c r="B2071" s="142" t="s">
        <v>102</v>
      </c>
      <c r="C2071" s="19" t="s">
        <v>40</v>
      </c>
      <c r="J2071" s="34" t="s">
        <v>0</v>
      </c>
      <c r="L2071" s="62" t="s">
        <v>41</v>
      </c>
      <c r="M2071" s="34">
        <v>25292</v>
      </c>
    </row>
    <row r="2072" spans="2:13" ht="48" x14ac:dyDescent="0.2">
      <c r="B2072" s="143" t="s">
        <v>113</v>
      </c>
      <c r="C2072" s="19" t="s">
        <v>40</v>
      </c>
      <c r="J2072" s="34" t="s">
        <v>0</v>
      </c>
      <c r="L2072" s="62" t="s">
        <v>41</v>
      </c>
      <c r="M2072" s="34">
        <v>25292</v>
      </c>
    </row>
    <row r="2073" spans="2:13" ht="17" x14ac:dyDescent="0.2">
      <c r="B2073" s="144" t="s">
        <v>96</v>
      </c>
      <c r="C2073" s="19" t="s">
        <v>40</v>
      </c>
      <c r="J2073" s="34" t="s">
        <v>0</v>
      </c>
      <c r="L2073" s="62" t="s">
        <v>41</v>
      </c>
      <c r="M2073" s="34">
        <v>25292</v>
      </c>
    </row>
    <row r="2074" spans="2:13" ht="32" x14ac:dyDescent="0.2">
      <c r="B2074" s="143" t="s">
        <v>97</v>
      </c>
      <c r="C2074" s="19" t="s">
        <v>40</v>
      </c>
      <c r="J2074" s="34" t="s">
        <v>0</v>
      </c>
      <c r="L2074" s="62" t="s">
        <v>41</v>
      </c>
      <c r="M2074" s="34">
        <v>25292</v>
      </c>
    </row>
    <row r="2075" spans="2:13" ht="32" x14ac:dyDescent="0.2">
      <c r="B2075" s="142" t="s">
        <v>114</v>
      </c>
      <c r="C2075" s="19" t="s">
        <v>40</v>
      </c>
      <c r="J2075" s="34" t="s">
        <v>0</v>
      </c>
      <c r="L2075" s="62" t="s">
        <v>41</v>
      </c>
      <c r="M2075" s="34">
        <v>25292</v>
      </c>
    </row>
    <row r="2076" spans="2:13" ht="17" x14ac:dyDescent="0.2">
      <c r="B2076" s="144" t="s">
        <v>99</v>
      </c>
      <c r="C2076" s="19" t="s">
        <v>40</v>
      </c>
      <c r="J2076" s="34" t="s">
        <v>0</v>
      </c>
      <c r="L2076" s="62" t="s">
        <v>41</v>
      </c>
      <c r="M2076" s="34">
        <v>25292</v>
      </c>
    </row>
    <row r="2077" spans="2:13" ht="17" x14ac:dyDescent="0.2">
      <c r="B2077" s="143" t="s">
        <v>322</v>
      </c>
      <c r="C2077" s="19" t="s">
        <v>40</v>
      </c>
      <c r="J2077" s="34" t="s">
        <v>0</v>
      </c>
      <c r="L2077" s="62" t="s">
        <v>41</v>
      </c>
      <c r="M2077" s="34">
        <v>25292</v>
      </c>
    </row>
    <row r="2078" spans="2:13" x14ac:dyDescent="0.2">
      <c r="B2078" s="251" t="s">
        <v>206</v>
      </c>
      <c r="C2078" s="252"/>
    </row>
    <row r="2079" spans="2:13" ht="17" x14ac:dyDescent="0.2">
      <c r="B2079" s="213" t="s">
        <v>87</v>
      </c>
      <c r="C2079" s="252" t="s">
        <v>40</v>
      </c>
      <c r="J2079" s="34" t="s">
        <v>0</v>
      </c>
      <c r="L2079" s="62" t="s">
        <v>41</v>
      </c>
      <c r="M2079" s="34">
        <v>25292</v>
      </c>
    </row>
    <row r="2080" spans="2:13" ht="32" x14ac:dyDescent="0.2">
      <c r="B2080" s="253" t="s">
        <v>102</v>
      </c>
      <c r="C2080" s="252" t="s">
        <v>40</v>
      </c>
      <c r="J2080" s="34" t="s">
        <v>0</v>
      </c>
      <c r="L2080" s="62" t="s">
        <v>41</v>
      </c>
      <c r="M2080" s="34">
        <v>25292</v>
      </c>
    </row>
    <row r="2081" spans="2:13" ht="48" x14ac:dyDescent="0.2">
      <c r="B2081" s="238" t="s">
        <v>280</v>
      </c>
      <c r="C2081" s="252" t="s">
        <v>40</v>
      </c>
      <c r="J2081" s="34" t="s">
        <v>0</v>
      </c>
      <c r="L2081" s="62" t="s">
        <v>41</v>
      </c>
      <c r="M2081" s="34">
        <v>25292</v>
      </c>
    </row>
    <row r="2082" spans="2:13" ht="17" x14ac:dyDescent="0.2">
      <c r="B2082" s="216" t="s">
        <v>96</v>
      </c>
      <c r="C2082" s="252" t="s">
        <v>40</v>
      </c>
      <c r="J2082" s="34" t="s">
        <v>0</v>
      </c>
      <c r="L2082" s="62" t="s">
        <v>41</v>
      </c>
      <c r="M2082" s="34">
        <v>25292</v>
      </c>
    </row>
    <row r="2083" spans="2:13" ht="32" x14ac:dyDescent="0.2">
      <c r="B2083" s="238" t="s">
        <v>281</v>
      </c>
      <c r="C2083" s="252" t="s">
        <v>40</v>
      </c>
      <c r="J2083" s="34" t="s">
        <v>0</v>
      </c>
      <c r="L2083" s="62" t="s">
        <v>41</v>
      </c>
      <c r="M2083" s="34">
        <v>25292</v>
      </c>
    </row>
    <row r="2084" spans="2:13" ht="32" x14ac:dyDescent="0.2">
      <c r="B2084" s="253" t="s">
        <v>282</v>
      </c>
      <c r="C2084" s="252" t="s">
        <v>40</v>
      </c>
      <c r="J2084" s="34" t="s">
        <v>0</v>
      </c>
      <c r="L2084" s="62" t="s">
        <v>41</v>
      </c>
      <c r="M2084" s="34">
        <v>25292</v>
      </c>
    </row>
    <row r="2085" spans="2:13" ht="17" x14ac:dyDescent="0.2">
      <c r="B2085" s="215" t="s">
        <v>99</v>
      </c>
      <c r="C2085" s="252" t="s">
        <v>40</v>
      </c>
      <c r="J2085" s="34" t="s">
        <v>0</v>
      </c>
      <c r="L2085" s="62" t="s">
        <v>41</v>
      </c>
      <c r="M2085" s="34">
        <v>25292</v>
      </c>
    </row>
    <row r="2086" spans="2:13" ht="32" x14ac:dyDescent="0.2">
      <c r="B2086" s="217" t="s">
        <v>300</v>
      </c>
      <c r="C2086" s="252" t="s">
        <v>40</v>
      </c>
      <c r="J2086" s="34" t="s">
        <v>0</v>
      </c>
      <c r="L2086" s="62" t="s">
        <v>41</v>
      </c>
      <c r="M2086" s="34">
        <v>25292</v>
      </c>
    </row>
    <row r="2087" spans="2:13" x14ac:dyDescent="0.2">
      <c r="B2087" s="251" t="s">
        <v>279</v>
      </c>
      <c r="C2087" s="252"/>
    </row>
    <row r="2088" spans="2:13" ht="17" x14ac:dyDescent="0.2">
      <c r="B2088" s="213" t="s">
        <v>87</v>
      </c>
      <c r="C2088" s="252" t="s">
        <v>40</v>
      </c>
      <c r="J2088" s="34" t="s">
        <v>0</v>
      </c>
      <c r="L2088" s="62" t="s">
        <v>41</v>
      </c>
      <c r="M2088" s="34">
        <v>25292</v>
      </c>
    </row>
    <row r="2089" spans="2:13" ht="32" x14ac:dyDescent="0.2">
      <c r="B2089" s="253" t="s">
        <v>102</v>
      </c>
      <c r="C2089" s="252" t="s">
        <v>40</v>
      </c>
      <c r="J2089" s="34" t="s">
        <v>0</v>
      </c>
      <c r="L2089" s="62" t="s">
        <v>41</v>
      </c>
      <c r="M2089" s="34">
        <v>25292</v>
      </c>
    </row>
    <row r="2090" spans="2:13" ht="48" x14ac:dyDescent="0.2">
      <c r="B2090" s="238" t="s">
        <v>323</v>
      </c>
      <c r="C2090" s="252" t="s">
        <v>40</v>
      </c>
      <c r="J2090" s="34" t="s">
        <v>0</v>
      </c>
      <c r="L2090" s="62" t="s">
        <v>41</v>
      </c>
      <c r="M2090" s="34">
        <v>25292</v>
      </c>
    </row>
    <row r="2091" spans="2:13" ht="17" x14ac:dyDescent="0.2">
      <c r="B2091" s="216" t="s">
        <v>96</v>
      </c>
      <c r="C2091" s="252" t="s">
        <v>40</v>
      </c>
      <c r="J2091" s="34" t="s">
        <v>0</v>
      </c>
      <c r="L2091" s="62" t="s">
        <v>41</v>
      </c>
      <c r="M2091" s="34">
        <v>25292</v>
      </c>
    </row>
    <row r="2092" spans="2:13" ht="32" x14ac:dyDescent="0.2">
      <c r="B2092" s="238" t="s">
        <v>97</v>
      </c>
      <c r="C2092" s="252" t="s">
        <v>40</v>
      </c>
      <c r="J2092" s="34" t="s">
        <v>0</v>
      </c>
      <c r="L2092" s="62" t="s">
        <v>41</v>
      </c>
      <c r="M2092" s="34">
        <v>25292</v>
      </c>
    </row>
    <row r="2093" spans="2:13" ht="32" x14ac:dyDescent="0.2">
      <c r="B2093" s="253" t="s">
        <v>324</v>
      </c>
      <c r="C2093" s="252" t="s">
        <v>40</v>
      </c>
      <c r="J2093" s="34" t="s">
        <v>0</v>
      </c>
      <c r="L2093" s="62" t="s">
        <v>41</v>
      </c>
      <c r="M2093" s="34">
        <v>25292</v>
      </c>
    </row>
    <row r="2094" spans="2:13" ht="17" x14ac:dyDescent="0.2">
      <c r="B2094" s="215" t="s">
        <v>99</v>
      </c>
      <c r="C2094" s="252" t="s">
        <v>40</v>
      </c>
      <c r="J2094" s="34" t="s">
        <v>0</v>
      </c>
      <c r="L2094" s="62" t="s">
        <v>41</v>
      </c>
      <c r="M2094" s="34">
        <v>25292</v>
      </c>
    </row>
    <row r="2095" spans="2:13" ht="32" x14ac:dyDescent="0.2">
      <c r="B2095" s="217" t="s">
        <v>325</v>
      </c>
      <c r="C2095" s="252" t="s">
        <v>40</v>
      </c>
      <c r="J2095" s="34" t="s">
        <v>0</v>
      </c>
      <c r="L2095" s="62" t="s">
        <v>41</v>
      </c>
      <c r="M2095" s="34">
        <v>25292</v>
      </c>
    </row>
    <row r="2096" spans="2:13" ht="34" x14ac:dyDescent="0.2">
      <c r="B2096" s="132" t="s">
        <v>116</v>
      </c>
    </row>
    <row r="2097" spans="2:13" ht="64" x14ac:dyDescent="0.2">
      <c r="B2097" s="143" t="s">
        <v>117</v>
      </c>
      <c r="C2097" s="19" t="s">
        <v>40</v>
      </c>
      <c r="J2097" s="34" t="s">
        <v>92</v>
      </c>
      <c r="L2097" s="62" t="s">
        <v>41</v>
      </c>
      <c r="M2097" s="34">
        <v>25292</v>
      </c>
    </row>
    <row r="2098" spans="2:13" ht="64" x14ac:dyDescent="0.2">
      <c r="B2098" s="143" t="s">
        <v>118</v>
      </c>
      <c r="C2098" s="19" t="s">
        <v>40</v>
      </c>
      <c r="J2098" s="34" t="s">
        <v>92</v>
      </c>
      <c r="L2098" s="62" t="s">
        <v>41</v>
      </c>
      <c r="M2098" s="34">
        <v>25292</v>
      </c>
    </row>
    <row r="2099" spans="2:13" ht="17" x14ac:dyDescent="0.2">
      <c r="B2099" s="143" t="s">
        <v>119</v>
      </c>
      <c r="C2099" s="19" t="s">
        <v>40</v>
      </c>
      <c r="J2099" s="34" t="s">
        <v>92</v>
      </c>
      <c r="L2099" s="62" t="s">
        <v>41</v>
      </c>
      <c r="M2099" s="34">
        <v>25292</v>
      </c>
    </row>
    <row r="2100" spans="2:13" ht="32" x14ac:dyDescent="0.2">
      <c r="B2100" s="143" t="s">
        <v>120</v>
      </c>
      <c r="C2100" s="19" t="s">
        <v>40</v>
      </c>
      <c r="J2100" s="34" t="s">
        <v>92</v>
      </c>
      <c r="L2100" s="62" t="s">
        <v>41</v>
      </c>
      <c r="M2100" s="34">
        <v>25292</v>
      </c>
    </row>
    <row r="2101" spans="2:13" ht="17" x14ac:dyDescent="0.2">
      <c r="B2101" s="128" t="s">
        <v>121</v>
      </c>
      <c r="C2101" s="19"/>
    </row>
    <row r="2102" spans="2:13" ht="17" x14ac:dyDescent="0.2">
      <c r="B2102" s="145" t="s">
        <v>122</v>
      </c>
      <c r="C2102" s="19" t="s">
        <v>40</v>
      </c>
      <c r="J2102" s="34" t="s">
        <v>0</v>
      </c>
      <c r="L2102" s="62" t="s">
        <v>41</v>
      </c>
      <c r="M2102" s="34">
        <v>25292</v>
      </c>
    </row>
    <row r="2103" spans="2:13" ht="17" x14ac:dyDescent="0.2">
      <c r="B2103" s="139" t="s">
        <v>123</v>
      </c>
      <c r="C2103" s="19" t="s">
        <v>40</v>
      </c>
      <c r="J2103" s="34" t="s">
        <v>0</v>
      </c>
      <c r="L2103" s="62" t="s">
        <v>41</v>
      </c>
      <c r="M2103" s="34">
        <v>25292</v>
      </c>
    </row>
    <row r="2104" spans="2:13" ht="34" x14ac:dyDescent="0.2">
      <c r="B2104" s="167" t="s">
        <v>284</v>
      </c>
      <c r="C2104" s="19" t="s">
        <v>40</v>
      </c>
      <c r="J2104" s="34" t="s">
        <v>0</v>
      </c>
      <c r="L2104" s="62" t="s">
        <v>41</v>
      </c>
      <c r="M2104" s="34">
        <v>25292</v>
      </c>
    </row>
    <row r="2105" spans="2:13" ht="17" x14ac:dyDescent="0.2">
      <c r="B2105" s="139" t="s">
        <v>125</v>
      </c>
      <c r="C2105" s="19" t="s">
        <v>40</v>
      </c>
      <c r="J2105" s="34" t="s">
        <v>0</v>
      </c>
      <c r="L2105" s="62" t="s">
        <v>41</v>
      </c>
      <c r="M2105" s="34">
        <v>25292</v>
      </c>
    </row>
    <row r="2106" spans="2:13" ht="17" x14ac:dyDescent="0.2">
      <c r="B2106" s="145" t="s">
        <v>126</v>
      </c>
      <c r="C2106" s="19" t="s">
        <v>40</v>
      </c>
      <c r="J2106" s="34" t="s">
        <v>0</v>
      </c>
      <c r="L2106" s="62" t="s">
        <v>41</v>
      </c>
      <c r="M2106" s="34">
        <v>25292</v>
      </c>
    </row>
    <row r="2107" spans="2:13" ht="17" x14ac:dyDescent="0.2">
      <c r="B2107" s="166" t="s">
        <v>285</v>
      </c>
      <c r="C2107" s="19" t="s">
        <v>40</v>
      </c>
      <c r="J2107" s="34" t="s">
        <v>0</v>
      </c>
      <c r="L2107" s="62" t="s">
        <v>41</v>
      </c>
      <c r="M2107" s="34">
        <v>25292</v>
      </c>
    </row>
    <row r="2108" spans="2:13" ht="34" x14ac:dyDescent="0.2">
      <c r="B2108" s="166" t="s">
        <v>301</v>
      </c>
      <c r="C2108" s="19" t="s">
        <v>40</v>
      </c>
      <c r="J2108" s="34" t="s">
        <v>0</v>
      </c>
      <c r="L2108" s="62" t="s">
        <v>41</v>
      </c>
      <c r="M2108" s="34">
        <v>25292</v>
      </c>
    </row>
    <row r="2109" spans="2:13" ht="17" x14ac:dyDescent="0.2">
      <c r="B2109" s="146" t="s">
        <v>129</v>
      </c>
      <c r="C2109" s="19" t="s">
        <v>40</v>
      </c>
      <c r="J2109" s="34" t="s">
        <v>0</v>
      </c>
      <c r="L2109" s="62" t="s">
        <v>41</v>
      </c>
      <c r="M2109" s="34">
        <v>25292</v>
      </c>
    </row>
    <row r="2110" spans="2:13" ht="17" x14ac:dyDescent="0.2">
      <c r="B2110" s="138" t="s">
        <v>130</v>
      </c>
      <c r="C2110" s="19" t="s">
        <v>40</v>
      </c>
      <c r="J2110" s="34" t="s">
        <v>0</v>
      </c>
      <c r="L2110" s="62" t="s">
        <v>41</v>
      </c>
      <c r="M2110" s="34">
        <v>25292</v>
      </c>
    </row>
    <row r="2111" spans="2:13" ht="17" x14ac:dyDescent="0.2">
      <c r="B2111" s="147" t="s">
        <v>131</v>
      </c>
      <c r="C2111" s="19" t="s">
        <v>40</v>
      </c>
      <c r="J2111" s="34" t="s">
        <v>0</v>
      </c>
      <c r="L2111" s="62" t="s">
        <v>41</v>
      </c>
      <c r="M2111" s="34">
        <v>25292</v>
      </c>
    </row>
    <row r="2112" spans="2:13" ht="17" x14ac:dyDescent="0.2">
      <c r="B2112" s="147" t="s">
        <v>132</v>
      </c>
      <c r="C2112" s="19" t="s">
        <v>40</v>
      </c>
      <c r="J2112" s="34" t="s">
        <v>0</v>
      </c>
      <c r="L2112" s="62" t="s">
        <v>41</v>
      </c>
      <c r="M2112" s="34">
        <v>25292</v>
      </c>
    </row>
    <row r="2113" spans="2:13" ht="17" x14ac:dyDescent="0.2">
      <c r="B2113" s="147" t="s">
        <v>134</v>
      </c>
      <c r="C2113" s="19" t="s">
        <v>40</v>
      </c>
      <c r="J2113" s="34" t="s">
        <v>0</v>
      </c>
      <c r="L2113" s="62" t="s">
        <v>41</v>
      </c>
      <c r="M2113" s="34">
        <v>25292</v>
      </c>
    </row>
    <row r="2114" spans="2:13" ht="17" x14ac:dyDescent="0.2">
      <c r="B2114" s="147" t="s">
        <v>136</v>
      </c>
      <c r="C2114" s="19" t="s">
        <v>40</v>
      </c>
      <c r="J2114" s="34" t="s">
        <v>0</v>
      </c>
      <c r="L2114" s="62"/>
    </row>
    <row r="2115" spans="2:13" ht="20" x14ac:dyDescent="0.25">
      <c r="B2115" s="230" t="s">
        <v>238</v>
      </c>
      <c r="C2115" s="19"/>
      <c r="L2115" s="62" t="s">
        <v>41</v>
      </c>
      <c r="M2115" s="34">
        <v>25292</v>
      </c>
    </row>
    <row r="2116" spans="2:13" ht="17" x14ac:dyDescent="0.2">
      <c r="B2116" s="147" t="s">
        <v>239</v>
      </c>
      <c r="C2116" s="19" t="s">
        <v>40</v>
      </c>
      <c r="J2116" s="34" t="s">
        <v>0</v>
      </c>
    </row>
    <row r="2117" spans="2:13" ht="23" x14ac:dyDescent="0.3">
      <c r="B2117" s="148" t="s">
        <v>137</v>
      </c>
      <c r="C2117" s="19"/>
    </row>
    <row r="2118" spans="2:13" ht="23" x14ac:dyDescent="0.3">
      <c r="B2118" s="148" t="s">
        <v>138</v>
      </c>
      <c r="C2118" s="19"/>
    </row>
    <row r="2119" spans="2:13" ht="17" x14ac:dyDescent="0.2">
      <c r="B2119" s="147" t="s">
        <v>139</v>
      </c>
      <c r="C2119" s="19" t="s">
        <v>40</v>
      </c>
      <c r="J2119" s="34" t="s">
        <v>0</v>
      </c>
      <c r="L2119" s="62" t="s">
        <v>41</v>
      </c>
      <c r="M2119" s="34">
        <v>25292</v>
      </c>
    </row>
    <row r="2120" spans="2:13" ht="17" x14ac:dyDescent="0.2">
      <c r="B2120" s="147" t="s">
        <v>140</v>
      </c>
      <c r="C2120" s="19" t="s">
        <v>40</v>
      </c>
      <c r="J2120" s="34" t="s">
        <v>0</v>
      </c>
      <c r="L2120" s="62" t="s">
        <v>41</v>
      </c>
      <c r="M2120" s="34">
        <v>25292</v>
      </c>
    </row>
    <row r="2121" spans="2:13" ht="17" x14ac:dyDescent="0.2">
      <c r="B2121" s="147" t="s">
        <v>141</v>
      </c>
      <c r="C2121" s="19" t="s">
        <v>40</v>
      </c>
      <c r="J2121" s="34" t="s">
        <v>0</v>
      </c>
      <c r="L2121" s="62" t="s">
        <v>41</v>
      </c>
      <c r="M2121" s="34">
        <v>25292</v>
      </c>
    </row>
    <row r="2122" spans="2:13" ht="17" x14ac:dyDescent="0.2">
      <c r="B2122" s="147" t="s">
        <v>142</v>
      </c>
      <c r="C2122" s="19" t="s">
        <v>40</v>
      </c>
      <c r="J2122" s="34" t="s">
        <v>0</v>
      </c>
      <c r="L2122" s="62" t="s">
        <v>41</v>
      </c>
      <c r="M2122" s="34">
        <v>25292</v>
      </c>
    </row>
    <row r="2123" spans="2:13" ht="17" x14ac:dyDescent="0.2">
      <c r="B2123" s="147" t="s">
        <v>143</v>
      </c>
      <c r="C2123" s="19" t="s">
        <v>40</v>
      </c>
      <c r="J2123" s="34" t="s">
        <v>0</v>
      </c>
      <c r="L2123" s="62" t="s">
        <v>41</v>
      </c>
      <c r="M2123" s="34">
        <v>25292</v>
      </c>
    </row>
    <row r="2124" spans="2:13" ht="17" x14ac:dyDescent="0.2">
      <c r="B2124" s="147" t="s">
        <v>240</v>
      </c>
      <c r="C2124" s="19" t="s">
        <v>40</v>
      </c>
      <c r="J2124" s="34" t="s">
        <v>0</v>
      </c>
    </row>
    <row r="2125" spans="2:13" ht="23" x14ac:dyDescent="0.3">
      <c r="B2125" s="148" t="s">
        <v>144</v>
      </c>
      <c r="C2125" s="19"/>
    </row>
    <row r="2126" spans="2:13" ht="17" x14ac:dyDescent="0.2">
      <c r="B2126" s="147" t="s">
        <v>145</v>
      </c>
      <c r="C2126" s="19" t="s">
        <v>40</v>
      </c>
      <c r="J2126" s="34" t="s">
        <v>0</v>
      </c>
      <c r="L2126" s="62" t="s">
        <v>41</v>
      </c>
      <c r="M2126" s="34">
        <v>25292</v>
      </c>
    </row>
    <row r="2127" spans="2:13" ht="17" x14ac:dyDescent="0.2">
      <c r="B2127" s="147" t="s">
        <v>146</v>
      </c>
      <c r="C2127" s="19" t="s">
        <v>40</v>
      </c>
      <c r="J2127" s="34" t="s">
        <v>0</v>
      </c>
      <c r="L2127" s="62" t="s">
        <v>41</v>
      </c>
      <c r="M2127" s="34">
        <v>25292</v>
      </c>
    </row>
    <row r="2128" spans="2:13" ht="34" x14ac:dyDescent="0.2">
      <c r="B2128" s="168" t="s">
        <v>326</v>
      </c>
      <c r="C2128" s="19" t="s">
        <v>40</v>
      </c>
      <c r="J2128" s="34" t="s">
        <v>0</v>
      </c>
      <c r="L2128" s="62" t="s">
        <v>41</v>
      </c>
      <c r="M2128" s="34">
        <v>25292</v>
      </c>
    </row>
    <row r="2129" spans="2:13" ht="17" x14ac:dyDescent="0.2">
      <c r="B2129" s="168" t="s">
        <v>241</v>
      </c>
      <c r="C2129" s="19" t="s">
        <v>40</v>
      </c>
      <c r="J2129" s="34" t="s">
        <v>0</v>
      </c>
      <c r="L2129" s="62" t="s">
        <v>41</v>
      </c>
      <c r="M2129" s="34">
        <v>25292</v>
      </c>
    </row>
    <row r="2130" spans="2:13" ht="17" x14ac:dyDescent="0.2">
      <c r="B2130" s="147" t="s">
        <v>149</v>
      </c>
      <c r="C2130" s="19" t="s">
        <v>40</v>
      </c>
      <c r="J2130" s="34" t="s">
        <v>0</v>
      </c>
      <c r="L2130" s="62" t="s">
        <v>41</v>
      </c>
      <c r="M2130" s="34">
        <v>25292</v>
      </c>
    </row>
    <row r="2131" spans="2:13" ht="20" x14ac:dyDescent="0.25">
      <c r="B2131" s="149" t="s">
        <v>150</v>
      </c>
      <c r="C2131" s="19"/>
    </row>
    <row r="2132" spans="2:13" x14ac:dyDescent="0.2">
      <c r="B2132" s="150" t="s">
        <v>151</v>
      </c>
      <c r="C2132" s="19"/>
    </row>
    <row r="2133" spans="2:13" ht="17" x14ac:dyDescent="0.2">
      <c r="B2133" s="151" t="s">
        <v>152</v>
      </c>
      <c r="C2133" s="19" t="s">
        <v>40</v>
      </c>
      <c r="J2133" s="34" t="s">
        <v>0</v>
      </c>
      <c r="L2133" s="62" t="s">
        <v>41</v>
      </c>
      <c r="M2133" s="34">
        <v>25292</v>
      </c>
    </row>
    <row r="2134" spans="2:13" ht="17" x14ac:dyDescent="0.2">
      <c r="B2134" s="151" t="s">
        <v>153</v>
      </c>
      <c r="C2134" s="19" t="s">
        <v>40</v>
      </c>
      <c r="J2134" s="34" t="s">
        <v>0</v>
      </c>
      <c r="L2134" s="62" t="s">
        <v>41</v>
      </c>
      <c r="M2134" s="34">
        <v>25292</v>
      </c>
    </row>
    <row r="2135" spans="2:13" ht="17" x14ac:dyDescent="0.2">
      <c r="B2135" s="152" t="s">
        <v>154</v>
      </c>
      <c r="C2135" s="19" t="s">
        <v>40</v>
      </c>
      <c r="J2135" s="34" t="s">
        <v>0</v>
      </c>
      <c r="L2135" s="62" t="s">
        <v>41</v>
      </c>
      <c r="M2135" s="34">
        <v>25292</v>
      </c>
    </row>
    <row r="2136" spans="2:13" ht="17" x14ac:dyDescent="0.2">
      <c r="B2136" s="143" t="s">
        <v>155</v>
      </c>
      <c r="C2136" s="19" t="s">
        <v>40</v>
      </c>
      <c r="J2136" s="34" t="s">
        <v>0</v>
      </c>
      <c r="L2136" s="62" t="s">
        <v>41</v>
      </c>
      <c r="M2136" s="34">
        <v>25292</v>
      </c>
    </row>
    <row r="2137" spans="2:13" x14ac:dyDescent="0.2">
      <c r="B2137" s="153" t="s">
        <v>156</v>
      </c>
    </row>
    <row r="2138" spans="2:13" x14ac:dyDescent="0.2">
      <c r="B2138" s="153" t="s">
        <v>157</v>
      </c>
      <c r="C2138" s="19"/>
    </row>
    <row r="2139" spans="2:13" ht="17" x14ac:dyDescent="0.2">
      <c r="B2139" s="154" t="s">
        <v>158</v>
      </c>
      <c r="C2139" s="19" t="s">
        <v>40</v>
      </c>
      <c r="J2139" s="34" t="s">
        <v>0</v>
      </c>
      <c r="L2139" s="62" t="s">
        <v>41</v>
      </c>
      <c r="M2139" s="34">
        <v>25292</v>
      </c>
    </row>
    <row r="2140" spans="2:13" ht="17" x14ac:dyDescent="0.2">
      <c r="B2140" s="155" t="s">
        <v>159</v>
      </c>
      <c r="C2140" s="19" t="s">
        <v>40</v>
      </c>
      <c r="J2140" s="34" t="s">
        <v>0</v>
      </c>
      <c r="L2140" s="62" t="s">
        <v>41</v>
      </c>
      <c r="M2140" s="34">
        <v>25292</v>
      </c>
    </row>
    <row r="2141" spans="2:13" ht="17" x14ac:dyDescent="0.2">
      <c r="B2141" s="151" t="s">
        <v>160</v>
      </c>
      <c r="C2141" s="19" t="s">
        <v>40</v>
      </c>
      <c r="J2141" s="34" t="s">
        <v>0</v>
      </c>
      <c r="L2141" s="62" t="s">
        <v>41</v>
      </c>
      <c r="M2141" s="34">
        <v>25292</v>
      </c>
    </row>
    <row r="2142" spans="2:13" x14ac:dyDescent="0.2">
      <c r="B2142" s="153" t="s">
        <v>161</v>
      </c>
      <c r="C2142" s="19"/>
    </row>
    <row r="2143" spans="2:13" x14ac:dyDescent="0.2">
      <c r="B2143" s="156" t="s">
        <v>162</v>
      </c>
      <c r="C2143" s="19"/>
    </row>
    <row r="2144" spans="2:13" ht="48" x14ac:dyDescent="0.2">
      <c r="B2144" s="151" t="s">
        <v>163</v>
      </c>
      <c r="C2144" s="19" t="s">
        <v>40</v>
      </c>
      <c r="J2144" s="34" t="s">
        <v>0</v>
      </c>
      <c r="L2144" s="62" t="s">
        <v>41</v>
      </c>
      <c r="M2144" s="34">
        <v>25292</v>
      </c>
    </row>
    <row r="2145" spans="2:13" ht="21.75" customHeight="1" x14ac:dyDescent="0.2">
      <c r="B2145" s="166" t="s">
        <v>288</v>
      </c>
      <c r="C2145" s="19" t="s">
        <v>40</v>
      </c>
      <c r="J2145" s="34" t="s">
        <v>0</v>
      </c>
      <c r="L2145" s="62" t="s">
        <v>41</v>
      </c>
      <c r="M2145" s="34">
        <v>25292</v>
      </c>
    </row>
    <row r="2146" spans="2:13" x14ac:dyDescent="0.2">
      <c r="B2146" s="156" t="s">
        <v>165</v>
      </c>
      <c r="C2146" s="19"/>
    </row>
    <row r="2147" spans="2:13" ht="48" x14ac:dyDescent="0.2">
      <c r="B2147" s="151" t="s">
        <v>166</v>
      </c>
      <c r="C2147" s="19" t="s">
        <v>40</v>
      </c>
      <c r="J2147" s="173"/>
      <c r="L2147" s="62" t="s">
        <v>41</v>
      </c>
      <c r="M2147" s="34">
        <v>25292</v>
      </c>
    </row>
    <row r="2148" spans="2:13" ht="17" x14ac:dyDescent="0.2">
      <c r="B2148" s="138" t="s">
        <v>167</v>
      </c>
      <c r="C2148" s="19" t="s">
        <v>40</v>
      </c>
      <c r="J2148" s="34" t="s">
        <v>0</v>
      </c>
      <c r="L2148" s="62" t="s">
        <v>41</v>
      </c>
      <c r="M2148" s="34">
        <v>25292</v>
      </c>
    </row>
    <row r="2149" spans="2:13" x14ac:dyDescent="0.2">
      <c r="B2149" s="157" t="s">
        <v>168</v>
      </c>
    </row>
    <row r="2150" spans="2:13" ht="51" x14ac:dyDescent="0.2">
      <c r="B2150" s="158" t="s">
        <v>169</v>
      </c>
      <c r="C2150" s="19" t="s">
        <v>40</v>
      </c>
      <c r="J2150" s="34" t="s">
        <v>0</v>
      </c>
      <c r="L2150" s="62" t="s">
        <v>41</v>
      </c>
      <c r="M2150" s="34">
        <v>25292</v>
      </c>
    </row>
    <row r="2151" spans="2:13" ht="17" x14ac:dyDescent="0.2">
      <c r="B2151" s="159" t="s">
        <v>170</v>
      </c>
      <c r="C2151" s="19" t="s">
        <v>40</v>
      </c>
      <c r="J2151" s="34" t="s">
        <v>0</v>
      </c>
      <c r="L2151" s="62" t="s">
        <v>41</v>
      </c>
      <c r="M2151" s="34">
        <v>25292</v>
      </c>
    </row>
    <row r="2152" spans="2:13" x14ac:dyDescent="0.2">
      <c r="B2152" s="157" t="s">
        <v>171</v>
      </c>
      <c r="C2152" s="19"/>
    </row>
    <row r="2153" spans="2:13" ht="48" x14ac:dyDescent="0.2">
      <c r="B2153" s="144" t="s">
        <v>172</v>
      </c>
      <c r="C2153" s="19" t="s">
        <v>40</v>
      </c>
      <c r="J2153" s="173"/>
      <c r="L2153" s="62" t="s">
        <v>41</v>
      </c>
      <c r="M2153" s="34">
        <v>25292</v>
      </c>
    </row>
    <row r="2154" spans="2:13" ht="17" x14ac:dyDescent="0.2">
      <c r="B2154" s="160" t="s">
        <v>173</v>
      </c>
      <c r="C2154" s="19" t="s">
        <v>40</v>
      </c>
      <c r="J2154" s="34" t="s">
        <v>0</v>
      </c>
      <c r="L2154" s="62" t="s">
        <v>41</v>
      </c>
      <c r="M2154" s="34">
        <v>25292</v>
      </c>
    </row>
    <row r="2155" spans="2:13" ht="17" x14ac:dyDescent="0.2">
      <c r="B2155" s="161" t="s">
        <v>174</v>
      </c>
    </row>
    <row r="2156" spans="2:13" ht="51" x14ac:dyDescent="0.2">
      <c r="B2156" s="161" t="s">
        <v>175</v>
      </c>
      <c r="C2156" s="19"/>
    </row>
    <row r="2157" spans="2:13" ht="17" x14ac:dyDescent="0.2">
      <c r="B2157" s="131" t="s">
        <v>176</v>
      </c>
      <c r="C2157" s="19" t="s">
        <v>40</v>
      </c>
      <c r="J2157" s="34" t="s">
        <v>0</v>
      </c>
      <c r="L2157" s="62" t="s">
        <v>41</v>
      </c>
      <c r="M2157" s="34">
        <v>25292</v>
      </c>
    </row>
    <row r="2158" spans="2:13" ht="17" x14ac:dyDescent="0.2">
      <c r="B2158" s="160" t="s">
        <v>177</v>
      </c>
      <c r="C2158" s="19" t="s">
        <v>40</v>
      </c>
      <c r="J2158" s="34" t="s">
        <v>92</v>
      </c>
      <c r="L2158" s="62" t="s">
        <v>41</v>
      </c>
      <c r="M2158" s="34">
        <v>25292</v>
      </c>
    </row>
    <row r="2159" spans="2:13" ht="17" x14ac:dyDescent="0.2">
      <c r="B2159" s="131" t="s">
        <v>178</v>
      </c>
      <c r="C2159" s="19" t="s">
        <v>40</v>
      </c>
      <c r="J2159" s="34" t="s">
        <v>0</v>
      </c>
      <c r="L2159" s="62" t="s">
        <v>41</v>
      </c>
      <c r="M2159" s="34">
        <v>25292</v>
      </c>
    </row>
    <row r="2160" spans="2:13" ht="68" x14ac:dyDescent="0.2">
      <c r="B2160" s="165" t="s">
        <v>289</v>
      </c>
      <c r="C2160" s="19" t="s">
        <v>40</v>
      </c>
      <c r="J2160" s="34" t="s">
        <v>0</v>
      </c>
      <c r="L2160" s="62" t="s">
        <v>41</v>
      </c>
      <c r="M2160" s="34">
        <v>25292</v>
      </c>
    </row>
    <row r="2161" spans="2:13" ht="17" x14ac:dyDescent="0.2">
      <c r="B2161" s="131" t="s">
        <v>180</v>
      </c>
      <c r="C2161" s="19" t="s">
        <v>40</v>
      </c>
      <c r="J2161" s="34" t="s">
        <v>0</v>
      </c>
      <c r="L2161" s="62" t="s">
        <v>41</v>
      </c>
      <c r="M2161" s="34">
        <v>25292</v>
      </c>
    </row>
    <row r="2162" spans="2:13" ht="68" x14ac:dyDescent="0.2">
      <c r="B2162" s="165" t="s">
        <v>290</v>
      </c>
      <c r="C2162" s="19" t="s">
        <v>40</v>
      </c>
      <c r="J2162" s="34" t="s">
        <v>0</v>
      </c>
      <c r="L2162" s="62" t="s">
        <v>41</v>
      </c>
      <c r="M2162" s="34">
        <v>25292</v>
      </c>
    </row>
    <row r="2163" spans="2:13" ht="17" x14ac:dyDescent="0.2">
      <c r="B2163" s="160" t="s">
        <v>182</v>
      </c>
      <c r="C2163" s="19" t="s">
        <v>40</v>
      </c>
      <c r="J2163" s="34" t="s">
        <v>0</v>
      </c>
      <c r="L2163" s="62" t="s">
        <v>41</v>
      </c>
      <c r="M2163" s="34">
        <v>25292</v>
      </c>
    </row>
    <row r="2164" spans="2:13" ht="68" x14ac:dyDescent="0.2">
      <c r="B2164" s="160" t="s">
        <v>291</v>
      </c>
      <c r="C2164" s="19" t="s">
        <v>40</v>
      </c>
      <c r="J2164" s="34" t="s">
        <v>0</v>
      </c>
      <c r="L2164" s="62" t="s">
        <v>41</v>
      </c>
      <c r="M2164" s="34">
        <v>25292</v>
      </c>
    </row>
    <row r="2165" spans="2:13" ht="17" x14ac:dyDescent="0.2">
      <c r="B2165" s="162" t="s">
        <v>184</v>
      </c>
      <c r="C2165" s="19" t="s">
        <v>40</v>
      </c>
      <c r="J2165" s="34" t="s">
        <v>0</v>
      </c>
      <c r="L2165" s="62" t="s">
        <v>41</v>
      </c>
      <c r="M2165" s="34">
        <v>25292</v>
      </c>
    </row>
    <row r="2166" spans="2:13" ht="17" x14ac:dyDescent="0.2">
      <c r="B2166" s="162" t="s">
        <v>185</v>
      </c>
      <c r="C2166" s="19" t="s">
        <v>40</v>
      </c>
      <c r="J2166" s="34" t="s">
        <v>0</v>
      </c>
      <c r="L2166" s="62" t="s">
        <v>41</v>
      </c>
      <c r="M2166" s="34">
        <v>25292</v>
      </c>
    </row>
  </sheetData>
  <mergeCells count="21">
    <mergeCell ref="S13:S15"/>
    <mergeCell ref="D14:F14"/>
    <mergeCell ref="G14:G15"/>
    <mergeCell ref="H14:H15"/>
    <mergeCell ref="I14:K14"/>
    <mergeCell ref="L14:L15"/>
    <mergeCell ref="M14:M15"/>
    <mergeCell ref="P14:P15"/>
    <mergeCell ref="Q14:Q15"/>
    <mergeCell ref="R14:R15"/>
    <mergeCell ref="D13:H13"/>
    <mergeCell ref="I13:M13"/>
    <mergeCell ref="O13:O15"/>
    <mergeCell ref="P13:R13"/>
    <mergeCell ref="B3:C3"/>
    <mergeCell ref="A6:A8"/>
    <mergeCell ref="A9:B9"/>
    <mergeCell ref="A10:B10"/>
    <mergeCell ref="A13:A15"/>
    <mergeCell ref="B13:B15"/>
    <mergeCell ref="C13:C15"/>
  </mergeCells>
  <conditionalFormatting sqref="B167:B176">
    <cfRule type="containsText" dxfId="322" priority="333" operator="containsText" text="High">
      <formula>NOT(ISERROR(SEARCH("High",B167)))</formula>
    </cfRule>
    <cfRule type="containsText" dxfId="321" priority="332" operator="containsText" text="Medium">
      <formula>NOT(ISERROR(SEARCH("Medium",B167)))</formula>
    </cfRule>
    <cfRule type="containsText" dxfId="320" priority="331" operator="containsText" text="Low">
      <formula>NOT(ISERROR(SEARCH("Low",B167)))</formula>
    </cfRule>
  </conditionalFormatting>
  <conditionalFormatting sqref="B300:B305">
    <cfRule type="containsText" dxfId="319" priority="327" operator="containsText" text="High">
      <formula>NOT(ISERROR(SEARCH("High",B300)))</formula>
    </cfRule>
    <cfRule type="containsText" dxfId="318" priority="325" operator="containsText" text="Low">
      <formula>NOT(ISERROR(SEARCH("Low",B300)))</formula>
    </cfRule>
    <cfRule type="containsText" dxfId="317" priority="326" operator="containsText" text="Medium">
      <formula>NOT(ISERROR(SEARCH("Medium",B300)))</formula>
    </cfRule>
  </conditionalFormatting>
  <conditionalFormatting sqref="B461:B470">
    <cfRule type="containsText" dxfId="316" priority="281" operator="containsText" text="Medium">
      <formula>NOT(ISERROR(SEARCH("Medium",B461)))</formula>
    </cfRule>
    <cfRule type="containsText" dxfId="315" priority="282" operator="containsText" text="High">
      <formula>NOT(ISERROR(SEARCH("High",B461)))</formula>
    </cfRule>
    <cfRule type="containsText" dxfId="314" priority="280" operator="containsText" text="Low">
      <formula>NOT(ISERROR(SEARCH("Low",B461)))</formula>
    </cfRule>
  </conditionalFormatting>
  <conditionalFormatting sqref="B626:B635">
    <cfRule type="containsText" dxfId="313" priority="267" operator="containsText" text="High">
      <formula>NOT(ISERROR(SEARCH("High",B626)))</formula>
    </cfRule>
    <cfRule type="containsText" dxfId="312" priority="265" operator="containsText" text="Low">
      <formula>NOT(ISERROR(SEARCH("Low",B626)))</formula>
    </cfRule>
    <cfRule type="containsText" dxfId="311" priority="266" operator="containsText" text="Medium">
      <formula>NOT(ISERROR(SEARCH("Medium",B626)))</formula>
    </cfRule>
  </conditionalFormatting>
  <conditionalFormatting sqref="B805:B816">
    <cfRule type="containsText" dxfId="310" priority="250" operator="containsText" text="Low">
      <formula>NOT(ISERROR(SEARCH("Low",B805)))</formula>
    </cfRule>
    <cfRule type="containsText" dxfId="309" priority="251" operator="containsText" text="Medium">
      <formula>NOT(ISERROR(SEARCH("Medium",B805)))</formula>
    </cfRule>
    <cfRule type="containsText" dxfId="308" priority="252" operator="containsText" text="High">
      <formula>NOT(ISERROR(SEARCH("High",B805)))</formula>
    </cfRule>
  </conditionalFormatting>
  <conditionalFormatting sqref="B977:B986">
    <cfRule type="containsText" dxfId="307" priority="232" operator="containsText" text="Low">
      <formula>NOT(ISERROR(SEARCH("Low",B977)))</formula>
    </cfRule>
    <cfRule type="containsText" dxfId="306" priority="233" operator="containsText" text="Medium">
      <formula>NOT(ISERROR(SEARCH("Medium",B977)))</formula>
    </cfRule>
    <cfRule type="containsText" dxfId="305" priority="234" operator="containsText" text="High">
      <formula>NOT(ISERROR(SEARCH("High",B977)))</formula>
    </cfRule>
  </conditionalFormatting>
  <conditionalFormatting sqref="B1158:B1169">
    <cfRule type="containsText" dxfId="304" priority="187" operator="containsText" text="Low">
      <formula>NOT(ISERROR(SEARCH("Low",B1158)))</formula>
    </cfRule>
    <cfRule type="containsText" dxfId="303" priority="188" operator="containsText" text="Medium">
      <formula>NOT(ISERROR(SEARCH("Medium",B1158)))</formula>
    </cfRule>
    <cfRule type="containsText" dxfId="302" priority="189" operator="containsText" text="High">
      <formula>NOT(ISERROR(SEARCH("High",B1158)))</formula>
    </cfRule>
  </conditionalFormatting>
  <conditionalFormatting sqref="B1314:B1321">
    <cfRule type="containsText" dxfId="301" priority="172" operator="containsText" text="Low">
      <formula>NOT(ISERROR(SEARCH("Low",B1314)))</formula>
    </cfRule>
    <cfRule type="containsText" dxfId="300" priority="174" operator="containsText" text="High">
      <formula>NOT(ISERROR(SEARCH("High",B1314)))</formula>
    </cfRule>
    <cfRule type="containsText" dxfId="299" priority="173" operator="containsText" text="Medium">
      <formula>NOT(ISERROR(SEARCH("Medium",B1314)))</formula>
    </cfRule>
  </conditionalFormatting>
  <conditionalFormatting sqref="B1454:B1459">
    <cfRule type="containsText" dxfId="298" priority="160" operator="containsText" text="Low">
      <formula>NOT(ISERROR(SEARCH("Low",B1454)))</formula>
    </cfRule>
    <cfRule type="containsText" dxfId="297" priority="161" operator="containsText" text="Medium">
      <formula>NOT(ISERROR(SEARCH("Medium",B1454)))</formula>
    </cfRule>
    <cfRule type="containsText" dxfId="296" priority="162" operator="containsText" text="High">
      <formula>NOT(ISERROR(SEARCH("High",B1454)))</formula>
    </cfRule>
  </conditionalFormatting>
  <conditionalFormatting sqref="B1604:B1611">
    <cfRule type="containsText" dxfId="295" priority="129" operator="containsText" text="High">
      <formula>NOT(ISERROR(SEARCH("High",B1604)))</formula>
    </cfRule>
    <cfRule type="containsText" dxfId="294" priority="128" operator="containsText" text="Medium">
      <formula>NOT(ISERROR(SEARCH("Medium",B1604)))</formula>
    </cfRule>
    <cfRule type="containsText" dxfId="293" priority="127" operator="containsText" text="Low">
      <formula>NOT(ISERROR(SEARCH("Low",B1604)))</formula>
    </cfRule>
  </conditionalFormatting>
  <conditionalFormatting sqref="B1791:B1802">
    <cfRule type="containsText" dxfId="292" priority="91" operator="containsText" text="Low">
      <formula>NOT(ISERROR(SEARCH("Low",B1791)))</formula>
    </cfRule>
    <cfRule type="containsText" dxfId="291" priority="92" operator="containsText" text="Medium">
      <formula>NOT(ISERROR(SEARCH("Medium",B1791)))</formula>
    </cfRule>
    <cfRule type="containsText" dxfId="290" priority="93" operator="containsText" text="High">
      <formula>NOT(ISERROR(SEARCH("High",B1791)))</formula>
    </cfRule>
  </conditionalFormatting>
  <conditionalFormatting sqref="B1969:B1978">
    <cfRule type="containsText" dxfId="289" priority="69" operator="containsText" text="High">
      <formula>NOT(ISERROR(SEARCH("High",B1969)))</formula>
    </cfRule>
    <cfRule type="containsText" dxfId="288" priority="67" operator="containsText" text="Low">
      <formula>NOT(ISERROR(SEARCH("Low",B1969)))</formula>
    </cfRule>
    <cfRule type="containsText" dxfId="287" priority="68" operator="containsText" text="Medium">
      <formula>NOT(ISERROR(SEARCH("Medium",B1969)))</formula>
    </cfRule>
  </conditionalFormatting>
  <conditionalFormatting sqref="B2155:B2164">
    <cfRule type="containsText" dxfId="286" priority="27" operator="containsText" text="High">
      <formula>NOT(ISERROR(SEARCH("High",B2155)))</formula>
    </cfRule>
    <cfRule type="containsText" dxfId="285" priority="26" operator="containsText" text="Medium">
      <formula>NOT(ISERROR(SEARCH("Medium",B2155)))</formula>
    </cfRule>
    <cfRule type="containsText" dxfId="284" priority="25" operator="containsText" text="Low">
      <formula>NOT(ISERROR(SEARCH("Low",B2155)))</formula>
    </cfRule>
  </conditionalFormatting>
  <conditionalFormatting sqref="C16:C269">
    <cfRule type="containsText" dxfId="283" priority="322" operator="containsText" text="Low">
      <formula>NOT(ISERROR(SEARCH("Low",C16)))</formula>
    </cfRule>
    <cfRule type="containsText" dxfId="282" priority="323" operator="containsText" text="Medium">
      <formula>NOT(ISERROR(SEARCH("Medium",C16)))</formula>
    </cfRule>
    <cfRule type="containsText" dxfId="281" priority="324" operator="containsText" text="High">
      <formula>NOT(ISERROR(SEARCH("High",C16)))</formula>
    </cfRule>
  </conditionalFormatting>
  <conditionalFormatting sqref="C271:C292">
    <cfRule type="containsText" dxfId="280" priority="295" operator="containsText" text="Low">
      <formula>NOT(ISERROR(SEARCH("Low",C271)))</formula>
    </cfRule>
    <cfRule type="containsText" dxfId="279" priority="296" operator="containsText" text="Medium">
      <formula>NOT(ISERROR(SEARCH("Medium",C271)))</formula>
    </cfRule>
    <cfRule type="containsText" dxfId="278" priority="297" operator="containsText" text="High">
      <formula>NOT(ISERROR(SEARCH("High",C271)))</formula>
    </cfRule>
  </conditionalFormatting>
  <conditionalFormatting sqref="C295:C299">
    <cfRule type="containsText" dxfId="277" priority="304" operator="containsText" text="Low">
      <formula>NOT(ISERROR(SEARCH("Low",C295)))</formula>
    </cfRule>
    <cfRule type="containsText" dxfId="276" priority="305" operator="containsText" text="Medium">
      <formula>NOT(ISERROR(SEARCH("Medium",C295)))</formula>
    </cfRule>
    <cfRule type="containsText" dxfId="275" priority="306" operator="containsText" text="High">
      <formula>NOT(ISERROR(SEARCH("High",C295)))</formula>
    </cfRule>
  </conditionalFormatting>
  <conditionalFormatting sqref="C302:C472">
    <cfRule type="containsText" dxfId="274" priority="291" operator="containsText" text="High">
      <formula>NOT(ISERROR(SEARCH("High",C302)))</formula>
    </cfRule>
    <cfRule type="containsText" dxfId="273" priority="290" operator="containsText" text="Medium">
      <formula>NOT(ISERROR(SEARCH("Medium",C302)))</formula>
    </cfRule>
    <cfRule type="containsText" dxfId="272" priority="289" operator="containsText" text="Low">
      <formula>NOT(ISERROR(SEARCH("Low",C302)))</formula>
    </cfRule>
  </conditionalFormatting>
  <conditionalFormatting sqref="C474:C1048576">
    <cfRule type="containsText" dxfId="271" priority="1" operator="containsText" text="Low">
      <formula>NOT(ISERROR(SEARCH("Low",C474)))</formula>
    </cfRule>
    <cfRule type="containsText" dxfId="270" priority="2" operator="containsText" text="Medium">
      <formula>NOT(ISERROR(SEARCH("Medium",C474)))</formula>
    </cfRule>
    <cfRule type="containsText" dxfId="269" priority="3" operator="containsText" text="High">
      <formula>NOT(ISERROR(SEARCH("High",C474)))</formula>
    </cfRule>
  </conditionalFormatting>
  <conditionalFormatting sqref="D473">
    <cfRule type="containsText" dxfId="268" priority="361" operator="containsText" text="Low">
      <formula>NOT(ISERROR(SEARCH("Low",D473)))</formula>
    </cfRule>
    <cfRule type="containsText" dxfId="267" priority="362" operator="containsText" text="Medium">
      <formula>NOT(ISERROR(SEARCH("Medium",D473)))</formula>
    </cfRule>
    <cfRule type="containsText" dxfId="266" priority="363" operator="containsText" text="High">
      <formula>NOT(ISERROR(SEARCH("High",D473)))</formula>
    </cfRule>
  </conditionalFormatting>
  <hyperlinks>
    <hyperlink ref="O852" r:id="rId1" xr:uid="{BD35A426-A007-4BE8-BCE8-93A784C0AA9C}"/>
    <hyperlink ref="O853" r:id="rId2" xr:uid="{05AA5F8A-7B9E-4786-8EC1-03723AA361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7C4B-3EDB-44FC-946A-F474D7BC63E0}">
  <sheetPr>
    <tabColor theme="4" tint="0.39997558519241921"/>
  </sheetPr>
  <dimension ref="A1:W2683"/>
  <sheetViews>
    <sheetView topLeftCell="A617" workbookViewId="0">
      <selection activeCell="B896" sqref="B896"/>
    </sheetView>
  </sheetViews>
  <sheetFormatPr baseColWidth="10" defaultColWidth="8.83203125" defaultRowHeight="16" x14ac:dyDescent="0.2"/>
  <cols>
    <col min="1" max="1" width="10.33203125" style="51" customWidth="1"/>
    <col min="2" max="2" width="101.5" style="52" customWidth="1"/>
    <col min="3" max="3" width="21" style="51" customWidth="1"/>
    <col min="4" max="4" width="10.33203125" style="34" customWidth="1"/>
    <col min="5" max="5" width="11.33203125" style="34" customWidth="1"/>
    <col min="6" max="6" width="10.33203125" style="34" customWidth="1"/>
    <col min="7" max="7" width="17.5" style="50" customWidth="1"/>
    <col min="8" max="8" width="41.6640625" style="6" customWidth="1"/>
    <col min="9" max="9" width="11.33203125" style="64" customWidth="1"/>
    <col min="10" max="10" width="11.5" style="34" customWidth="1"/>
    <col min="11" max="11" width="10.33203125" style="34" customWidth="1"/>
    <col min="12" max="12" width="17.5" style="35" customWidth="1"/>
    <col min="13" max="13" width="38.1640625" style="34" customWidth="1"/>
    <col min="14" max="14" width="59.5" style="23" customWidth="1"/>
    <col min="15" max="15" width="81" style="6" customWidth="1"/>
    <col min="16" max="16" width="29.5" style="6" customWidth="1"/>
    <col min="17" max="17" width="24.1640625" style="5" customWidth="1"/>
    <col min="18" max="18" width="39.1640625" style="5" customWidth="1"/>
    <col min="19" max="19" width="35.6640625" style="5" customWidth="1"/>
    <col min="20" max="20" width="36.1640625" style="5" customWidth="1"/>
    <col min="21" max="21" width="9.1640625" style="7" bestFit="1" customWidth="1"/>
    <col min="22" max="22" width="21.6640625" style="7" customWidth="1"/>
    <col min="23" max="23" width="17.5" style="7" customWidth="1"/>
  </cols>
  <sheetData>
    <row r="1" spans="1:19" x14ac:dyDescent="0.2">
      <c r="A1"/>
      <c r="B1"/>
      <c r="C1"/>
      <c r="D1" s="1"/>
      <c r="E1" s="1"/>
      <c r="F1" s="2" t="s">
        <v>0</v>
      </c>
      <c r="G1" s="2"/>
      <c r="H1" s="3"/>
      <c r="I1" s="2"/>
      <c r="J1" s="4"/>
      <c r="K1" s="2"/>
      <c r="L1" s="2"/>
      <c r="M1" s="5"/>
      <c r="N1" s="2"/>
      <c r="O1" s="2"/>
    </row>
    <row r="2" spans="1:19" ht="18" x14ac:dyDescent="0.2">
      <c r="A2" s="8"/>
      <c r="B2" s="9"/>
      <c r="C2" s="10"/>
      <c r="D2" s="11"/>
      <c r="E2" s="11"/>
      <c r="F2" s="11"/>
      <c r="G2" s="12"/>
      <c r="H2" s="13"/>
      <c r="I2" s="14"/>
      <c r="J2" s="15"/>
      <c r="K2" s="11"/>
      <c r="L2" s="12"/>
      <c r="M2" s="11"/>
      <c r="N2" s="16"/>
      <c r="O2" s="17"/>
    </row>
    <row r="3" spans="1:19" x14ac:dyDescent="0.2">
      <c r="A3" s="18" t="s">
        <v>1</v>
      </c>
      <c r="B3" s="311"/>
      <c r="C3" s="311"/>
      <c r="D3" s="20"/>
      <c r="E3" s="20"/>
      <c r="F3" s="20"/>
      <c r="G3" s="21"/>
      <c r="I3" s="22"/>
      <c r="J3" s="20"/>
      <c r="K3" s="20"/>
      <c r="L3" s="21"/>
      <c r="M3" s="20"/>
      <c r="R3" s="24" t="s">
        <v>2</v>
      </c>
      <c r="S3" s="25">
        <v>45586</v>
      </c>
    </row>
    <row r="4" spans="1:19" x14ac:dyDescent="0.2">
      <c r="A4" s="26"/>
      <c r="B4" s="27"/>
      <c r="C4" s="28"/>
      <c r="D4" s="20"/>
      <c r="E4" s="20"/>
      <c r="F4" s="20"/>
      <c r="G4" s="21"/>
      <c r="I4" s="22"/>
      <c r="J4" s="20"/>
      <c r="K4" s="20"/>
      <c r="L4" s="21"/>
      <c r="M4" s="20"/>
      <c r="N4" s="29"/>
      <c r="O4" s="30"/>
    </row>
    <row r="5" spans="1:19" ht="25" x14ac:dyDescent="0.2">
      <c r="A5"/>
      <c r="B5"/>
      <c r="C5"/>
      <c r="D5" s="20"/>
      <c r="E5" s="31" t="s">
        <v>3</v>
      </c>
      <c r="F5" s="31" t="s">
        <v>4</v>
      </c>
      <c r="G5" s="32" t="s">
        <v>5</v>
      </c>
      <c r="H5" s="33"/>
      <c r="I5" s="23"/>
      <c r="K5" s="6"/>
    </row>
    <row r="6" spans="1:19" x14ac:dyDescent="0.2">
      <c r="A6" s="312" t="s">
        <v>6</v>
      </c>
      <c r="B6" s="36" t="s">
        <v>7</v>
      </c>
      <c r="C6" s="37">
        <f>COUNTIF(D16:P1048576,"P")</f>
        <v>1456</v>
      </c>
      <c r="E6" s="38">
        <f>IFERROR(C8/C10,0)</f>
        <v>1</v>
      </c>
      <c r="F6" s="39">
        <f>IFERROR(C6/C8,0)</f>
        <v>1</v>
      </c>
      <c r="G6" s="40">
        <f>IFERROR(C7/C8,0)</f>
        <v>0</v>
      </c>
      <c r="I6" s="23"/>
      <c r="K6" s="6"/>
    </row>
    <row r="7" spans="1:19" x14ac:dyDescent="0.2">
      <c r="A7" s="312"/>
      <c r="B7" s="41" t="s">
        <v>8</v>
      </c>
      <c r="C7" s="42">
        <f>COUNTIF(D16:P1048576,"F")</f>
        <v>0</v>
      </c>
      <c r="E7" s="6"/>
      <c r="G7" s="35"/>
      <c r="I7" s="23"/>
      <c r="K7" s="6"/>
    </row>
    <row r="8" spans="1:19" x14ac:dyDescent="0.2">
      <c r="A8" s="312"/>
      <c r="B8" s="43" t="s">
        <v>9</v>
      </c>
      <c r="C8" s="44">
        <f>C6+C7</f>
        <v>1456</v>
      </c>
      <c r="E8" s="6"/>
      <c r="G8" s="35"/>
      <c r="I8" s="23"/>
      <c r="K8" s="6"/>
    </row>
    <row r="9" spans="1:19" x14ac:dyDescent="0.2">
      <c r="A9" s="313" t="s">
        <v>10</v>
      </c>
      <c r="B9" s="313"/>
      <c r="C9" s="42">
        <f>COUNTIF(D16:P1048576,"0")</f>
        <v>0</v>
      </c>
      <c r="E9" s="6"/>
      <c r="F9" s="45"/>
      <c r="G9" s="46"/>
      <c r="I9" s="23"/>
      <c r="K9" s="6"/>
    </row>
    <row r="10" spans="1:19" x14ac:dyDescent="0.2">
      <c r="A10" s="314" t="s">
        <v>11</v>
      </c>
      <c r="B10" s="314"/>
      <c r="C10" s="44">
        <f>SUM(C8:C9)</f>
        <v>1456</v>
      </c>
      <c r="E10" s="6"/>
      <c r="G10" s="35"/>
      <c r="I10" s="23"/>
      <c r="K10" s="6"/>
    </row>
    <row r="11" spans="1:19" x14ac:dyDescent="0.2">
      <c r="A11" s="47"/>
      <c r="B11" s="48"/>
      <c r="C11" s="49"/>
      <c r="D11" s="6"/>
      <c r="F11" s="6"/>
      <c r="I11" s="23"/>
      <c r="K11" s="6"/>
    </row>
    <row r="12" spans="1:19" x14ac:dyDescent="0.2">
      <c r="D12" s="6"/>
      <c r="E12" s="6"/>
      <c r="F12" s="6"/>
      <c r="I12" s="23"/>
      <c r="K12" s="6"/>
    </row>
    <row r="13" spans="1:19" ht="17" x14ac:dyDescent="0.2">
      <c r="A13" s="315" t="s">
        <v>12</v>
      </c>
      <c r="B13" s="316" t="s">
        <v>13</v>
      </c>
      <c r="C13" s="318" t="s">
        <v>14</v>
      </c>
      <c r="D13" s="330" t="s">
        <v>15</v>
      </c>
      <c r="E13" s="330"/>
      <c r="F13" s="330"/>
      <c r="G13" s="330"/>
      <c r="H13" s="330"/>
      <c r="I13" s="331" t="s">
        <v>16</v>
      </c>
      <c r="J13" s="331"/>
      <c r="K13" s="331"/>
      <c r="L13" s="331"/>
      <c r="M13" s="331"/>
      <c r="N13" s="53" t="s">
        <v>17</v>
      </c>
      <c r="O13" s="332" t="s">
        <v>18</v>
      </c>
      <c r="P13" s="334" t="s">
        <v>19</v>
      </c>
      <c r="Q13" s="334"/>
      <c r="R13" s="334"/>
      <c r="S13" s="319" t="s">
        <v>20</v>
      </c>
    </row>
    <row r="14" spans="1:19" ht="39.75" customHeight="1" x14ac:dyDescent="0.2">
      <c r="A14" s="315"/>
      <c r="B14" s="316"/>
      <c r="C14" s="318"/>
      <c r="D14" s="320" t="s">
        <v>21</v>
      </c>
      <c r="E14" s="320"/>
      <c r="F14" s="320"/>
      <c r="G14" s="321" t="s">
        <v>22</v>
      </c>
      <c r="H14" s="323" t="s">
        <v>23</v>
      </c>
      <c r="I14" s="324" t="s">
        <v>24</v>
      </c>
      <c r="J14" s="325"/>
      <c r="K14" s="325"/>
      <c r="L14" s="326" t="s">
        <v>22</v>
      </c>
      <c r="M14" s="325" t="s">
        <v>23</v>
      </c>
      <c r="N14" s="53"/>
      <c r="O14" s="332"/>
      <c r="P14" s="328" t="s">
        <v>25</v>
      </c>
      <c r="Q14" s="329" t="s">
        <v>22</v>
      </c>
      <c r="R14" s="329" t="s">
        <v>17</v>
      </c>
      <c r="S14" s="319"/>
    </row>
    <row r="15" spans="1:19" ht="17" x14ac:dyDescent="0.2">
      <c r="A15" s="315"/>
      <c r="B15" s="317"/>
      <c r="C15" s="318"/>
      <c r="D15" s="54" t="s">
        <v>26</v>
      </c>
      <c r="E15" s="55" t="s">
        <v>27</v>
      </c>
      <c r="F15" s="55" t="s">
        <v>28</v>
      </c>
      <c r="G15" s="322"/>
      <c r="H15" s="323"/>
      <c r="I15" s="56" t="s">
        <v>26</v>
      </c>
      <c r="J15" s="57" t="s">
        <v>27</v>
      </c>
      <c r="K15" s="55" t="s">
        <v>28</v>
      </c>
      <c r="L15" s="327"/>
      <c r="M15" s="325"/>
      <c r="N15" s="58"/>
      <c r="O15" s="333"/>
      <c r="P15" s="328"/>
      <c r="Q15" s="329"/>
      <c r="R15" s="329"/>
      <c r="S15" s="319"/>
    </row>
    <row r="16" spans="1:19" ht="25" x14ac:dyDescent="0.3">
      <c r="B16" s="125" t="s">
        <v>29</v>
      </c>
      <c r="C16" s="59"/>
      <c r="D16" s="60"/>
      <c r="E16" s="61"/>
      <c r="F16" s="61"/>
      <c r="G16" s="62"/>
      <c r="H16" s="63"/>
      <c r="L16" s="62"/>
      <c r="M16" s="63"/>
      <c r="N16" s="65"/>
    </row>
    <row r="17" spans="2:17" ht="69" x14ac:dyDescent="0.2">
      <c r="B17" s="170" t="s">
        <v>327</v>
      </c>
      <c r="C17" s="19"/>
      <c r="F17" s="35"/>
      <c r="G17" s="62"/>
      <c r="H17" s="61"/>
      <c r="L17" s="62"/>
      <c r="N17" s="67"/>
      <c r="P17" s="66"/>
      <c r="Q17" s="68"/>
    </row>
    <row r="18" spans="2:17" ht="17" x14ac:dyDescent="0.2">
      <c r="B18" s="127" t="s">
        <v>31</v>
      </c>
      <c r="C18" s="19"/>
      <c r="F18" s="35"/>
      <c r="G18" s="62"/>
      <c r="H18" s="61"/>
      <c r="L18" s="62"/>
      <c r="N18" s="67"/>
      <c r="P18" s="66"/>
      <c r="Q18" s="68"/>
    </row>
    <row r="19" spans="2:17" ht="17" x14ac:dyDescent="0.2">
      <c r="B19" s="163" t="s">
        <v>328</v>
      </c>
      <c r="F19" s="35"/>
      <c r="G19" s="62"/>
      <c r="H19" s="61"/>
      <c r="L19" s="62"/>
      <c r="N19" s="67"/>
      <c r="P19" s="23"/>
    </row>
    <row r="20" spans="2:17" ht="17" x14ac:dyDescent="0.2">
      <c r="B20" s="128" t="s">
        <v>33</v>
      </c>
      <c r="G20" s="62"/>
      <c r="H20" s="61"/>
      <c r="L20" s="61"/>
      <c r="M20" s="69"/>
      <c r="N20" s="67"/>
      <c r="P20" s="23"/>
    </row>
    <row r="21" spans="2:17" ht="17" x14ac:dyDescent="0.2">
      <c r="B21" s="127" t="s">
        <v>34</v>
      </c>
      <c r="C21" s="19"/>
      <c r="G21" s="62"/>
      <c r="H21" s="61"/>
      <c r="L21" s="62"/>
      <c r="N21" s="67"/>
      <c r="P21" s="66"/>
      <c r="Q21" s="68"/>
    </row>
    <row r="22" spans="2:17" ht="51" x14ac:dyDescent="0.2">
      <c r="B22" s="163" t="s">
        <v>35</v>
      </c>
      <c r="C22" s="19"/>
      <c r="F22" s="35"/>
      <c r="G22" s="62"/>
      <c r="H22" s="61"/>
      <c r="L22" s="61"/>
      <c r="N22" s="67"/>
      <c r="P22" s="66"/>
      <c r="Q22" s="68"/>
    </row>
    <row r="23" spans="2:17" ht="17" x14ac:dyDescent="0.2">
      <c r="B23" s="129" t="s">
        <v>36</v>
      </c>
      <c r="C23" s="19"/>
      <c r="G23" s="62"/>
      <c r="H23" s="61"/>
      <c r="L23" s="62"/>
      <c r="N23" s="67"/>
      <c r="P23" s="66"/>
      <c r="Q23" s="68"/>
    </row>
    <row r="24" spans="2:17" ht="17" x14ac:dyDescent="0.2">
      <c r="B24" s="129" t="s">
        <v>37</v>
      </c>
      <c r="C24" s="19"/>
      <c r="G24" s="62"/>
      <c r="H24" s="61"/>
      <c r="L24" s="61"/>
      <c r="N24" s="67"/>
      <c r="P24" s="66"/>
      <c r="Q24" s="68"/>
    </row>
    <row r="25" spans="2:17" ht="17" x14ac:dyDescent="0.2">
      <c r="B25" s="128" t="s">
        <v>38</v>
      </c>
      <c r="C25" s="19"/>
      <c r="G25" s="62"/>
      <c r="H25" s="61"/>
      <c r="L25" s="62"/>
      <c r="N25" s="67"/>
      <c r="P25" s="66"/>
      <c r="Q25" s="68"/>
    </row>
    <row r="26" spans="2:17" ht="32" x14ac:dyDescent="0.2">
      <c r="B26" s="164" t="s">
        <v>39</v>
      </c>
      <c r="C26" s="19" t="s">
        <v>40</v>
      </c>
      <c r="F26" s="34" t="s">
        <v>0</v>
      </c>
      <c r="G26" s="62" t="s">
        <v>41</v>
      </c>
      <c r="H26" s="61">
        <v>18023</v>
      </c>
      <c r="L26" s="61"/>
      <c r="M26" s="69"/>
      <c r="N26" s="67" t="s">
        <v>42</v>
      </c>
      <c r="P26" s="66"/>
      <c r="Q26" s="68"/>
    </row>
    <row r="27" spans="2:17" ht="32" x14ac:dyDescent="0.2">
      <c r="B27" s="130" t="s">
        <v>43</v>
      </c>
      <c r="C27" s="19" t="s">
        <v>40</v>
      </c>
      <c r="F27" s="34" t="s">
        <v>0</v>
      </c>
      <c r="G27" s="62" t="s">
        <v>41</v>
      </c>
      <c r="H27" s="61">
        <v>18023</v>
      </c>
      <c r="L27" s="62"/>
      <c r="N27" s="67" t="s">
        <v>42</v>
      </c>
      <c r="P27" s="66"/>
      <c r="Q27" s="68"/>
    </row>
    <row r="28" spans="2:17" ht="17" x14ac:dyDescent="0.2">
      <c r="B28" s="128" t="s">
        <v>44</v>
      </c>
      <c r="C28" s="19"/>
      <c r="G28" s="62"/>
      <c r="H28" s="61"/>
      <c r="L28" s="61"/>
      <c r="M28" s="69"/>
      <c r="N28" s="67" t="s">
        <v>45</v>
      </c>
      <c r="P28" s="66"/>
      <c r="Q28" s="68"/>
    </row>
    <row r="29" spans="2:17" ht="17" x14ac:dyDescent="0.2">
      <c r="B29" s="130" t="s">
        <v>46</v>
      </c>
      <c r="C29" s="19" t="s">
        <v>40</v>
      </c>
      <c r="F29" s="34" t="s">
        <v>0</v>
      </c>
      <c r="G29" s="62" t="s">
        <v>41</v>
      </c>
      <c r="H29" s="61">
        <v>18023</v>
      </c>
      <c r="L29" s="62"/>
      <c r="N29" s="67" t="s">
        <v>42</v>
      </c>
      <c r="P29" s="23"/>
    </row>
    <row r="30" spans="2:17" ht="17" x14ac:dyDescent="0.2">
      <c r="B30" s="128" t="s">
        <v>47</v>
      </c>
      <c r="G30" s="62"/>
      <c r="H30" s="61"/>
      <c r="L30" s="62"/>
      <c r="N30" s="67" t="s">
        <v>45</v>
      </c>
      <c r="P30" s="23"/>
    </row>
    <row r="31" spans="2:17" ht="17" x14ac:dyDescent="0.2">
      <c r="B31" s="131" t="s">
        <v>48</v>
      </c>
      <c r="C31" s="19" t="s">
        <v>40</v>
      </c>
      <c r="F31" s="34" t="s">
        <v>0</v>
      </c>
      <c r="G31" s="62" t="s">
        <v>41</v>
      </c>
      <c r="H31" s="61">
        <v>18023</v>
      </c>
      <c r="L31" s="62"/>
      <c r="N31" s="67" t="s">
        <v>42</v>
      </c>
      <c r="P31" s="23"/>
    </row>
    <row r="32" spans="2:17" ht="17" x14ac:dyDescent="0.2">
      <c r="B32" s="131" t="s">
        <v>49</v>
      </c>
      <c r="C32" s="19" t="s">
        <v>40</v>
      </c>
      <c r="F32" s="34" t="s">
        <v>0</v>
      </c>
      <c r="G32" s="62" t="s">
        <v>41</v>
      </c>
      <c r="H32" s="61">
        <v>18023</v>
      </c>
      <c r="L32" s="61"/>
      <c r="M32" s="69"/>
      <c r="N32" s="67" t="s">
        <v>42</v>
      </c>
      <c r="P32" s="66"/>
      <c r="Q32" s="68"/>
    </row>
    <row r="33" spans="2:17" ht="34" x14ac:dyDescent="0.2">
      <c r="B33" s="131" t="s">
        <v>50</v>
      </c>
      <c r="C33" s="19" t="s">
        <v>40</v>
      </c>
      <c r="F33" s="34" t="s">
        <v>0</v>
      </c>
      <c r="G33" s="62" t="s">
        <v>41</v>
      </c>
      <c r="H33" s="61">
        <v>18023</v>
      </c>
      <c r="L33" s="61"/>
      <c r="M33" s="69"/>
      <c r="N33" s="67" t="s">
        <v>42</v>
      </c>
      <c r="P33" s="66"/>
      <c r="Q33" s="68"/>
    </row>
    <row r="34" spans="2:17" ht="17" x14ac:dyDescent="0.2">
      <c r="B34" s="128" t="s">
        <v>51</v>
      </c>
      <c r="C34" s="19"/>
      <c r="G34" s="62"/>
      <c r="H34" s="61"/>
      <c r="L34" s="62"/>
      <c r="N34" s="67" t="s">
        <v>45</v>
      </c>
      <c r="P34" s="66"/>
      <c r="Q34" s="68"/>
    </row>
    <row r="35" spans="2:17" ht="33" customHeight="1" x14ac:dyDescent="0.2">
      <c r="B35" s="131" t="s">
        <v>52</v>
      </c>
      <c r="C35" s="19" t="s">
        <v>40</v>
      </c>
      <c r="F35" s="34" t="s">
        <v>0</v>
      </c>
      <c r="G35" s="62" t="s">
        <v>41</v>
      </c>
      <c r="H35" s="61">
        <v>18023</v>
      </c>
      <c r="L35" s="62"/>
      <c r="N35" s="67" t="s">
        <v>42</v>
      </c>
      <c r="P35" s="23"/>
    </row>
    <row r="36" spans="2:17" ht="17" x14ac:dyDescent="0.2">
      <c r="B36" s="132" t="s">
        <v>53</v>
      </c>
      <c r="C36" s="19"/>
      <c r="G36" s="62"/>
      <c r="H36" s="61"/>
      <c r="L36" s="62"/>
      <c r="N36" s="67" t="s">
        <v>45</v>
      </c>
      <c r="P36" s="66"/>
      <c r="Q36" s="68"/>
    </row>
    <row r="37" spans="2:17" ht="51" x14ac:dyDescent="0.2">
      <c r="B37" s="133" t="s">
        <v>54</v>
      </c>
      <c r="C37" s="19" t="s">
        <v>40</v>
      </c>
      <c r="F37" s="34" t="s">
        <v>0</v>
      </c>
      <c r="G37" s="62" t="s">
        <v>41</v>
      </c>
      <c r="H37" s="61">
        <v>18023</v>
      </c>
      <c r="L37" s="62"/>
      <c r="N37" s="67" t="s">
        <v>42</v>
      </c>
      <c r="P37" s="66"/>
      <c r="Q37" s="68"/>
    </row>
    <row r="38" spans="2:17" ht="17" x14ac:dyDescent="0.2">
      <c r="B38" s="128" t="s">
        <v>55</v>
      </c>
      <c r="C38" s="19"/>
      <c r="G38" s="62"/>
      <c r="H38" s="61"/>
      <c r="L38" s="61"/>
      <c r="N38" s="67" t="s">
        <v>45</v>
      </c>
      <c r="P38" s="66"/>
      <c r="Q38" s="68"/>
    </row>
    <row r="39" spans="2:17" ht="51" x14ac:dyDescent="0.2">
      <c r="B39" s="134" t="s">
        <v>56</v>
      </c>
      <c r="C39" s="19" t="s">
        <v>57</v>
      </c>
      <c r="F39" s="34" t="s">
        <v>0</v>
      </c>
      <c r="G39" s="62" t="s">
        <v>41</v>
      </c>
      <c r="H39" s="61">
        <v>18023</v>
      </c>
      <c r="L39" s="62"/>
      <c r="N39" s="67" t="s">
        <v>42</v>
      </c>
      <c r="P39" s="66"/>
      <c r="Q39" s="68"/>
    </row>
    <row r="40" spans="2:17" ht="17" x14ac:dyDescent="0.2">
      <c r="B40" s="128" t="s">
        <v>58</v>
      </c>
      <c r="G40" s="62"/>
      <c r="H40" s="61"/>
      <c r="L40" s="62"/>
      <c r="N40" s="67" t="s">
        <v>45</v>
      </c>
      <c r="P40" s="23"/>
    </row>
    <row r="41" spans="2:17" ht="51" customHeight="1" x14ac:dyDescent="0.2">
      <c r="B41" s="131" t="s">
        <v>59</v>
      </c>
      <c r="C41" s="19" t="s">
        <v>40</v>
      </c>
      <c r="F41" s="34" t="s">
        <v>0</v>
      </c>
      <c r="G41" s="62" t="s">
        <v>41</v>
      </c>
      <c r="H41" s="61">
        <v>18023</v>
      </c>
      <c r="L41" s="62"/>
      <c r="N41" s="67" t="s">
        <v>42</v>
      </c>
      <c r="P41" s="23"/>
    </row>
    <row r="42" spans="2:17" ht="17" x14ac:dyDescent="0.2">
      <c r="B42" s="132" t="s">
        <v>60</v>
      </c>
      <c r="C42" s="19"/>
      <c r="G42" s="62"/>
      <c r="H42" s="61"/>
      <c r="L42" s="62"/>
      <c r="N42" s="67" t="s">
        <v>45</v>
      </c>
      <c r="P42" s="66"/>
      <c r="Q42" s="68"/>
    </row>
    <row r="43" spans="2:17" ht="17" x14ac:dyDescent="0.2">
      <c r="B43" s="135" t="s">
        <v>61</v>
      </c>
      <c r="C43" s="19" t="s">
        <v>40</v>
      </c>
      <c r="G43" s="62" t="s">
        <v>41</v>
      </c>
      <c r="H43" s="61">
        <v>18023</v>
      </c>
      <c r="L43" s="62"/>
      <c r="N43" s="67" t="s">
        <v>42</v>
      </c>
      <c r="P43" s="66"/>
      <c r="Q43" s="68"/>
    </row>
    <row r="44" spans="2:17" ht="17" x14ac:dyDescent="0.2">
      <c r="B44" s="136" t="s">
        <v>62</v>
      </c>
      <c r="C44" s="19" t="s">
        <v>40</v>
      </c>
      <c r="G44" s="62" t="s">
        <v>41</v>
      </c>
      <c r="H44" s="61">
        <v>18023</v>
      </c>
      <c r="L44" s="62"/>
      <c r="N44" s="67" t="s">
        <v>42</v>
      </c>
      <c r="P44" s="23"/>
    </row>
    <row r="45" spans="2:17" ht="96" x14ac:dyDescent="0.2">
      <c r="B45" s="211" t="s">
        <v>63</v>
      </c>
      <c r="C45" s="19" t="s">
        <v>40</v>
      </c>
      <c r="F45" s="34" t="s">
        <v>0</v>
      </c>
      <c r="G45" s="62" t="s">
        <v>41</v>
      </c>
      <c r="H45" s="61">
        <v>18023</v>
      </c>
      <c r="L45" s="62"/>
      <c r="N45" s="67" t="s">
        <v>42</v>
      </c>
      <c r="P45" s="23"/>
    </row>
    <row r="46" spans="2:17" ht="17" x14ac:dyDescent="0.2">
      <c r="B46" s="136" t="s">
        <v>64</v>
      </c>
      <c r="C46" s="19" t="s">
        <v>40</v>
      </c>
      <c r="F46" s="34" t="s">
        <v>0</v>
      </c>
      <c r="G46" s="62" t="s">
        <v>41</v>
      </c>
      <c r="H46" s="61">
        <v>18023</v>
      </c>
      <c r="L46" s="62"/>
      <c r="N46" s="67" t="s">
        <v>42</v>
      </c>
      <c r="P46" s="66"/>
      <c r="Q46" s="68"/>
    </row>
    <row r="47" spans="2:17" ht="17" x14ac:dyDescent="0.2">
      <c r="B47" s="128" t="s">
        <v>65</v>
      </c>
      <c r="G47" s="62"/>
      <c r="H47" s="61"/>
      <c r="L47" s="69"/>
      <c r="M47" s="69"/>
      <c r="N47" s="67" t="s">
        <v>45</v>
      </c>
      <c r="P47" s="23"/>
    </row>
    <row r="48" spans="2:17" ht="17" x14ac:dyDescent="0.2">
      <c r="B48" s="174" t="s">
        <v>66</v>
      </c>
      <c r="C48" s="19" t="s">
        <v>40</v>
      </c>
      <c r="F48" s="34" t="s">
        <v>0</v>
      </c>
      <c r="G48" s="62" t="s">
        <v>41</v>
      </c>
      <c r="H48" s="61">
        <v>18023</v>
      </c>
      <c r="L48" s="69"/>
      <c r="N48" s="67" t="s">
        <v>42</v>
      </c>
      <c r="P48" s="23"/>
    </row>
    <row r="49" spans="2:17" ht="17" x14ac:dyDescent="0.2">
      <c r="B49" s="166" t="s">
        <v>67</v>
      </c>
      <c r="C49" s="19" t="s">
        <v>40</v>
      </c>
      <c r="F49" s="34" t="s">
        <v>0</v>
      </c>
      <c r="G49" s="62" t="s">
        <v>41</v>
      </c>
      <c r="H49" s="61">
        <v>18023</v>
      </c>
      <c r="L49" s="69"/>
      <c r="N49" s="67" t="s">
        <v>42</v>
      </c>
      <c r="P49" s="23"/>
    </row>
    <row r="50" spans="2:17" ht="17" x14ac:dyDescent="0.2">
      <c r="B50" s="166" t="s">
        <v>68</v>
      </c>
      <c r="C50" s="19" t="s">
        <v>40</v>
      </c>
      <c r="F50" s="34" t="s">
        <v>0</v>
      </c>
      <c r="G50" s="62" t="s">
        <v>41</v>
      </c>
      <c r="H50" s="61">
        <v>18023</v>
      </c>
      <c r="L50" s="69"/>
      <c r="N50" s="67" t="s">
        <v>42</v>
      </c>
      <c r="P50" s="23"/>
    </row>
    <row r="51" spans="2:17" ht="17" x14ac:dyDescent="0.2">
      <c r="B51" s="166" t="s">
        <v>69</v>
      </c>
      <c r="C51" s="19" t="s">
        <v>40</v>
      </c>
      <c r="F51" s="34" t="s">
        <v>0</v>
      </c>
      <c r="G51" s="62" t="s">
        <v>41</v>
      </c>
      <c r="H51" s="61">
        <v>18023</v>
      </c>
      <c r="L51" s="69"/>
      <c r="N51" s="67" t="s">
        <v>42</v>
      </c>
      <c r="P51" s="66"/>
      <c r="Q51" s="68"/>
    </row>
    <row r="52" spans="2:17" ht="17" x14ac:dyDescent="0.2">
      <c r="B52" s="166" t="s">
        <v>70</v>
      </c>
      <c r="C52" s="19" t="s">
        <v>40</v>
      </c>
      <c r="F52" s="34" t="s">
        <v>0</v>
      </c>
      <c r="G52" s="62" t="s">
        <v>41</v>
      </c>
      <c r="H52" s="61">
        <v>18023</v>
      </c>
      <c r="L52" s="69"/>
      <c r="N52" s="67" t="s">
        <v>42</v>
      </c>
      <c r="P52" s="66"/>
      <c r="Q52" s="68"/>
    </row>
    <row r="53" spans="2:17" ht="17" x14ac:dyDescent="0.2">
      <c r="B53" s="138" t="s">
        <v>71</v>
      </c>
      <c r="C53" s="19" t="s">
        <v>40</v>
      </c>
      <c r="F53" s="34" t="s">
        <v>0</v>
      </c>
      <c r="G53" s="62" t="s">
        <v>41</v>
      </c>
      <c r="H53" s="61">
        <v>18023</v>
      </c>
      <c r="L53" s="62"/>
      <c r="N53" s="67" t="s">
        <v>42</v>
      </c>
      <c r="P53" s="66"/>
      <c r="Q53" s="68"/>
    </row>
    <row r="54" spans="2:17" ht="17" x14ac:dyDescent="0.2">
      <c r="B54" s="139" t="s">
        <v>72</v>
      </c>
      <c r="C54" s="19" t="s">
        <v>40</v>
      </c>
      <c r="F54" s="34" t="s">
        <v>0</v>
      </c>
      <c r="G54" s="62" t="s">
        <v>41</v>
      </c>
      <c r="H54" s="61">
        <v>18023</v>
      </c>
      <c r="L54" s="69"/>
      <c r="N54" s="67" t="s">
        <v>42</v>
      </c>
      <c r="P54" s="66"/>
      <c r="Q54" s="68"/>
    </row>
    <row r="55" spans="2:17" ht="17" x14ac:dyDescent="0.2">
      <c r="B55" s="174" t="s">
        <v>73</v>
      </c>
      <c r="C55" s="19" t="s">
        <v>40</v>
      </c>
      <c r="F55" s="34" t="s">
        <v>0</v>
      </c>
      <c r="G55" s="62" t="s">
        <v>41</v>
      </c>
      <c r="H55" s="61">
        <v>18023</v>
      </c>
      <c r="L55" s="69"/>
      <c r="N55" s="67" t="s">
        <v>42</v>
      </c>
      <c r="P55" s="66"/>
      <c r="Q55" s="68"/>
    </row>
    <row r="56" spans="2:17" ht="17" x14ac:dyDescent="0.2">
      <c r="B56" s="139" t="s">
        <v>74</v>
      </c>
      <c r="C56" s="19" t="s">
        <v>40</v>
      </c>
      <c r="F56" s="34" t="s">
        <v>0</v>
      </c>
      <c r="G56" s="62" t="s">
        <v>41</v>
      </c>
      <c r="H56" s="61">
        <v>18023</v>
      </c>
      <c r="L56" s="62"/>
      <c r="N56" s="67" t="s">
        <v>42</v>
      </c>
      <c r="P56" s="66"/>
      <c r="Q56" s="68"/>
    </row>
    <row r="57" spans="2:17" ht="17" x14ac:dyDescent="0.2">
      <c r="B57" s="139" t="s">
        <v>75</v>
      </c>
      <c r="C57" s="19" t="s">
        <v>40</v>
      </c>
      <c r="F57" s="34" t="s">
        <v>0</v>
      </c>
      <c r="G57" s="62" t="s">
        <v>41</v>
      </c>
      <c r="H57" s="61">
        <v>18023</v>
      </c>
      <c r="L57" s="62"/>
      <c r="N57" s="67" t="s">
        <v>42</v>
      </c>
      <c r="P57" s="66"/>
      <c r="Q57" s="68"/>
    </row>
    <row r="58" spans="2:17" ht="17" x14ac:dyDescent="0.2">
      <c r="B58" s="138" t="s">
        <v>76</v>
      </c>
      <c r="C58" s="19" t="s">
        <v>40</v>
      </c>
      <c r="F58" s="34" t="s">
        <v>0</v>
      </c>
      <c r="G58" s="62" t="s">
        <v>41</v>
      </c>
      <c r="H58" s="61">
        <v>18023</v>
      </c>
      <c r="L58" s="69"/>
      <c r="N58" s="67" t="s">
        <v>42</v>
      </c>
      <c r="P58" s="23"/>
    </row>
    <row r="59" spans="2:17" ht="85" x14ac:dyDescent="0.2">
      <c r="B59" s="138" t="s">
        <v>77</v>
      </c>
      <c r="C59" s="19" t="s">
        <v>40</v>
      </c>
      <c r="F59" s="34" t="s">
        <v>0</v>
      </c>
      <c r="G59" s="62" t="s">
        <v>41</v>
      </c>
      <c r="H59" s="61">
        <v>18023</v>
      </c>
      <c r="L59" s="62"/>
      <c r="N59" s="67" t="s">
        <v>42</v>
      </c>
      <c r="P59" s="66"/>
      <c r="Q59" s="68"/>
    </row>
    <row r="60" spans="2:17" ht="17" x14ac:dyDescent="0.2">
      <c r="B60" s="166" t="s">
        <v>78</v>
      </c>
      <c r="C60" s="19" t="s">
        <v>40</v>
      </c>
      <c r="F60" s="34" t="s">
        <v>0</v>
      </c>
      <c r="G60" s="62" t="s">
        <v>41</v>
      </c>
      <c r="H60" s="61">
        <v>18023</v>
      </c>
      <c r="L60" s="62"/>
      <c r="N60" s="67" t="s">
        <v>42</v>
      </c>
      <c r="P60" s="66"/>
      <c r="Q60" s="68"/>
    </row>
    <row r="61" spans="2:17" ht="17" x14ac:dyDescent="0.2">
      <c r="B61" s="138" t="s">
        <v>79</v>
      </c>
      <c r="C61" s="19" t="s">
        <v>40</v>
      </c>
      <c r="F61" s="34" t="s">
        <v>0</v>
      </c>
      <c r="G61" s="62" t="s">
        <v>41</v>
      </c>
      <c r="H61" s="61">
        <v>18023</v>
      </c>
      <c r="L61" s="62"/>
      <c r="N61" s="67" t="s">
        <v>42</v>
      </c>
      <c r="P61" s="66"/>
      <c r="Q61" s="68"/>
    </row>
    <row r="62" spans="2:17" ht="17" x14ac:dyDescent="0.2">
      <c r="B62" s="138" t="s">
        <v>80</v>
      </c>
      <c r="C62" s="19" t="s">
        <v>40</v>
      </c>
      <c r="F62" s="34" t="s">
        <v>0</v>
      </c>
      <c r="G62" s="62" t="s">
        <v>41</v>
      </c>
      <c r="H62" s="61">
        <v>18023</v>
      </c>
      <c r="L62" s="62"/>
      <c r="N62" s="67" t="s">
        <v>42</v>
      </c>
      <c r="P62" s="66"/>
      <c r="Q62" s="68"/>
    </row>
    <row r="63" spans="2:17" ht="17" x14ac:dyDescent="0.2">
      <c r="B63" s="138" t="s">
        <v>81</v>
      </c>
      <c r="C63" s="19" t="s">
        <v>40</v>
      </c>
      <c r="F63" s="34" t="s">
        <v>0</v>
      </c>
      <c r="G63" s="62" t="s">
        <v>41</v>
      </c>
      <c r="H63" s="61">
        <v>18023</v>
      </c>
      <c r="L63" s="62"/>
      <c r="N63" s="67" t="s">
        <v>42</v>
      </c>
      <c r="P63" s="66"/>
      <c r="Q63" s="68"/>
    </row>
    <row r="64" spans="2:17" ht="17" x14ac:dyDescent="0.2">
      <c r="B64" s="138" t="s">
        <v>82</v>
      </c>
      <c r="C64" s="19" t="s">
        <v>40</v>
      </c>
      <c r="F64" s="34" t="s">
        <v>0</v>
      </c>
      <c r="G64" s="62" t="s">
        <v>41</v>
      </c>
      <c r="H64" s="61">
        <v>18023</v>
      </c>
      <c r="L64" s="62"/>
      <c r="N64" s="67" t="s">
        <v>42</v>
      </c>
      <c r="P64" s="66"/>
      <c r="Q64" s="68"/>
    </row>
    <row r="65" spans="2:17" ht="17" x14ac:dyDescent="0.2">
      <c r="B65" s="138" t="s">
        <v>83</v>
      </c>
      <c r="C65" s="19" t="s">
        <v>40</v>
      </c>
      <c r="F65" s="34" t="s">
        <v>0</v>
      </c>
      <c r="G65" s="62" t="s">
        <v>41</v>
      </c>
      <c r="H65" s="61">
        <v>18023</v>
      </c>
      <c r="L65" s="62"/>
      <c r="N65" s="67" t="s">
        <v>42</v>
      </c>
      <c r="P65" s="66"/>
      <c r="Q65" s="68"/>
    </row>
    <row r="66" spans="2:17" ht="17" x14ac:dyDescent="0.2">
      <c r="B66" s="138" t="s">
        <v>84</v>
      </c>
      <c r="C66" s="19" t="s">
        <v>40</v>
      </c>
      <c r="F66" s="34" t="s">
        <v>0</v>
      </c>
      <c r="G66" s="62" t="s">
        <v>41</v>
      </c>
      <c r="H66" s="61">
        <v>18023</v>
      </c>
      <c r="L66" s="62"/>
      <c r="N66" s="67" t="s">
        <v>42</v>
      </c>
      <c r="P66" s="23"/>
    </row>
    <row r="67" spans="2:17" ht="17" x14ac:dyDescent="0.2">
      <c r="B67" s="139" t="s">
        <v>85</v>
      </c>
      <c r="C67" s="19" t="s">
        <v>40</v>
      </c>
      <c r="F67" s="34" t="s">
        <v>0</v>
      </c>
      <c r="G67" s="62" t="s">
        <v>41</v>
      </c>
      <c r="H67" s="61">
        <v>18023</v>
      </c>
      <c r="L67" s="62"/>
      <c r="N67" s="67" t="s">
        <v>42</v>
      </c>
      <c r="P67" s="23"/>
    </row>
    <row r="68" spans="2:17" ht="17" x14ac:dyDescent="0.2">
      <c r="B68" s="140" t="s">
        <v>86</v>
      </c>
      <c r="G68" s="62"/>
      <c r="H68" s="61"/>
      <c r="L68" s="69"/>
      <c r="N68" s="67" t="s">
        <v>45</v>
      </c>
      <c r="P68" s="23"/>
    </row>
    <row r="69" spans="2:17" ht="17" x14ac:dyDescent="0.2">
      <c r="B69" s="141" t="s">
        <v>87</v>
      </c>
      <c r="C69" s="19" t="s">
        <v>40</v>
      </c>
      <c r="F69" s="34" t="s">
        <v>0</v>
      </c>
      <c r="G69" s="62" t="s">
        <v>41</v>
      </c>
      <c r="H69" s="61">
        <v>18023</v>
      </c>
      <c r="L69" s="62"/>
      <c r="N69" s="67" t="s">
        <v>42</v>
      </c>
      <c r="P69" s="23"/>
    </row>
    <row r="70" spans="2:17" ht="32" x14ac:dyDescent="0.2">
      <c r="B70" s="140" t="s">
        <v>88</v>
      </c>
      <c r="C70" s="19"/>
      <c r="G70" s="62"/>
      <c r="H70" s="61"/>
      <c r="L70" s="62"/>
      <c r="N70" s="67" t="s">
        <v>45</v>
      </c>
      <c r="P70" s="66"/>
      <c r="Q70" s="68"/>
    </row>
    <row r="71" spans="2:17" ht="32" x14ac:dyDescent="0.2">
      <c r="B71" s="142" t="s">
        <v>89</v>
      </c>
      <c r="C71" s="19" t="s">
        <v>40</v>
      </c>
      <c r="F71" s="34" t="s">
        <v>0</v>
      </c>
      <c r="G71" s="62" t="s">
        <v>41</v>
      </c>
      <c r="H71" s="61">
        <v>18023</v>
      </c>
      <c r="L71" s="62"/>
      <c r="N71" s="67" t="s">
        <v>42</v>
      </c>
      <c r="P71" s="66"/>
      <c r="Q71" s="68"/>
    </row>
    <row r="72" spans="2:17" ht="17" x14ac:dyDescent="0.2">
      <c r="B72" s="140" t="s">
        <v>90</v>
      </c>
      <c r="C72" s="19"/>
      <c r="G72" s="62"/>
      <c r="H72" s="61"/>
      <c r="L72" s="62"/>
      <c r="N72" s="67" t="s">
        <v>45</v>
      </c>
      <c r="P72" s="66"/>
      <c r="Q72" s="68"/>
    </row>
    <row r="73" spans="2:17" ht="32" x14ac:dyDescent="0.2">
      <c r="B73" s="142" t="s">
        <v>91</v>
      </c>
      <c r="C73" s="19" t="s">
        <v>40</v>
      </c>
      <c r="F73" s="34" t="s">
        <v>92</v>
      </c>
      <c r="G73" s="62" t="s">
        <v>41</v>
      </c>
      <c r="H73" s="61">
        <v>18023</v>
      </c>
      <c r="L73" s="62"/>
      <c r="N73" s="67" t="s">
        <v>42</v>
      </c>
      <c r="P73" s="66"/>
      <c r="Q73" s="68"/>
    </row>
    <row r="74" spans="2:17" ht="17" x14ac:dyDescent="0.2">
      <c r="B74" s="140" t="s">
        <v>93</v>
      </c>
      <c r="C74" s="19"/>
      <c r="G74" s="62"/>
      <c r="H74" s="61"/>
      <c r="L74" s="69"/>
      <c r="N74" s="67" t="s">
        <v>45</v>
      </c>
      <c r="P74" s="66"/>
      <c r="Q74" s="68"/>
    </row>
    <row r="75" spans="2:17" ht="32" x14ac:dyDescent="0.2">
      <c r="B75" s="142" t="s">
        <v>94</v>
      </c>
      <c r="C75" s="19" t="s">
        <v>40</v>
      </c>
      <c r="F75" s="34" t="s">
        <v>92</v>
      </c>
      <c r="G75" s="62" t="s">
        <v>41</v>
      </c>
      <c r="H75" s="61">
        <v>18023</v>
      </c>
      <c r="L75" s="62"/>
      <c r="N75" s="67" t="s">
        <v>42</v>
      </c>
      <c r="P75" s="66"/>
      <c r="Q75" s="68"/>
    </row>
    <row r="76" spans="2:17" ht="48" x14ac:dyDescent="0.2">
      <c r="B76" s="143" t="s">
        <v>95</v>
      </c>
      <c r="C76" s="19" t="s">
        <v>40</v>
      </c>
      <c r="F76" s="34" t="s">
        <v>92</v>
      </c>
      <c r="G76" s="62" t="s">
        <v>41</v>
      </c>
      <c r="H76" s="61">
        <v>18023</v>
      </c>
      <c r="L76" s="62"/>
      <c r="N76" s="67" t="s">
        <v>42</v>
      </c>
      <c r="P76" s="66"/>
      <c r="Q76" s="68"/>
    </row>
    <row r="77" spans="2:17" ht="17" x14ac:dyDescent="0.2">
      <c r="B77" s="144" t="s">
        <v>96</v>
      </c>
      <c r="C77" s="19" t="s">
        <v>40</v>
      </c>
      <c r="F77" s="34" t="s">
        <v>92</v>
      </c>
      <c r="G77" s="62" t="s">
        <v>41</v>
      </c>
      <c r="H77" s="61">
        <v>18023</v>
      </c>
      <c r="L77" s="62"/>
      <c r="N77" s="67" t="s">
        <v>42</v>
      </c>
      <c r="P77" s="66"/>
      <c r="Q77" s="68"/>
    </row>
    <row r="78" spans="2:17" ht="32" x14ac:dyDescent="0.2">
      <c r="B78" s="143" t="s">
        <v>97</v>
      </c>
      <c r="C78" s="19" t="s">
        <v>40</v>
      </c>
      <c r="F78" s="34" t="s">
        <v>92</v>
      </c>
      <c r="G78" s="62" t="s">
        <v>41</v>
      </c>
      <c r="H78" s="61">
        <v>18023</v>
      </c>
      <c r="L78" s="62"/>
      <c r="N78" s="67" t="s">
        <v>42</v>
      </c>
      <c r="P78" s="23"/>
    </row>
    <row r="79" spans="2:17" ht="17" x14ac:dyDescent="0.2">
      <c r="B79" s="142" t="s">
        <v>98</v>
      </c>
      <c r="C79" s="19" t="s">
        <v>40</v>
      </c>
      <c r="F79" s="34" t="s">
        <v>92</v>
      </c>
      <c r="G79" s="62" t="s">
        <v>41</v>
      </c>
      <c r="H79" s="61">
        <v>18023</v>
      </c>
      <c r="L79" s="69"/>
      <c r="N79" s="67" t="s">
        <v>42</v>
      </c>
      <c r="P79" s="23"/>
    </row>
    <row r="80" spans="2:17" ht="17" x14ac:dyDescent="0.2">
      <c r="B80" s="144" t="s">
        <v>99</v>
      </c>
      <c r="C80" s="19" t="s">
        <v>40</v>
      </c>
      <c r="F80" s="34" t="s">
        <v>92</v>
      </c>
      <c r="G80" s="62" t="s">
        <v>41</v>
      </c>
      <c r="H80" s="61">
        <v>18023</v>
      </c>
      <c r="L80" s="62"/>
      <c r="N80" s="67" t="s">
        <v>42</v>
      </c>
      <c r="P80" s="23"/>
    </row>
    <row r="81" spans="2:17" ht="17" x14ac:dyDescent="0.2">
      <c r="B81" s="143" t="s">
        <v>100</v>
      </c>
      <c r="C81" s="19" t="s">
        <v>40</v>
      </c>
      <c r="F81" s="34" t="s">
        <v>92</v>
      </c>
      <c r="G81" s="62" t="s">
        <v>41</v>
      </c>
      <c r="H81" s="61">
        <v>18023</v>
      </c>
      <c r="L81" s="62"/>
      <c r="N81" s="67" t="s">
        <v>42</v>
      </c>
      <c r="P81" s="23"/>
    </row>
    <row r="82" spans="2:17" ht="17" x14ac:dyDescent="0.2">
      <c r="B82" s="140" t="s">
        <v>101</v>
      </c>
      <c r="G82" s="62"/>
      <c r="H82" s="61"/>
      <c r="L82" s="62"/>
      <c r="N82" s="67" t="s">
        <v>45</v>
      </c>
      <c r="P82" s="23"/>
    </row>
    <row r="83" spans="2:17" ht="17" x14ac:dyDescent="0.2">
      <c r="B83" s="141" t="s">
        <v>87</v>
      </c>
      <c r="C83" s="19" t="s">
        <v>40</v>
      </c>
      <c r="F83" s="34" t="s">
        <v>0</v>
      </c>
      <c r="G83" s="62" t="s">
        <v>41</v>
      </c>
      <c r="H83" s="61">
        <v>18023</v>
      </c>
      <c r="L83" s="62"/>
      <c r="N83" s="67" t="s">
        <v>42</v>
      </c>
      <c r="P83" s="66"/>
      <c r="Q83" s="68"/>
    </row>
    <row r="84" spans="2:17" ht="32" x14ac:dyDescent="0.2">
      <c r="B84" s="142" t="s">
        <v>102</v>
      </c>
      <c r="C84" s="19" t="s">
        <v>40</v>
      </c>
      <c r="F84" s="34" t="s">
        <v>0</v>
      </c>
      <c r="G84" s="62" t="s">
        <v>41</v>
      </c>
      <c r="H84" s="61">
        <v>18023</v>
      </c>
      <c r="L84" s="62"/>
      <c r="N84" s="67" t="s">
        <v>42</v>
      </c>
      <c r="P84" s="66"/>
      <c r="Q84" s="68"/>
    </row>
    <row r="85" spans="2:17" ht="48" x14ac:dyDescent="0.2">
      <c r="B85" s="143" t="s">
        <v>103</v>
      </c>
      <c r="C85" s="19" t="s">
        <v>40</v>
      </c>
      <c r="F85" s="34" t="s">
        <v>0</v>
      </c>
      <c r="G85" s="62" t="s">
        <v>41</v>
      </c>
      <c r="H85" s="61">
        <v>18023</v>
      </c>
      <c r="L85" s="62"/>
      <c r="N85" s="67" t="s">
        <v>42</v>
      </c>
      <c r="P85" s="23"/>
    </row>
    <row r="86" spans="2:17" ht="17" x14ac:dyDescent="0.2">
      <c r="B86" s="144" t="s">
        <v>96</v>
      </c>
      <c r="C86" s="19" t="s">
        <v>40</v>
      </c>
      <c r="F86" s="34" t="s">
        <v>0</v>
      </c>
      <c r="G86" s="62" t="s">
        <v>41</v>
      </c>
      <c r="H86" s="61">
        <v>18023</v>
      </c>
      <c r="L86" s="69"/>
      <c r="N86" s="67" t="s">
        <v>42</v>
      </c>
      <c r="P86" s="23"/>
    </row>
    <row r="87" spans="2:17" ht="32" x14ac:dyDescent="0.2">
      <c r="B87" s="143" t="s">
        <v>104</v>
      </c>
      <c r="C87" s="19" t="s">
        <v>40</v>
      </c>
      <c r="F87" s="34" t="s">
        <v>0</v>
      </c>
      <c r="G87" s="62" t="s">
        <v>41</v>
      </c>
      <c r="H87" s="61">
        <v>18023</v>
      </c>
      <c r="L87" s="62"/>
      <c r="N87" s="67" t="s">
        <v>42</v>
      </c>
      <c r="P87" s="64"/>
      <c r="Q87" s="68"/>
    </row>
    <row r="88" spans="2:17" ht="32" x14ac:dyDescent="0.2">
      <c r="B88" s="142" t="s">
        <v>105</v>
      </c>
      <c r="C88" s="19" t="s">
        <v>40</v>
      </c>
      <c r="F88" s="34" t="s">
        <v>0</v>
      </c>
      <c r="G88" s="62" t="s">
        <v>41</v>
      </c>
      <c r="H88" s="61">
        <v>18023</v>
      </c>
      <c r="L88" s="69"/>
      <c r="N88" s="67" t="s">
        <v>42</v>
      </c>
      <c r="P88" s="23"/>
    </row>
    <row r="89" spans="2:17" ht="17" x14ac:dyDescent="0.2">
      <c r="B89" s="144" t="s">
        <v>99</v>
      </c>
      <c r="C89" s="19" t="s">
        <v>40</v>
      </c>
      <c r="F89" s="34" t="s">
        <v>0</v>
      </c>
      <c r="G89" s="62" t="s">
        <v>41</v>
      </c>
      <c r="H89" s="61">
        <v>18023</v>
      </c>
      <c r="L89" s="62"/>
      <c r="N89" s="67" t="s">
        <v>42</v>
      </c>
      <c r="P89" s="23"/>
    </row>
    <row r="90" spans="2:17" ht="17" x14ac:dyDescent="0.2">
      <c r="B90" s="143" t="s">
        <v>106</v>
      </c>
      <c r="C90" s="19" t="s">
        <v>40</v>
      </c>
      <c r="F90" s="34" t="s">
        <v>0</v>
      </c>
      <c r="G90" s="62" t="s">
        <v>41</v>
      </c>
      <c r="H90" s="61">
        <v>18023</v>
      </c>
      <c r="L90" s="69"/>
      <c r="N90" s="67" t="s">
        <v>42</v>
      </c>
      <c r="P90" s="23"/>
    </row>
    <row r="91" spans="2:17" ht="17" x14ac:dyDescent="0.2">
      <c r="B91" s="140" t="s">
        <v>107</v>
      </c>
      <c r="G91" s="62"/>
      <c r="H91" s="61"/>
      <c r="L91" s="69"/>
      <c r="N91" s="67" t="s">
        <v>45</v>
      </c>
      <c r="P91" s="23"/>
    </row>
    <row r="92" spans="2:17" ht="17" x14ac:dyDescent="0.2">
      <c r="B92" s="141" t="s">
        <v>87</v>
      </c>
      <c r="C92" s="19" t="s">
        <v>40</v>
      </c>
      <c r="F92" s="34" t="s">
        <v>0</v>
      </c>
      <c r="G92" s="62" t="s">
        <v>41</v>
      </c>
      <c r="H92" s="61">
        <v>18023</v>
      </c>
      <c r="L92" s="62"/>
      <c r="N92" s="67" t="s">
        <v>42</v>
      </c>
      <c r="P92" s="23"/>
    </row>
    <row r="93" spans="2:17" ht="32" x14ac:dyDescent="0.2">
      <c r="B93" s="142" t="s">
        <v>102</v>
      </c>
      <c r="C93" s="19" t="s">
        <v>40</v>
      </c>
      <c r="F93" s="34" t="s">
        <v>0</v>
      </c>
      <c r="G93" s="62" t="s">
        <v>41</v>
      </c>
      <c r="H93" s="61">
        <v>18023</v>
      </c>
      <c r="L93" s="62"/>
      <c r="N93" s="67" t="s">
        <v>42</v>
      </c>
      <c r="P93" s="23"/>
    </row>
    <row r="94" spans="2:17" ht="48" x14ac:dyDescent="0.2">
      <c r="B94" s="143" t="s">
        <v>108</v>
      </c>
      <c r="C94" s="19" t="s">
        <v>40</v>
      </c>
      <c r="F94" s="34" t="s">
        <v>0</v>
      </c>
      <c r="G94" s="62" t="s">
        <v>41</v>
      </c>
      <c r="H94" s="61">
        <v>18023</v>
      </c>
      <c r="L94" s="62"/>
      <c r="N94" s="67" t="s">
        <v>42</v>
      </c>
      <c r="P94" s="23"/>
    </row>
    <row r="95" spans="2:17" ht="17" x14ac:dyDescent="0.2">
      <c r="B95" s="144" t="s">
        <v>96</v>
      </c>
      <c r="C95" s="19" t="s">
        <v>40</v>
      </c>
      <c r="F95" s="34" t="s">
        <v>0</v>
      </c>
      <c r="G95" s="62" t="s">
        <v>41</v>
      </c>
      <c r="H95" s="61">
        <v>18023</v>
      </c>
      <c r="L95" s="62"/>
      <c r="N95" s="67" t="s">
        <v>42</v>
      </c>
      <c r="P95" s="23"/>
    </row>
    <row r="96" spans="2:17" ht="32" x14ac:dyDescent="0.2">
      <c r="B96" s="143" t="s">
        <v>109</v>
      </c>
      <c r="C96" s="19" t="s">
        <v>40</v>
      </c>
      <c r="F96" s="34" t="s">
        <v>0</v>
      </c>
      <c r="G96" s="62" t="s">
        <v>41</v>
      </c>
      <c r="H96" s="61">
        <v>18023</v>
      </c>
      <c r="L96" s="62"/>
      <c r="N96" s="67" t="s">
        <v>42</v>
      </c>
      <c r="P96" s="23"/>
    </row>
    <row r="97" spans="2:16" ht="32" x14ac:dyDescent="0.2">
      <c r="B97" s="142" t="s">
        <v>110</v>
      </c>
      <c r="C97" s="19" t="s">
        <v>40</v>
      </c>
      <c r="F97" s="34" t="s">
        <v>0</v>
      </c>
      <c r="G97" s="62" t="s">
        <v>41</v>
      </c>
      <c r="H97" s="61">
        <v>18023</v>
      </c>
      <c r="L97" s="62"/>
      <c r="N97" s="67" t="s">
        <v>42</v>
      </c>
      <c r="P97" s="23"/>
    </row>
    <row r="98" spans="2:16" ht="17" x14ac:dyDescent="0.2">
      <c r="B98" s="144" t="s">
        <v>99</v>
      </c>
      <c r="C98" s="19" t="s">
        <v>40</v>
      </c>
      <c r="F98" s="34" t="s">
        <v>0</v>
      </c>
      <c r="G98" s="62" t="s">
        <v>41</v>
      </c>
      <c r="H98" s="61">
        <v>18023</v>
      </c>
      <c r="L98" s="69"/>
      <c r="N98" s="67" t="s">
        <v>42</v>
      </c>
      <c r="P98" s="23"/>
    </row>
    <row r="99" spans="2:16" ht="17" x14ac:dyDescent="0.2">
      <c r="B99" s="143" t="s">
        <v>111</v>
      </c>
      <c r="C99" s="19" t="s">
        <v>40</v>
      </c>
      <c r="F99" s="34" t="s">
        <v>0</v>
      </c>
      <c r="G99" s="62" t="s">
        <v>41</v>
      </c>
      <c r="H99" s="61">
        <v>18023</v>
      </c>
      <c r="L99" s="69"/>
      <c r="N99" s="67" t="s">
        <v>42</v>
      </c>
      <c r="P99" s="23"/>
    </row>
    <row r="100" spans="2:16" ht="17" x14ac:dyDescent="0.2">
      <c r="B100" s="140" t="s">
        <v>112</v>
      </c>
      <c r="G100" s="62"/>
      <c r="H100" s="61"/>
      <c r="L100" s="62"/>
      <c r="N100" s="67" t="s">
        <v>45</v>
      </c>
      <c r="P100" s="23"/>
    </row>
    <row r="101" spans="2:16" ht="17" x14ac:dyDescent="0.2">
      <c r="B101" s="141" t="s">
        <v>87</v>
      </c>
      <c r="C101" s="19" t="s">
        <v>40</v>
      </c>
      <c r="F101" s="34" t="s">
        <v>0</v>
      </c>
      <c r="G101" s="62" t="s">
        <v>41</v>
      </c>
      <c r="H101" s="61">
        <v>18023</v>
      </c>
      <c r="L101" s="62"/>
      <c r="N101" s="67" t="s">
        <v>42</v>
      </c>
      <c r="P101" s="23"/>
    </row>
    <row r="102" spans="2:16" ht="32" x14ac:dyDescent="0.2">
      <c r="B102" s="142" t="s">
        <v>102</v>
      </c>
      <c r="C102" s="19" t="s">
        <v>40</v>
      </c>
      <c r="F102" s="34" t="s">
        <v>0</v>
      </c>
      <c r="G102" s="62" t="s">
        <v>41</v>
      </c>
      <c r="H102" s="61">
        <v>18023</v>
      </c>
      <c r="L102" s="69"/>
      <c r="N102" s="67" t="s">
        <v>42</v>
      </c>
      <c r="P102" s="23"/>
    </row>
    <row r="103" spans="2:16" ht="48" x14ac:dyDescent="0.2">
      <c r="B103" s="143" t="s">
        <v>113</v>
      </c>
      <c r="C103" s="19" t="s">
        <v>40</v>
      </c>
      <c r="F103" s="34" t="s">
        <v>0</v>
      </c>
      <c r="G103" s="62" t="s">
        <v>41</v>
      </c>
      <c r="H103" s="61">
        <v>18023</v>
      </c>
      <c r="L103" s="62"/>
      <c r="N103" s="67" t="s">
        <v>42</v>
      </c>
      <c r="P103" s="23"/>
    </row>
    <row r="104" spans="2:16" ht="17" x14ac:dyDescent="0.2">
      <c r="B104" s="144" t="s">
        <v>96</v>
      </c>
      <c r="C104" s="19" t="s">
        <v>40</v>
      </c>
      <c r="F104" s="34" t="s">
        <v>0</v>
      </c>
      <c r="G104" s="62" t="s">
        <v>41</v>
      </c>
      <c r="H104" s="61">
        <v>18023</v>
      </c>
      <c r="L104" s="62"/>
      <c r="N104" s="67" t="s">
        <v>42</v>
      </c>
      <c r="P104" s="23"/>
    </row>
    <row r="105" spans="2:16" ht="32" x14ac:dyDescent="0.2">
      <c r="B105" s="143" t="s">
        <v>97</v>
      </c>
      <c r="C105" s="19" t="s">
        <v>40</v>
      </c>
      <c r="F105" s="34" t="s">
        <v>0</v>
      </c>
      <c r="G105" s="62" t="s">
        <v>41</v>
      </c>
      <c r="H105" s="61">
        <v>18023</v>
      </c>
      <c r="L105" s="69"/>
      <c r="N105" s="67" t="s">
        <v>42</v>
      </c>
      <c r="P105" s="23"/>
    </row>
    <row r="106" spans="2:16" ht="32" x14ac:dyDescent="0.2">
      <c r="B106" s="142" t="s">
        <v>114</v>
      </c>
      <c r="C106" s="19" t="s">
        <v>40</v>
      </c>
      <c r="F106" s="34" t="s">
        <v>0</v>
      </c>
      <c r="G106" s="62" t="s">
        <v>41</v>
      </c>
      <c r="H106" s="61">
        <v>18023</v>
      </c>
      <c r="L106" s="62"/>
      <c r="N106" s="67" t="s">
        <v>42</v>
      </c>
      <c r="P106" s="23"/>
    </row>
    <row r="107" spans="2:16" ht="17" x14ac:dyDescent="0.2">
      <c r="B107" s="144" t="s">
        <v>99</v>
      </c>
      <c r="C107" s="19" t="s">
        <v>40</v>
      </c>
      <c r="F107" s="34" t="s">
        <v>0</v>
      </c>
      <c r="G107" s="62" t="s">
        <v>41</v>
      </c>
      <c r="H107" s="61">
        <v>18023</v>
      </c>
      <c r="L107" s="62"/>
      <c r="N107" s="67" t="s">
        <v>42</v>
      </c>
      <c r="P107" s="23"/>
    </row>
    <row r="108" spans="2:16" ht="17" x14ac:dyDescent="0.2">
      <c r="B108" s="143" t="s">
        <v>115</v>
      </c>
      <c r="C108" s="19" t="s">
        <v>40</v>
      </c>
      <c r="F108" s="34" t="s">
        <v>0</v>
      </c>
      <c r="G108" s="62" t="s">
        <v>41</v>
      </c>
      <c r="H108" s="61">
        <v>18023</v>
      </c>
      <c r="L108" s="69"/>
      <c r="N108" s="67" t="s">
        <v>42</v>
      </c>
      <c r="P108" s="23"/>
    </row>
    <row r="109" spans="2:16" ht="34" x14ac:dyDescent="0.2">
      <c r="B109" s="132" t="s">
        <v>116</v>
      </c>
      <c r="G109" s="62"/>
      <c r="H109" s="61"/>
      <c r="L109" s="62"/>
      <c r="N109" s="67" t="s">
        <v>45</v>
      </c>
      <c r="P109" s="23"/>
    </row>
    <row r="110" spans="2:16" ht="64" x14ac:dyDescent="0.2">
      <c r="B110" s="143" t="s">
        <v>117</v>
      </c>
      <c r="C110" s="19" t="s">
        <v>40</v>
      </c>
      <c r="F110" s="34" t="s">
        <v>92</v>
      </c>
      <c r="G110" s="62" t="s">
        <v>41</v>
      </c>
      <c r="H110" s="61">
        <v>18023</v>
      </c>
      <c r="L110" s="62"/>
      <c r="N110" s="67" t="s">
        <v>42</v>
      </c>
      <c r="P110" s="23"/>
    </row>
    <row r="111" spans="2:16" ht="64" x14ac:dyDescent="0.2">
      <c r="B111" s="143" t="s">
        <v>118</v>
      </c>
      <c r="C111" s="19" t="s">
        <v>40</v>
      </c>
      <c r="F111" s="34" t="s">
        <v>92</v>
      </c>
      <c r="G111" s="62" t="s">
        <v>41</v>
      </c>
      <c r="H111" s="61">
        <v>18023</v>
      </c>
      <c r="L111" s="69"/>
      <c r="N111" s="67" t="s">
        <v>42</v>
      </c>
      <c r="P111" s="23"/>
    </row>
    <row r="112" spans="2:16" ht="20.25" customHeight="1" x14ac:dyDescent="0.2">
      <c r="B112" s="143" t="s">
        <v>119</v>
      </c>
      <c r="C112" s="19" t="s">
        <v>40</v>
      </c>
      <c r="F112" s="34" t="s">
        <v>92</v>
      </c>
      <c r="G112" s="62" t="s">
        <v>41</v>
      </c>
      <c r="H112" s="61">
        <v>18023</v>
      </c>
      <c r="L112" s="62"/>
      <c r="N112" s="67" t="s">
        <v>42</v>
      </c>
      <c r="P112" s="23"/>
    </row>
    <row r="113" spans="2:16" ht="32" x14ac:dyDescent="0.2">
      <c r="B113" s="143" t="s">
        <v>120</v>
      </c>
      <c r="C113" s="19" t="s">
        <v>40</v>
      </c>
      <c r="F113" s="34" t="s">
        <v>92</v>
      </c>
      <c r="G113" s="62" t="s">
        <v>41</v>
      </c>
      <c r="H113" s="61">
        <v>18023</v>
      </c>
      <c r="L113" s="62"/>
      <c r="N113" s="67" t="s">
        <v>42</v>
      </c>
      <c r="P113" s="23"/>
    </row>
    <row r="114" spans="2:16" ht="17" x14ac:dyDescent="0.2">
      <c r="B114" s="128" t="s">
        <v>121</v>
      </c>
      <c r="C114" s="19"/>
      <c r="G114" s="62"/>
      <c r="H114" s="61"/>
      <c r="L114" s="69"/>
      <c r="N114" s="67" t="s">
        <v>45</v>
      </c>
      <c r="P114" s="23"/>
    </row>
    <row r="115" spans="2:16" ht="17" x14ac:dyDescent="0.2">
      <c r="B115" s="145" t="s">
        <v>122</v>
      </c>
      <c r="C115" s="19" t="s">
        <v>40</v>
      </c>
      <c r="F115" s="34" t="s">
        <v>0</v>
      </c>
      <c r="G115" s="62" t="s">
        <v>41</v>
      </c>
      <c r="H115" s="61">
        <v>18023</v>
      </c>
      <c r="L115" s="62"/>
      <c r="N115" s="67" t="s">
        <v>42</v>
      </c>
      <c r="P115" s="23"/>
    </row>
    <row r="116" spans="2:16" ht="17" x14ac:dyDescent="0.2">
      <c r="B116" s="139" t="s">
        <v>123</v>
      </c>
      <c r="C116" s="19" t="s">
        <v>40</v>
      </c>
      <c r="F116" s="34" t="s">
        <v>0</v>
      </c>
      <c r="G116" s="62" t="s">
        <v>41</v>
      </c>
      <c r="H116" s="61">
        <v>18023</v>
      </c>
      <c r="L116" s="62"/>
      <c r="N116" s="67" t="s">
        <v>42</v>
      </c>
      <c r="P116" s="23"/>
    </row>
    <row r="117" spans="2:16" ht="34" x14ac:dyDescent="0.2">
      <c r="B117" s="139" t="s">
        <v>329</v>
      </c>
      <c r="C117" s="19" t="s">
        <v>40</v>
      </c>
      <c r="F117" s="34" t="s">
        <v>0</v>
      </c>
      <c r="G117" s="62" t="s">
        <v>41</v>
      </c>
      <c r="H117" s="61">
        <v>18023</v>
      </c>
      <c r="L117" s="69"/>
      <c r="N117" s="67" t="s">
        <v>42</v>
      </c>
      <c r="P117" s="23"/>
    </row>
    <row r="118" spans="2:16" ht="17" x14ac:dyDescent="0.2">
      <c r="B118" s="139" t="s">
        <v>125</v>
      </c>
      <c r="C118" s="19" t="s">
        <v>40</v>
      </c>
      <c r="F118" s="34" t="s">
        <v>0</v>
      </c>
      <c r="G118" s="62" t="s">
        <v>41</v>
      </c>
      <c r="H118" s="61">
        <v>18023</v>
      </c>
      <c r="L118" s="62"/>
      <c r="N118" s="67" t="s">
        <v>42</v>
      </c>
      <c r="P118" s="23"/>
    </row>
    <row r="119" spans="2:16" ht="17" x14ac:dyDescent="0.2">
      <c r="B119" s="145" t="s">
        <v>126</v>
      </c>
      <c r="C119" s="19" t="s">
        <v>40</v>
      </c>
      <c r="F119" s="34" t="s">
        <v>0</v>
      </c>
      <c r="G119" s="62" t="s">
        <v>41</v>
      </c>
      <c r="H119" s="61">
        <v>18023</v>
      </c>
      <c r="L119" s="62"/>
      <c r="N119" s="67" t="s">
        <v>42</v>
      </c>
      <c r="P119" s="23"/>
    </row>
    <row r="120" spans="2:16" ht="17" x14ac:dyDescent="0.2">
      <c r="B120" s="138" t="s">
        <v>127</v>
      </c>
      <c r="C120" s="19" t="s">
        <v>40</v>
      </c>
      <c r="F120" s="34" t="s">
        <v>0</v>
      </c>
      <c r="G120" s="62" t="s">
        <v>41</v>
      </c>
      <c r="H120" s="61">
        <v>18023</v>
      </c>
      <c r="L120" s="69"/>
      <c r="N120" s="67" t="s">
        <v>42</v>
      </c>
      <c r="P120" s="23"/>
    </row>
    <row r="121" spans="2:16" ht="17" x14ac:dyDescent="0.2">
      <c r="B121" s="138" t="s">
        <v>128</v>
      </c>
      <c r="C121" s="19" t="s">
        <v>40</v>
      </c>
      <c r="F121" s="34" t="s">
        <v>0</v>
      </c>
      <c r="G121" s="62" t="s">
        <v>41</v>
      </c>
      <c r="H121" s="61">
        <v>18023</v>
      </c>
      <c r="L121" s="62"/>
      <c r="N121" s="67" t="s">
        <v>42</v>
      </c>
      <c r="P121" s="23"/>
    </row>
    <row r="122" spans="2:16" ht="17" x14ac:dyDescent="0.2">
      <c r="B122" s="146" t="s">
        <v>129</v>
      </c>
      <c r="C122" s="19" t="s">
        <v>40</v>
      </c>
      <c r="E122" s="70"/>
      <c r="F122" s="34" t="s">
        <v>0</v>
      </c>
      <c r="G122" s="62" t="s">
        <v>41</v>
      </c>
      <c r="H122" s="61">
        <v>18023</v>
      </c>
      <c r="L122" s="62"/>
      <c r="N122" s="67" t="s">
        <v>42</v>
      </c>
      <c r="P122" s="23"/>
    </row>
    <row r="123" spans="2:16" ht="17" x14ac:dyDescent="0.2">
      <c r="B123" s="138" t="s">
        <v>130</v>
      </c>
      <c r="C123" s="19" t="s">
        <v>40</v>
      </c>
      <c r="D123" s="35"/>
      <c r="F123" s="34" t="s">
        <v>0</v>
      </c>
      <c r="G123" s="62" t="s">
        <v>41</v>
      </c>
      <c r="H123" s="61">
        <v>18023</v>
      </c>
      <c r="L123" s="69"/>
      <c r="N123" s="67" t="s">
        <v>42</v>
      </c>
      <c r="P123" s="23"/>
    </row>
    <row r="124" spans="2:16" ht="17" x14ac:dyDescent="0.2">
      <c r="B124" s="147" t="s">
        <v>131</v>
      </c>
      <c r="C124" s="19" t="s">
        <v>40</v>
      </c>
      <c r="D124" s="35"/>
      <c r="E124" s="71"/>
      <c r="F124" s="34" t="s">
        <v>0</v>
      </c>
      <c r="G124" s="62" t="s">
        <v>41</v>
      </c>
      <c r="H124" s="61">
        <v>18023</v>
      </c>
      <c r="L124" s="62"/>
      <c r="N124" s="67" t="s">
        <v>42</v>
      </c>
      <c r="P124" s="23"/>
    </row>
    <row r="125" spans="2:16" ht="17" x14ac:dyDescent="0.2">
      <c r="B125" s="147" t="s">
        <v>132</v>
      </c>
      <c r="C125" s="19" t="s">
        <v>40</v>
      </c>
      <c r="D125" s="35"/>
      <c r="E125" s="71"/>
      <c r="F125" s="34" t="s">
        <v>0</v>
      </c>
      <c r="G125" s="62" t="s">
        <v>41</v>
      </c>
      <c r="H125" s="61">
        <v>18023</v>
      </c>
      <c r="L125" s="62"/>
      <c r="N125" s="67" t="s">
        <v>42</v>
      </c>
      <c r="P125" s="23"/>
    </row>
    <row r="126" spans="2:16" ht="17" x14ac:dyDescent="0.2">
      <c r="B126" s="147" t="s">
        <v>133</v>
      </c>
      <c r="C126" s="19" t="s">
        <v>40</v>
      </c>
      <c r="E126" s="73"/>
      <c r="F126" s="34" t="s">
        <v>0</v>
      </c>
      <c r="G126" s="62" t="s">
        <v>41</v>
      </c>
      <c r="H126" s="61">
        <v>18023</v>
      </c>
      <c r="L126" s="69"/>
      <c r="N126" s="67" t="s">
        <v>42</v>
      </c>
      <c r="P126" s="23"/>
    </row>
    <row r="127" spans="2:16" ht="17" x14ac:dyDescent="0.2">
      <c r="B127" s="147" t="s">
        <v>134</v>
      </c>
      <c r="C127" s="19" t="s">
        <v>40</v>
      </c>
      <c r="F127" s="34" t="s">
        <v>0</v>
      </c>
      <c r="G127" s="62" t="s">
        <v>41</v>
      </c>
      <c r="H127" s="61">
        <v>18023</v>
      </c>
      <c r="L127" s="62"/>
      <c r="N127" s="67" t="s">
        <v>42</v>
      </c>
      <c r="P127" s="23"/>
    </row>
    <row r="128" spans="2:16" ht="17" x14ac:dyDescent="0.2">
      <c r="B128" s="147" t="s">
        <v>135</v>
      </c>
      <c r="C128" s="19" t="s">
        <v>40</v>
      </c>
      <c r="F128" s="34" t="s">
        <v>0</v>
      </c>
      <c r="G128" s="62" t="s">
        <v>41</v>
      </c>
      <c r="H128" s="61">
        <v>18023</v>
      </c>
      <c r="L128" s="62"/>
      <c r="N128" s="67" t="s">
        <v>42</v>
      </c>
      <c r="P128" s="23"/>
    </row>
    <row r="129" spans="2:16" ht="17" x14ac:dyDescent="0.2">
      <c r="B129" s="147" t="s">
        <v>136</v>
      </c>
      <c r="C129" s="19" t="s">
        <v>40</v>
      </c>
      <c r="F129" s="34" t="s">
        <v>0</v>
      </c>
      <c r="G129" s="62" t="s">
        <v>41</v>
      </c>
      <c r="H129" s="61">
        <v>18023</v>
      </c>
      <c r="L129" s="69"/>
      <c r="N129" s="67" t="s">
        <v>42</v>
      </c>
      <c r="P129" s="23"/>
    </row>
    <row r="130" spans="2:16" ht="23" x14ac:dyDescent="0.3">
      <c r="B130" s="148" t="s">
        <v>137</v>
      </c>
      <c r="C130" s="19"/>
      <c r="G130" s="62"/>
      <c r="H130" s="61"/>
      <c r="L130" s="69"/>
      <c r="N130" s="67" t="s">
        <v>45</v>
      </c>
      <c r="P130" s="23"/>
    </row>
    <row r="131" spans="2:16" ht="23" x14ac:dyDescent="0.3">
      <c r="B131" s="148" t="s">
        <v>138</v>
      </c>
      <c r="C131" s="19"/>
      <c r="G131" s="62"/>
      <c r="H131" s="61"/>
      <c r="L131" s="175"/>
      <c r="N131" s="67" t="s">
        <v>45</v>
      </c>
      <c r="P131" s="23"/>
    </row>
    <row r="132" spans="2:16" ht="17" x14ac:dyDescent="0.2">
      <c r="B132" s="168" t="s">
        <v>330</v>
      </c>
      <c r="C132" s="19" t="s">
        <v>40</v>
      </c>
      <c r="F132" s="34" t="s">
        <v>0</v>
      </c>
      <c r="G132" s="62" t="s">
        <v>41</v>
      </c>
      <c r="H132" s="61">
        <v>18023</v>
      </c>
      <c r="L132" s="62"/>
      <c r="N132" s="67" t="s">
        <v>42</v>
      </c>
      <c r="P132" s="23"/>
    </row>
    <row r="133" spans="2:16" ht="34" x14ac:dyDescent="0.2">
      <c r="B133" s="147" t="s">
        <v>331</v>
      </c>
      <c r="C133" s="19" t="s">
        <v>40</v>
      </c>
      <c r="F133" s="34" t="s">
        <v>0</v>
      </c>
      <c r="G133" s="62" t="s">
        <v>41</v>
      </c>
      <c r="H133" s="61">
        <v>18023</v>
      </c>
      <c r="L133" s="69"/>
      <c r="N133" s="67" t="s">
        <v>42</v>
      </c>
      <c r="P133" s="23"/>
    </row>
    <row r="134" spans="2:16" ht="17" x14ac:dyDescent="0.2">
      <c r="B134" s="168" t="s">
        <v>332</v>
      </c>
      <c r="C134" s="19" t="s">
        <v>40</v>
      </c>
      <c r="F134" s="34" t="s">
        <v>0</v>
      </c>
      <c r="G134" s="62" t="s">
        <v>41</v>
      </c>
      <c r="H134" s="61">
        <v>18023</v>
      </c>
      <c r="L134" s="62"/>
      <c r="N134" s="67" t="s">
        <v>42</v>
      </c>
      <c r="P134" s="23"/>
    </row>
    <row r="135" spans="2:16" ht="17" x14ac:dyDescent="0.2">
      <c r="B135" s="168" t="s">
        <v>333</v>
      </c>
      <c r="C135" s="19" t="s">
        <v>40</v>
      </c>
      <c r="F135" s="34" t="s">
        <v>0</v>
      </c>
      <c r="G135" s="62" t="s">
        <v>41</v>
      </c>
      <c r="H135" s="61">
        <v>18023</v>
      </c>
      <c r="L135" s="62"/>
      <c r="N135" s="67" t="s">
        <v>42</v>
      </c>
      <c r="P135" s="23"/>
    </row>
    <row r="136" spans="2:16" ht="17" x14ac:dyDescent="0.2">
      <c r="B136" s="147" t="s">
        <v>143</v>
      </c>
      <c r="C136" s="19" t="s">
        <v>40</v>
      </c>
      <c r="F136" s="34" t="s">
        <v>0</v>
      </c>
      <c r="G136" s="62" t="s">
        <v>41</v>
      </c>
      <c r="H136" s="61">
        <v>18023</v>
      </c>
      <c r="L136" s="69"/>
      <c r="N136" s="67" t="s">
        <v>42</v>
      </c>
      <c r="P136" s="23"/>
    </row>
    <row r="137" spans="2:16" ht="23" x14ac:dyDescent="0.3">
      <c r="B137" s="148" t="s">
        <v>144</v>
      </c>
      <c r="C137" s="19"/>
      <c r="G137" s="62"/>
      <c r="H137" s="61"/>
      <c r="L137" s="175"/>
      <c r="N137" s="67" t="s">
        <v>45</v>
      </c>
      <c r="P137" s="23"/>
    </row>
    <row r="138" spans="2:16" ht="17" x14ac:dyDescent="0.2">
      <c r="B138" s="168" t="s">
        <v>145</v>
      </c>
      <c r="C138" s="19" t="s">
        <v>40</v>
      </c>
      <c r="F138" s="34" t="s">
        <v>0</v>
      </c>
      <c r="G138" s="62" t="s">
        <v>41</v>
      </c>
      <c r="H138" s="61">
        <v>18023</v>
      </c>
      <c r="L138" s="175"/>
      <c r="N138" s="67" t="s">
        <v>42</v>
      </c>
      <c r="P138" s="23"/>
    </row>
    <row r="139" spans="2:16" ht="17" x14ac:dyDescent="0.2">
      <c r="B139" s="168" t="s">
        <v>146</v>
      </c>
      <c r="C139" s="19" t="s">
        <v>40</v>
      </c>
      <c r="F139" s="34" t="s">
        <v>0</v>
      </c>
      <c r="G139" s="62" t="s">
        <v>41</v>
      </c>
      <c r="H139" s="61">
        <v>18023</v>
      </c>
      <c r="L139" s="175"/>
      <c r="N139" s="67" t="s">
        <v>42</v>
      </c>
      <c r="P139" s="23"/>
    </row>
    <row r="140" spans="2:16" ht="17" x14ac:dyDescent="0.2">
      <c r="B140" s="168" t="s">
        <v>147</v>
      </c>
      <c r="C140" s="19" t="s">
        <v>40</v>
      </c>
      <c r="F140" s="34" t="s">
        <v>0</v>
      </c>
      <c r="G140" s="62" t="s">
        <v>41</v>
      </c>
      <c r="H140" s="61">
        <v>18023</v>
      </c>
      <c r="L140" s="175"/>
      <c r="N140" s="67" t="s">
        <v>42</v>
      </c>
      <c r="P140" s="23"/>
    </row>
    <row r="141" spans="2:16" ht="17" x14ac:dyDescent="0.2">
      <c r="B141" s="168" t="s">
        <v>148</v>
      </c>
      <c r="C141" s="19" t="s">
        <v>40</v>
      </c>
      <c r="F141" s="34" t="s">
        <v>0</v>
      </c>
      <c r="G141" s="62" t="s">
        <v>41</v>
      </c>
      <c r="H141" s="61">
        <v>18023</v>
      </c>
      <c r="L141" s="175"/>
      <c r="N141" s="67" t="s">
        <v>42</v>
      </c>
      <c r="P141" s="23"/>
    </row>
    <row r="142" spans="2:16" ht="17" x14ac:dyDescent="0.2">
      <c r="B142" s="168" t="s">
        <v>149</v>
      </c>
      <c r="C142" s="19" t="s">
        <v>40</v>
      </c>
      <c r="F142" s="34" t="s">
        <v>0</v>
      </c>
      <c r="G142" s="62" t="s">
        <v>41</v>
      </c>
      <c r="H142" s="61">
        <v>18023</v>
      </c>
      <c r="L142" s="175"/>
      <c r="N142" s="67" t="s">
        <v>42</v>
      </c>
      <c r="P142" s="23"/>
    </row>
    <row r="143" spans="2:16" ht="20" x14ac:dyDescent="0.25">
      <c r="B143" s="149" t="s">
        <v>150</v>
      </c>
      <c r="C143" s="19"/>
      <c r="G143" s="62"/>
      <c r="H143" s="61"/>
      <c r="L143" s="62"/>
      <c r="N143" s="67" t="s">
        <v>45</v>
      </c>
      <c r="P143" s="23"/>
    </row>
    <row r="144" spans="2:16" ht="17" x14ac:dyDescent="0.2">
      <c r="B144" s="150" t="s">
        <v>151</v>
      </c>
      <c r="C144" s="19"/>
      <c r="G144" s="62"/>
      <c r="H144" s="61"/>
      <c r="L144" s="62"/>
      <c r="N144" s="67" t="s">
        <v>45</v>
      </c>
      <c r="P144" s="23"/>
    </row>
    <row r="145" spans="2:16" ht="17" x14ac:dyDescent="0.2">
      <c r="B145" s="151" t="s">
        <v>152</v>
      </c>
      <c r="C145" s="19" t="s">
        <v>40</v>
      </c>
      <c r="F145" s="34" t="s">
        <v>0</v>
      </c>
      <c r="G145" s="62" t="s">
        <v>41</v>
      </c>
      <c r="H145" s="61">
        <v>18023</v>
      </c>
      <c r="L145" s="62"/>
      <c r="N145" s="67" t="s">
        <v>42</v>
      </c>
      <c r="P145" s="23"/>
    </row>
    <row r="146" spans="2:16" ht="17" x14ac:dyDescent="0.2">
      <c r="B146" s="151" t="s">
        <v>153</v>
      </c>
      <c r="C146" s="19" t="s">
        <v>40</v>
      </c>
      <c r="F146" s="34" t="s">
        <v>0</v>
      </c>
      <c r="G146" s="62" t="s">
        <v>41</v>
      </c>
      <c r="H146" s="61">
        <v>18023</v>
      </c>
      <c r="L146" s="62"/>
      <c r="N146" s="67" t="s">
        <v>42</v>
      </c>
      <c r="P146" s="23"/>
    </row>
    <row r="147" spans="2:16" ht="17" x14ac:dyDescent="0.2">
      <c r="B147" s="152" t="s">
        <v>154</v>
      </c>
      <c r="C147" s="19" t="s">
        <v>40</v>
      </c>
      <c r="E147" s="74"/>
      <c r="F147" s="34" t="s">
        <v>0</v>
      </c>
      <c r="G147" s="62" t="s">
        <v>41</v>
      </c>
      <c r="H147" s="61">
        <v>18023</v>
      </c>
      <c r="L147" s="62"/>
      <c r="N147" s="67" t="s">
        <v>42</v>
      </c>
      <c r="P147" s="23"/>
    </row>
    <row r="148" spans="2:16" ht="17" x14ac:dyDescent="0.2">
      <c r="B148" s="143" t="s">
        <v>155</v>
      </c>
      <c r="C148" s="19" t="s">
        <v>40</v>
      </c>
      <c r="F148" s="34" t="s">
        <v>0</v>
      </c>
      <c r="G148" s="62" t="s">
        <v>41</v>
      </c>
      <c r="H148" s="61">
        <v>18023</v>
      </c>
      <c r="L148" s="69"/>
      <c r="N148" s="67" t="s">
        <v>42</v>
      </c>
      <c r="P148" s="23"/>
    </row>
    <row r="149" spans="2:16" ht="17" x14ac:dyDescent="0.2">
      <c r="B149" s="153" t="s">
        <v>156</v>
      </c>
      <c r="G149" s="62"/>
      <c r="H149" s="61"/>
      <c r="L149" s="69"/>
      <c r="N149" s="67" t="s">
        <v>45</v>
      </c>
      <c r="P149" s="23"/>
    </row>
    <row r="150" spans="2:16" ht="17" x14ac:dyDescent="0.2">
      <c r="B150" s="153" t="s">
        <v>157</v>
      </c>
      <c r="C150" s="19"/>
      <c r="G150" s="62"/>
      <c r="H150" s="61"/>
      <c r="L150" s="62"/>
      <c r="N150" s="67" t="s">
        <v>45</v>
      </c>
      <c r="P150" s="23"/>
    </row>
    <row r="151" spans="2:16" ht="17" x14ac:dyDescent="0.2">
      <c r="B151" s="154" t="s">
        <v>158</v>
      </c>
      <c r="C151" s="19" t="s">
        <v>40</v>
      </c>
      <c r="F151" s="34" t="s">
        <v>0</v>
      </c>
      <c r="G151" s="62" t="s">
        <v>41</v>
      </c>
      <c r="H151" s="61">
        <v>18023</v>
      </c>
      <c r="L151" s="62"/>
      <c r="N151" s="67" t="s">
        <v>42</v>
      </c>
      <c r="P151" s="23"/>
    </row>
    <row r="152" spans="2:16" ht="17" x14ac:dyDescent="0.2">
      <c r="B152" s="155" t="s">
        <v>159</v>
      </c>
      <c r="C152" s="19" t="s">
        <v>40</v>
      </c>
      <c r="F152" s="34" t="s">
        <v>0</v>
      </c>
      <c r="G152" s="62" t="s">
        <v>41</v>
      </c>
      <c r="H152" s="61">
        <v>18023</v>
      </c>
      <c r="L152" s="62"/>
      <c r="N152" s="67" t="s">
        <v>42</v>
      </c>
      <c r="P152" s="23"/>
    </row>
    <row r="153" spans="2:16" ht="17" x14ac:dyDescent="0.2">
      <c r="B153" s="151" t="s">
        <v>160</v>
      </c>
      <c r="C153" s="19" t="s">
        <v>40</v>
      </c>
      <c r="F153" s="34" t="s">
        <v>0</v>
      </c>
      <c r="G153" s="62" t="s">
        <v>41</v>
      </c>
      <c r="H153" s="61">
        <v>18023</v>
      </c>
      <c r="L153" s="62"/>
      <c r="N153" s="67" t="s">
        <v>42</v>
      </c>
      <c r="P153" s="23"/>
    </row>
    <row r="154" spans="2:16" ht="17" x14ac:dyDescent="0.2">
      <c r="B154" s="153" t="s">
        <v>161</v>
      </c>
      <c r="C154" s="19"/>
      <c r="G154" s="62"/>
      <c r="H154" s="61"/>
      <c r="L154" s="62"/>
      <c r="N154" s="67" t="s">
        <v>45</v>
      </c>
      <c r="P154" s="23"/>
    </row>
    <row r="155" spans="2:16" ht="17" x14ac:dyDescent="0.2">
      <c r="B155" s="156" t="s">
        <v>162</v>
      </c>
      <c r="C155" s="19"/>
      <c r="G155" s="62"/>
      <c r="H155" s="61"/>
      <c r="L155" s="62"/>
      <c r="N155" s="67" t="s">
        <v>45</v>
      </c>
      <c r="P155" s="23"/>
    </row>
    <row r="156" spans="2:16" ht="48" x14ac:dyDescent="0.2">
      <c r="B156" s="151" t="s">
        <v>163</v>
      </c>
      <c r="C156" s="19" t="s">
        <v>40</v>
      </c>
      <c r="F156" s="34" t="s">
        <v>0</v>
      </c>
      <c r="G156" s="62" t="s">
        <v>41</v>
      </c>
      <c r="H156" s="61">
        <v>18023</v>
      </c>
      <c r="L156" s="62"/>
      <c r="N156" s="67" t="s">
        <v>42</v>
      </c>
      <c r="P156" s="23"/>
    </row>
    <row r="157" spans="2:16" ht="17" x14ac:dyDescent="0.2">
      <c r="B157" s="138" t="s">
        <v>164</v>
      </c>
      <c r="C157" s="19" t="s">
        <v>40</v>
      </c>
      <c r="F157" s="34" t="s">
        <v>0</v>
      </c>
      <c r="G157" s="62" t="s">
        <v>41</v>
      </c>
      <c r="H157" s="61">
        <v>18023</v>
      </c>
      <c r="L157" s="69"/>
      <c r="N157" s="67" t="s">
        <v>42</v>
      </c>
      <c r="P157" s="23"/>
    </row>
    <row r="158" spans="2:16" ht="17" x14ac:dyDescent="0.2">
      <c r="B158" s="156" t="s">
        <v>165</v>
      </c>
      <c r="C158" s="19"/>
      <c r="G158" s="62"/>
      <c r="H158" s="61"/>
      <c r="L158" s="62"/>
      <c r="N158" s="67" t="s">
        <v>45</v>
      </c>
      <c r="P158" s="23"/>
    </row>
    <row r="159" spans="2:16" ht="48" x14ac:dyDescent="0.2">
      <c r="B159" s="151" t="s">
        <v>166</v>
      </c>
      <c r="C159" s="19" t="s">
        <v>40</v>
      </c>
      <c r="F159" s="34" t="s">
        <v>0</v>
      </c>
      <c r="G159" s="62" t="s">
        <v>41</v>
      </c>
      <c r="H159" s="61">
        <v>18023</v>
      </c>
      <c r="L159" s="69"/>
      <c r="N159" s="67" t="s">
        <v>42</v>
      </c>
      <c r="P159" s="23"/>
    </row>
    <row r="160" spans="2:16" ht="17" x14ac:dyDescent="0.2">
      <c r="B160" s="138" t="s">
        <v>167</v>
      </c>
      <c r="C160" s="19" t="s">
        <v>40</v>
      </c>
      <c r="F160" s="34" t="s">
        <v>0</v>
      </c>
      <c r="G160" s="62" t="s">
        <v>41</v>
      </c>
      <c r="H160" s="61">
        <v>18023</v>
      </c>
      <c r="L160" s="62"/>
      <c r="N160" s="67" t="s">
        <v>42</v>
      </c>
      <c r="P160" s="23"/>
    </row>
    <row r="161" spans="2:16" ht="17" x14ac:dyDescent="0.2">
      <c r="B161" s="157" t="s">
        <v>168</v>
      </c>
      <c r="N161" s="67" t="s">
        <v>45</v>
      </c>
      <c r="P161" s="23"/>
    </row>
    <row r="162" spans="2:16" ht="51" x14ac:dyDescent="0.2">
      <c r="B162" s="158" t="s">
        <v>169</v>
      </c>
      <c r="C162" s="19" t="s">
        <v>40</v>
      </c>
      <c r="F162" s="34" t="s">
        <v>0</v>
      </c>
      <c r="G162" s="62" t="s">
        <v>41</v>
      </c>
      <c r="H162" s="61">
        <v>18023</v>
      </c>
      <c r="M162" s="68"/>
      <c r="N162" s="67" t="s">
        <v>42</v>
      </c>
      <c r="P162" s="23"/>
    </row>
    <row r="163" spans="2:16" ht="17" x14ac:dyDescent="0.2">
      <c r="B163" s="159" t="s">
        <v>170</v>
      </c>
      <c r="C163" s="19" t="s">
        <v>40</v>
      </c>
      <c r="F163" s="34" t="s">
        <v>0</v>
      </c>
      <c r="G163" s="62" t="s">
        <v>41</v>
      </c>
      <c r="H163" s="61">
        <v>18023</v>
      </c>
      <c r="M163" s="68"/>
      <c r="N163" s="67" t="s">
        <v>42</v>
      </c>
      <c r="P163" s="23"/>
    </row>
    <row r="164" spans="2:16" ht="17" x14ac:dyDescent="0.2">
      <c r="B164" s="157" t="s">
        <v>171</v>
      </c>
      <c r="C164" s="19"/>
      <c r="G164" s="35"/>
      <c r="H164" s="69"/>
      <c r="M164" s="68"/>
      <c r="N164" s="67" t="s">
        <v>45</v>
      </c>
      <c r="P164" s="23"/>
    </row>
    <row r="165" spans="2:16" ht="48" x14ac:dyDescent="0.2">
      <c r="B165" s="144" t="s">
        <v>172</v>
      </c>
      <c r="C165" s="19" t="s">
        <v>40</v>
      </c>
      <c r="F165" s="34" t="s">
        <v>0</v>
      </c>
      <c r="G165" s="62" t="s">
        <v>41</v>
      </c>
      <c r="H165" s="61">
        <v>18023</v>
      </c>
      <c r="M165" s="68"/>
      <c r="N165" s="67" t="s">
        <v>42</v>
      </c>
      <c r="P165" s="23"/>
    </row>
    <row r="166" spans="2:16" ht="17" x14ac:dyDescent="0.2">
      <c r="B166" s="160" t="s">
        <v>173</v>
      </c>
      <c r="C166" s="19" t="s">
        <v>40</v>
      </c>
      <c r="F166" s="34" t="s">
        <v>0</v>
      </c>
      <c r="G166" s="62" t="s">
        <v>41</v>
      </c>
      <c r="H166" s="61">
        <v>18023</v>
      </c>
      <c r="N166" s="67" t="s">
        <v>42</v>
      </c>
      <c r="P166" s="23"/>
    </row>
    <row r="167" spans="2:16" ht="17" x14ac:dyDescent="0.2">
      <c r="B167" s="161" t="s">
        <v>174</v>
      </c>
      <c r="N167" s="67" t="s">
        <v>45</v>
      </c>
      <c r="P167" s="23"/>
    </row>
    <row r="168" spans="2:16" ht="51" x14ac:dyDescent="0.2">
      <c r="B168" s="161" t="s">
        <v>175</v>
      </c>
      <c r="C168" s="19"/>
      <c r="G168" s="35"/>
      <c r="H168" s="69"/>
      <c r="M168" s="68"/>
      <c r="N168" s="67" t="s">
        <v>45</v>
      </c>
      <c r="P168" s="23"/>
    </row>
    <row r="169" spans="2:16" ht="17" x14ac:dyDescent="0.2">
      <c r="B169" s="131" t="s">
        <v>176</v>
      </c>
      <c r="C169" s="19" t="s">
        <v>40</v>
      </c>
      <c r="F169" s="34" t="s">
        <v>0</v>
      </c>
      <c r="G169" s="62" t="s">
        <v>41</v>
      </c>
      <c r="H169" s="61">
        <v>18023</v>
      </c>
      <c r="M169" s="68"/>
      <c r="N169" s="67" t="s">
        <v>42</v>
      </c>
      <c r="P169" s="23"/>
    </row>
    <row r="170" spans="2:16" ht="17" x14ac:dyDescent="0.2">
      <c r="B170" s="160" t="s">
        <v>177</v>
      </c>
      <c r="C170" s="19" t="s">
        <v>40</v>
      </c>
      <c r="F170" s="34" t="s">
        <v>0</v>
      </c>
      <c r="G170" s="62" t="s">
        <v>41</v>
      </c>
      <c r="H170" s="61">
        <v>18023</v>
      </c>
      <c r="M170" s="68"/>
      <c r="N170" s="67" t="s">
        <v>42</v>
      </c>
      <c r="P170" s="23"/>
    </row>
    <row r="171" spans="2:16" ht="17" x14ac:dyDescent="0.2">
      <c r="B171" s="131" t="s">
        <v>178</v>
      </c>
      <c r="C171" s="19" t="s">
        <v>40</v>
      </c>
      <c r="F171" s="34" t="s">
        <v>0</v>
      </c>
      <c r="G171" s="62" t="s">
        <v>41</v>
      </c>
      <c r="H171" s="61">
        <v>18023</v>
      </c>
      <c r="M171" s="68"/>
      <c r="N171" s="67" t="s">
        <v>42</v>
      </c>
      <c r="P171" s="23"/>
    </row>
    <row r="172" spans="2:16" ht="68" x14ac:dyDescent="0.2">
      <c r="B172" s="131" t="s">
        <v>179</v>
      </c>
      <c r="C172" s="19" t="s">
        <v>40</v>
      </c>
      <c r="F172" s="34" t="s">
        <v>0</v>
      </c>
      <c r="G172" s="62" t="s">
        <v>41</v>
      </c>
      <c r="H172" s="61">
        <v>18023</v>
      </c>
      <c r="N172" s="67" t="s">
        <v>42</v>
      </c>
      <c r="P172" s="23"/>
    </row>
    <row r="173" spans="2:16" ht="17" x14ac:dyDescent="0.2">
      <c r="B173" s="131" t="s">
        <v>180</v>
      </c>
      <c r="C173" s="19" t="s">
        <v>40</v>
      </c>
      <c r="F173" s="34" t="s">
        <v>0</v>
      </c>
      <c r="G173" s="62" t="s">
        <v>41</v>
      </c>
      <c r="H173" s="61">
        <v>18023</v>
      </c>
      <c r="N173" s="67" t="s">
        <v>42</v>
      </c>
      <c r="P173" s="23"/>
    </row>
    <row r="174" spans="2:16" ht="68" x14ac:dyDescent="0.2">
      <c r="B174" s="131" t="s">
        <v>181</v>
      </c>
      <c r="C174" s="19" t="s">
        <v>40</v>
      </c>
      <c r="F174" s="34" t="s">
        <v>0</v>
      </c>
      <c r="G174" s="62" t="s">
        <v>41</v>
      </c>
      <c r="H174" s="61">
        <v>18023</v>
      </c>
      <c r="N174" s="67" t="s">
        <v>42</v>
      </c>
      <c r="P174" s="23"/>
    </row>
    <row r="175" spans="2:16" ht="17" x14ac:dyDescent="0.2">
      <c r="B175" s="160" t="s">
        <v>182</v>
      </c>
      <c r="C175" s="19" t="s">
        <v>40</v>
      </c>
      <c r="F175" s="34" t="s">
        <v>0</v>
      </c>
      <c r="G175" s="62" t="s">
        <v>41</v>
      </c>
      <c r="H175" s="61">
        <v>18023</v>
      </c>
      <c r="N175" s="67" t="s">
        <v>42</v>
      </c>
      <c r="P175" s="23"/>
    </row>
    <row r="176" spans="2:16" ht="68" x14ac:dyDescent="0.2">
      <c r="B176" s="160" t="s">
        <v>183</v>
      </c>
      <c r="C176" s="19" t="s">
        <v>40</v>
      </c>
      <c r="F176" s="34" t="s">
        <v>0</v>
      </c>
      <c r="G176" s="62" t="s">
        <v>41</v>
      </c>
      <c r="H176" s="61">
        <v>18023</v>
      </c>
      <c r="N176" s="67" t="s">
        <v>42</v>
      </c>
      <c r="P176" s="23"/>
    </row>
    <row r="177" spans="1:23" ht="17" x14ac:dyDescent="0.2">
      <c r="B177" s="162" t="s">
        <v>184</v>
      </c>
      <c r="C177" s="19" t="s">
        <v>40</v>
      </c>
      <c r="F177" s="34" t="s">
        <v>0</v>
      </c>
      <c r="G177" s="62" t="s">
        <v>41</v>
      </c>
      <c r="H177" s="61">
        <v>18023</v>
      </c>
      <c r="M177" s="68"/>
      <c r="N177" s="67" t="s">
        <v>42</v>
      </c>
      <c r="P177" s="23"/>
    </row>
    <row r="178" spans="1:23" ht="17" x14ac:dyDescent="0.2">
      <c r="A178" s="123"/>
      <c r="B178" s="290" t="s">
        <v>185</v>
      </c>
      <c r="C178" s="291" t="s">
        <v>40</v>
      </c>
      <c r="D178" s="70"/>
      <c r="E178" s="70"/>
      <c r="F178" s="70" t="s">
        <v>0</v>
      </c>
      <c r="G178" s="205" t="s">
        <v>41</v>
      </c>
      <c r="H178" s="206">
        <v>18023</v>
      </c>
      <c r="I178" s="289"/>
      <c r="J178" s="70"/>
      <c r="K178" s="70"/>
      <c r="L178" s="292"/>
      <c r="M178" s="293"/>
      <c r="N178" s="67" t="s">
        <v>42</v>
      </c>
      <c r="O178" s="294"/>
      <c r="P178" s="295"/>
      <c r="Q178" s="296"/>
      <c r="R178" s="296"/>
      <c r="S178" s="296"/>
      <c r="T178" s="296"/>
      <c r="U178" s="297"/>
      <c r="V178" s="297"/>
      <c r="W178" s="297"/>
    </row>
    <row r="179" spans="1:23" s="7" customFormat="1" ht="17" x14ac:dyDescent="0.2">
      <c r="A179" s="51"/>
      <c r="C179" s="19"/>
      <c r="D179" s="34"/>
      <c r="E179" s="34"/>
      <c r="F179" s="34"/>
      <c r="G179" s="34"/>
      <c r="H179" s="69"/>
      <c r="I179" s="34"/>
      <c r="J179" s="34"/>
      <c r="K179" s="34"/>
      <c r="L179" s="34"/>
      <c r="M179" s="68"/>
      <c r="N179" s="67" t="s">
        <v>45</v>
      </c>
      <c r="O179" s="6"/>
      <c r="P179" s="6"/>
      <c r="Q179" s="5"/>
      <c r="R179" s="5"/>
      <c r="S179" s="5"/>
      <c r="T179" s="5"/>
    </row>
    <row r="180" spans="1:23" s="7" customFormat="1" ht="17" x14ac:dyDescent="0.2">
      <c r="A180" s="51"/>
      <c r="C180" s="19"/>
      <c r="D180" s="34"/>
      <c r="E180" s="34"/>
      <c r="F180" s="34"/>
      <c r="G180" s="34"/>
      <c r="H180" s="69"/>
      <c r="I180" s="34"/>
      <c r="J180" s="34"/>
      <c r="K180" s="34"/>
      <c r="L180" s="34"/>
      <c r="M180" s="68"/>
      <c r="N180" s="67" t="s">
        <v>45</v>
      </c>
      <c r="O180" s="6"/>
      <c r="P180" s="6"/>
      <c r="Q180" s="5"/>
      <c r="R180" s="5"/>
      <c r="S180" s="5"/>
      <c r="T180" s="5"/>
    </row>
    <row r="181" spans="1:23" ht="17" x14ac:dyDescent="0.2">
      <c r="A181" s="124"/>
      <c r="B181" s="298"/>
      <c r="C181" s="124"/>
      <c r="D181" s="73"/>
      <c r="E181" s="73"/>
      <c r="F181" s="73"/>
      <c r="G181" s="286"/>
      <c r="H181" s="287"/>
      <c r="I181" s="299"/>
      <c r="J181" s="73"/>
      <c r="K181" s="73"/>
      <c r="L181" s="288"/>
      <c r="M181" s="73"/>
      <c r="N181" s="67" t="s">
        <v>45</v>
      </c>
      <c r="O181" s="287"/>
      <c r="P181" s="287"/>
      <c r="Q181" s="300"/>
      <c r="R181" s="300"/>
      <c r="S181" s="300"/>
      <c r="T181" s="300"/>
      <c r="U181" s="301"/>
      <c r="V181" s="301"/>
      <c r="W181" s="301"/>
    </row>
    <row r="182" spans="1:23" ht="25" x14ac:dyDescent="0.3">
      <c r="B182" s="125" t="s">
        <v>334</v>
      </c>
      <c r="C182" s="59"/>
      <c r="N182" s="67" t="s">
        <v>45</v>
      </c>
    </row>
    <row r="183" spans="1:23" ht="69" x14ac:dyDescent="0.2">
      <c r="B183" s="126" t="s">
        <v>335</v>
      </c>
      <c r="C183" s="19"/>
      <c r="N183" s="67" t="s">
        <v>45</v>
      </c>
    </row>
    <row r="184" spans="1:23" ht="17" x14ac:dyDescent="0.2">
      <c r="B184" s="127" t="s">
        <v>31</v>
      </c>
      <c r="C184" s="19"/>
      <c r="N184" s="67" t="s">
        <v>45</v>
      </c>
    </row>
    <row r="185" spans="1:23" ht="17" x14ac:dyDescent="0.2">
      <c r="B185" s="127" t="s">
        <v>328</v>
      </c>
      <c r="N185" s="67" t="s">
        <v>45</v>
      </c>
    </row>
    <row r="186" spans="1:23" ht="17" x14ac:dyDescent="0.2">
      <c r="B186" s="128" t="s">
        <v>33</v>
      </c>
      <c r="N186" s="67" t="s">
        <v>45</v>
      </c>
    </row>
    <row r="187" spans="1:23" ht="17" x14ac:dyDescent="0.2">
      <c r="B187" s="127" t="s">
        <v>34</v>
      </c>
      <c r="C187" s="19"/>
      <c r="N187" s="67" t="s">
        <v>45</v>
      </c>
    </row>
    <row r="188" spans="1:23" ht="51" x14ac:dyDescent="0.2">
      <c r="B188" s="163" t="s">
        <v>336</v>
      </c>
      <c r="C188" s="19"/>
      <c r="N188" s="67" t="s">
        <v>45</v>
      </c>
    </row>
    <row r="189" spans="1:23" ht="17" x14ac:dyDescent="0.2">
      <c r="B189" s="129" t="s">
        <v>36</v>
      </c>
      <c r="C189" s="19"/>
      <c r="N189" s="67" t="s">
        <v>45</v>
      </c>
    </row>
    <row r="190" spans="1:23" ht="17" x14ac:dyDescent="0.2">
      <c r="B190" s="129" t="s">
        <v>37</v>
      </c>
      <c r="C190" s="19"/>
      <c r="N190" s="67" t="s">
        <v>45</v>
      </c>
    </row>
    <row r="191" spans="1:23" ht="17" x14ac:dyDescent="0.2">
      <c r="B191" s="128" t="s">
        <v>38</v>
      </c>
      <c r="C191" s="19"/>
      <c r="N191" s="67" t="s">
        <v>45</v>
      </c>
    </row>
    <row r="192" spans="1:23" ht="32" x14ac:dyDescent="0.2">
      <c r="B192" s="130" t="s">
        <v>39</v>
      </c>
      <c r="C192" s="19" t="s">
        <v>40</v>
      </c>
      <c r="G192" s="62"/>
      <c r="H192" s="61"/>
      <c r="K192" s="34" t="s">
        <v>0</v>
      </c>
      <c r="L192" s="62" t="s">
        <v>41</v>
      </c>
      <c r="M192" s="34">
        <v>25111</v>
      </c>
      <c r="N192" s="67" t="s">
        <v>42</v>
      </c>
    </row>
    <row r="193" spans="2:14" ht="32" x14ac:dyDescent="0.2">
      <c r="B193" s="130" t="s">
        <v>43</v>
      </c>
      <c r="C193" s="19" t="s">
        <v>40</v>
      </c>
      <c r="G193" s="62"/>
      <c r="H193" s="61"/>
      <c r="K193" s="34" t="s">
        <v>0</v>
      </c>
      <c r="L193" s="62" t="s">
        <v>41</v>
      </c>
      <c r="M193" s="34">
        <v>25111</v>
      </c>
      <c r="N193" s="67" t="s">
        <v>42</v>
      </c>
    </row>
    <row r="194" spans="2:14" ht="17" x14ac:dyDescent="0.2">
      <c r="B194" s="128" t="s">
        <v>44</v>
      </c>
      <c r="C194" s="19"/>
      <c r="N194" s="67" t="s">
        <v>45</v>
      </c>
    </row>
    <row r="195" spans="2:14" ht="17" x14ac:dyDescent="0.2">
      <c r="B195" s="130" t="s">
        <v>46</v>
      </c>
      <c r="C195" s="19" t="s">
        <v>40</v>
      </c>
      <c r="K195" s="34" t="s">
        <v>0</v>
      </c>
      <c r="L195" s="62" t="s">
        <v>41</v>
      </c>
      <c r="M195" s="34">
        <v>25111</v>
      </c>
      <c r="N195" s="67" t="s">
        <v>42</v>
      </c>
    </row>
    <row r="196" spans="2:14" ht="17" x14ac:dyDescent="0.2">
      <c r="B196" s="128" t="s">
        <v>47</v>
      </c>
      <c r="N196" s="67" t="s">
        <v>45</v>
      </c>
    </row>
    <row r="197" spans="2:14" ht="17" x14ac:dyDescent="0.2">
      <c r="B197" s="131" t="s">
        <v>48</v>
      </c>
      <c r="C197" s="19" t="s">
        <v>40</v>
      </c>
      <c r="K197" s="34" t="s">
        <v>0</v>
      </c>
      <c r="L197" s="62" t="s">
        <v>41</v>
      </c>
      <c r="M197" s="34">
        <v>25111</v>
      </c>
      <c r="N197" s="67" t="s">
        <v>42</v>
      </c>
    </row>
    <row r="198" spans="2:14" ht="17" x14ac:dyDescent="0.2">
      <c r="B198" s="131" t="s">
        <v>49</v>
      </c>
      <c r="C198" s="19" t="s">
        <v>40</v>
      </c>
      <c r="K198" s="34" t="s">
        <v>0</v>
      </c>
      <c r="L198" s="62" t="s">
        <v>41</v>
      </c>
      <c r="M198" s="34">
        <v>25111</v>
      </c>
      <c r="N198" s="67" t="s">
        <v>42</v>
      </c>
    </row>
    <row r="199" spans="2:14" ht="34" x14ac:dyDescent="0.2">
      <c r="B199" s="131" t="s">
        <v>50</v>
      </c>
      <c r="C199" s="19" t="s">
        <v>40</v>
      </c>
      <c r="K199" s="34" t="s">
        <v>0</v>
      </c>
      <c r="L199" s="62" t="s">
        <v>41</v>
      </c>
      <c r="M199" s="34">
        <v>25111</v>
      </c>
      <c r="N199" s="67" t="s">
        <v>42</v>
      </c>
    </row>
    <row r="200" spans="2:14" ht="17" x14ac:dyDescent="0.2">
      <c r="B200" s="128" t="s">
        <v>51</v>
      </c>
      <c r="C200" s="19"/>
      <c r="N200" s="67" t="s">
        <v>45</v>
      </c>
    </row>
    <row r="201" spans="2:14" ht="30" customHeight="1" x14ac:dyDescent="0.2">
      <c r="B201" s="131" t="s">
        <v>52</v>
      </c>
      <c r="C201" s="19" t="s">
        <v>40</v>
      </c>
      <c r="K201" s="34" t="s">
        <v>0</v>
      </c>
      <c r="L201" s="62" t="s">
        <v>41</v>
      </c>
      <c r="M201" s="34">
        <v>25111</v>
      </c>
      <c r="N201" s="67" t="s">
        <v>42</v>
      </c>
    </row>
    <row r="202" spans="2:14" ht="17" x14ac:dyDescent="0.2">
      <c r="B202" s="132" t="s">
        <v>53</v>
      </c>
      <c r="C202" s="19"/>
      <c r="N202" s="67" t="s">
        <v>45</v>
      </c>
    </row>
    <row r="203" spans="2:14" ht="51" x14ac:dyDescent="0.2">
      <c r="B203" s="133" t="s">
        <v>54</v>
      </c>
      <c r="C203" s="19" t="s">
        <v>40</v>
      </c>
      <c r="K203" s="34" t="s">
        <v>0</v>
      </c>
      <c r="L203" s="62" t="s">
        <v>41</v>
      </c>
      <c r="M203" s="34">
        <v>25111</v>
      </c>
      <c r="N203" s="67" t="s">
        <v>42</v>
      </c>
    </row>
    <row r="204" spans="2:14" ht="17" x14ac:dyDescent="0.2">
      <c r="B204" s="128" t="s">
        <v>55</v>
      </c>
      <c r="C204" s="19"/>
      <c r="N204" s="67" t="s">
        <v>45</v>
      </c>
    </row>
    <row r="205" spans="2:14" ht="51" x14ac:dyDescent="0.2">
      <c r="B205" s="134" t="s">
        <v>56</v>
      </c>
      <c r="C205" s="19" t="s">
        <v>57</v>
      </c>
      <c r="K205" s="34" t="s">
        <v>0</v>
      </c>
      <c r="L205" s="62" t="s">
        <v>41</v>
      </c>
      <c r="M205" s="34">
        <v>25111</v>
      </c>
      <c r="N205" s="67" t="s">
        <v>42</v>
      </c>
    </row>
    <row r="206" spans="2:14" ht="17" x14ac:dyDescent="0.2">
      <c r="B206" s="128" t="s">
        <v>58</v>
      </c>
      <c r="N206" s="67" t="s">
        <v>45</v>
      </c>
    </row>
    <row r="207" spans="2:14" ht="51" x14ac:dyDescent="0.2">
      <c r="B207" s="131" t="s">
        <v>59</v>
      </c>
      <c r="C207" s="19" t="s">
        <v>40</v>
      </c>
      <c r="K207" s="34" t="s">
        <v>0</v>
      </c>
      <c r="L207" s="62" t="s">
        <v>41</v>
      </c>
      <c r="M207" s="34">
        <v>25111</v>
      </c>
      <c r="N207" s="67" t="s">
        <v>42</v>
      </c>
    </row>
    <row r="208" spans="2:14" ht="17" x14ac:dyDescent="0.2">
      <c r="B208" s="132" t="s">
        <v>60</v>
      </c>
      <c r="C208" s="19"/>
      <c r="N208" s="67" t="s">
        <v>45</v>
      </c>
    </row>
    <row r="209" spans="2:14" ht="17" x14ac:dyDescent="0.2">
      <c r="B209" s="135" t="s">
        <v>61</v>
      </c>
      <c r="C209" s="19" t="s">
        <v>40</v>
      </c>
      <c r="K209" s="34" t="s">
        <v>0</v>
      </c>
      <c r="L209" s="62" t="s">
        <v>41</v>
      </c>
      <c r="M209" s="34">
        <v>25111</v>
      </c>
      <c r="N209" s="67" t="s">
        <v>42</v>
      </c>
    </row>
    <row r="210" spans="2:14" ht="17" x14ac:dyDescent="0.2">
      <c r="B210" s="136" t="s">
        <v>62</v>
      </c>
      <c r="C210" s="19" t="s">
        <v>40</v>
      </c>
      <c r="K210" s="34" t="s">
        <v>0</v>
      </c>
      <c r="L210" s="62" t="s">
        <v>41</v>
      </c>
      <c r="M210" s="34">
        <v>25111</v>
      </c>
      <c r="N210" s="67" t="s">
        <v>42</v>
      </c>
    </row>
    <row r="211" spans="2:14" ht="96" x14ac:dyDescent="0.2">
      <c r="B211" s="137" t="s">
        <v>63</v>
      </c>
      <c r="C211" s="19" t="s">
        <v>40</v>
      </c>
      <c r="K211" s="34" t="s">
        <v>0</v>
      </c>
      <c r="L211" s="62" t="s">
        <v>41</v>
      </c>
      <c r="M211" s="34">
        <v>25111</v>
      </c>
      <c r="N211" s="67" t="s">
        <v>42</v>
      </c>
    </row>
    <row r="212" spans="2:14" ht="17" x14ac:dyDescent="0.2">
      <c r="B212" s="136" t="s">
        <v>64</v>
      </c>
      <c r="C212" s="19" t="s">
        <v>40</v>
      </c>
      <c r="K212" s="34" t="s">
        <v>0</v>
      </c>
      <c r="L212" s="62" t="s">
        <v>41</v>
      </c>
      <c r="M212" s="34">
        <v>25111</v>
      </c>
      <c r="N212" s="67" t="s">
        <v>42</v>
      </c>
    </row>
    <row r="213" spans="2:14" ht="17" x14ac:dyDescent="0.2">
      <c r="B213" s="128" t="s">
        <v>65</v>
      </c>
      <c r="N213" s="67" t="s">
        <v>45</v>
      </c>
    </row>
    <row r="214" spans="2:14" ht="17" x14ac:dyDescent="0.2">
      <c r="B214" s="237" t="s">
        <v>66</v>
      </c>
      <c r="C214" s="19" t="s">
        <v>40</v>
      </c>
      <c r="K214" s="34" t="s">
        <v>0</v>
      </c>
      <c r="L214" s="62" t="s">
        <v>41</v>
      </c>
      <c r="M214" s="34">
        <v>25111</v>
      </c>
      <c r="N214" s="67" t="s">
        <v>42</v>
      </c>
    </row>
    <row r="215" spans="2:14" ht="17" x14ac:dyDescent="0.2">
      <c r="B215" s="138" t="s">
        <v>67</v>
      </c>
      <c r="C215" s="19" t="s">
        <v>40</v>
      </c>
      <c r="K215" s="34" t="s">
        <v>0</v>
      </c>
      <c r="L215" s="62" t="s">
        <v>41</v>
      </c>
      <c r="M215" s="34">
        <v>25111</v>
      </c>
      <c r="N215" s="67" t="s">
        <v>42</v>
      </c>
    </row>
    <row r="216" spans="2:14" ht="17" x14ac:dyDescent="0.2">
      <c r="B216" s="138" t="s">
        <v>68</v>
      </c>
      <c r="C216" s="19" t="s">
        <v>40</v>
      </c>
      <c r="K216" s="34" t="s">
        <v>0</v>
      </c>
      <c r="L216" s="62" t="s">
        <v>41</v>
      </c>
      <c r="M216" s="34">
        <v>25111</v>
      </c>
      <c r="N216" s="67" t="s">
        <v>42</v>
      </c>
    </row>
    <row r="217" spans="2:14" ht="17" x14ac:dyDescent="0.2">
      <c r="B217" s="138" t="s">
        <v>69</v>
      </c>
      <c r="C217" s="19" t="s">
        <v>40</v>
      </c>
      <c r="K217" s="34" t="s">
        <v>0</v>
      </c>
      <c r="L217" s="62" t="s">
        <v>41</v>
      </c>
      <c r="M217" s="34">
        <v>25111</v>
      </c>
      <c r="N217" s="67" t="s">
        <v>42</v>
      </c>
    </row>
    <row r="218" spans="2:14" ht="17" x14ac:dyDescent="0.2">
      <c r="B218" s="138" t="s">
        <v>70</v>
      </c>
      <c r="C218" s="19" t="s">
        <v>40</v>
      </c>
      <c r="K218" s="34" t="s">
        <v>0</v>
      </c>
      <c r="L218" s="62" t="s">
        <v>41</v>
      </c>
      <c r="M218" s="34">
        <v>25111</v>
      </c>
      <c r="N218" s="67" t="s">
        <v>42</v>
      </c>
    </row>
    <row r="219" spans="2:14" ht="17" x14ac:dyDescent="0.2">
      <c r="B219" s="138" t="s">
        <v>71</v>
      </c>
      <c r="C219" s="19" t="s">
        <v>40</v>
      </c>
      <c r="K219" s="34" t="s">
        <v>0</v>
      </c>
      <c r="L219" s="62" t="s">
        <v>41</v>
      </c>
      <c r="M219" s="34">
        <v>25111</v>
      </c>
      <c r="N219" s="67" t="s">
        <v>42</v>
      </c>
    </row>
    <row r="220" spans="2:14" ht="17" x14ac:dyDescent="0.2">
      <c r="B220" s="139" t="s">
        <v>72</v>
      </c>
      <c r="C220" s="19" t="s">
        <v>40</v>
      </c>
      <c r="K220" s="34" t="s">
        <v>0</v>
      </c>
      <c r="L220" s="62" t="s">
        <v>41</v>
      </c>
      <c r="M220" s="34">
        <v>25111</v>
      </c>
      <c r="N220" s="67" t="s">
        <v>42</v>
      </c>
    </row>
    <row r="221" spans="2:14" ht="17" x14ac:dyDescent="0.2">
      <c r="B221" s="237" t="s">
        <v>73</v>
      </c>
      <c r="C221" s="19" t="s">
        <v>40</v>
      </c>
      <c r="K221" s="34" t="s">
        <v>0</v>
      </c>
      <c r="L221" s="62" t="s">
        <v>41</v>
      </c>
      <c r="M221" s="34">
        <v>25111</v>
      </c>
      <c r="N221" s="67" t="s">
        <v>42</v>
      </c>
    </row>
    <row r="222" spans="2:14" ht="17" x14ac:dyDescent="0.2">
      <c r="B222" s="139" t="s">
        <v>74</v>
      </c>
      <c r="C222" s="19" t="s">
        <v>40</v>
      </c>
      <c r="K222" s="34" t="s">
        <v>0</v>
      </c>
      <c r="L222" s="62" t="s">
        <v>41</v>
      </c>
      <c r="M222" s="34">
        <v>25111</v>
      </c>
      <c r="N222" s="67" t="s">
        <v>42</v>
      </c>
    </row>
    <row r="223" spans="2:14" ht="17" x14ac:dyDescent="0.2">
      <c r="B223" s="139" t="s">
        <v>75</v>
      </c>
      <c r="C223" s="19" t="s">
        <v>40</v>
      </c>
      <c r="K223" s="34" t="s">
        <v>0</v>
      </c>
      <c r="L223" s="62" t="s">
        <v>41</v>
      </c>
      <c r="M223" s="34">
        <v>25111</v>
      </c>
      <c r="N223" s="67" t="s">
        <v>42</v>
      </c>
    </row>
    <row r="224" spans="2:14" ht="17" x14ac:dyDescent="0.2">
      <c r="B224" s="138" t="s">
        <v>76</v>
      </c>
      <c r="C224" s="19" t="s">
        <v>40</v>
      </c>
      <c r="K224" s="34" t="s">
        <v>0</v>
      </c>
      <c r="L224" s="62" t="s">
        <v>41</v>
      </c>
      <c r="M224" s="34">
        <v>25111</v>
      </c>
      <c r="N224" s="67" t="s">
        <v>42</v>
      </c>
    </row>
    <row r="225" spans="2:14" ht="85" x14ac:dyDescent="0.2">
      <c r="B225" s="138" t="s">
        <v>77</v>
      </c>
      <c r="C225" s="19" t="s">
        <v>40</v>
      </c>
      <c r="K225" s="34" t="s">
        <v>0</v>
      </c>
      <c r="L225" s="62" t="s">
        <v>41</v>
      </c>
      <c r="M225" s="34">
        <v>25111</v>
      </c>
      <c r="N225" s="67" t="s">
        <v>42</v>
      </c>
    </row>
    <row r="226" spans="2:14" ht="17" x14ac:dyDescent="0.2">
      <c r="B226" s="138" t="s">
        <v>78</v>
      </c>
      <c r="C226" s="19" t="s">
        <v>40</v>
      </c>
      <c r="K226" s="34" t="s">
        <v>0</v>
      </c>
      <c r="L226" s="62" t="s">
        <v>41</v>
      </c>
      <c r="M226" s="34">
        <v>25111</v>
      </c>
      <c r="N226" s="67" t="s">
        <v>42</v>
      </c>
    </row>
    <row r="227" spans="2:14" ht="17" x14ac:dyDescent="0.2">
      <c r="B227" s="138" t="s">
        <v>79</v>
      </c>
      <c r="C227" s="19" t="s">
        <v>40</v>
      </c>
      <c r="K227" s="34" t="s">
        <v>0</v>
      </c>
      <c r="L227" s="62" t="s">
        <v>41</v>
      </c>
      <c r="M227" s="34">
        <v>25111</v>
      </c>
      <c r="N227" s="67" t="s">
        <v>42</v>
      </c>
    </row>
    <row r="228" spans="2:14" ht="17" x14ac:dyDescent="0.2">
      <c r="B228" s="138" t="s">
        <v>80</v>
      </c>
      <c r="C228" s="19" t="s">
        <v>40</v>
      </c>
      <c r="K228" s="34" t="s">
        <v>0</v>
      </c>
      <c r="L228" s="62" t="s">
        <v>41</v>
      </c>
      <c r="M228" s="34">
        <v>25111</v>
      </c>
      <c r="N228" s="67" t="s">
        <v>42</v>
      </c>
    </row>
    <row r="229" spans="2:14" ht="17" x14ac:dyDescent="0.2">
      <c r="B229" s="138" t="s">
        <v>81</v>
      </c>
      <c r="C229" s="19" t="s">
        <v>40</v>
      </c>
      <c r="K229" s="34" t="s">
        <v>0</v>
      </c>
      <c r="L229" s="62" t="s">
        <v>41</v>
      </c>
      <c r="M229" s="34">
        <v>25111</v>
      </c>
      <c r="N229" s="67" t="s">
        <v>42</v>
      </c>
    </row>
    <row r="230" spans="2:14" ht="17" x14ac:dyDescent="0.2">
      <c r="B230" s="138" t="s">
        <v>82</v>
      </c>
      <c r="C230" s="19" t="s">
        <v>40</v>
      </c>
      <c r="K230" s="34" t="s">
        <v>0</v>
      </c>
      <c r="L230" s="62" t="s">
        <v>41</v>
      </c>
      <c r="M230" s="34">
        <v>25111</v>
      </c>
      <c r="N230" s="67" t="s">
        <v>42</v>
      </c>
    </row>
    <row r="231" spans="2:14" ht="17" x14ac:dyDescent="0.2">
      <c r="B231" s="138" t="s">
        <v>83</v>
      </c>
      <c r="C231" s="19" t="s">
        <v>40</v>
      </c>
      <c r="K231" s="34" t="s">
        <v>0</v>
      </c>
      <c r="L231" s="62" t="s">
        <v>41</v>
      </c>
      <c r="M231" s="34">
        <v>25111</v>
      </c>
      <c r="N231" s="67" t="s">
        <v>42</v>
      </c>
    </row>
    <row r="232" spans="2:14" ht="17" x14ac:dyDescent="0.2">
      <c r="B232" s="138" t="s">
        <v>84</v>
      </c>
      <c r="C232" s="19" t="s">
        <v>40</v>
      </c>
      <c r="K232" s="34" t="s">
        <v>0</v>
      </c>
      <c r="L232" s="62" t="s">
        <v>41</v>
      </c>
      <c r="M232" s="34">
        <v>25111</v>
      </c>
      <c r="N232" s="67" t="s">
        <v>42</v>
      </c>
    </row>
    <row r="233" spans="2:14" ht="17" x14ac:dyDescent="0.2">
      <c r="B233" s="139" t="s">
        <v>85</v>
      </c>
      <c r="C233" s="19" t="s">
        <v>40</v>
      </c>
      <c r="K233" s="34" t="s">
        <v>0</v>
      </c>
      <c r="L233" s="62" t="s">
        <v>41</v>
      </c>
      <c r="M233" s="34">
        <v>25111</v>
      </c>
      <c r="N233" s="67" t="s">
        <v>42</v>
      </c>
    </row>
    <row r="234" spans="2:14" ht="17" x14ac:dyDescent="0.2">
      <c r="B234" s="140" t="s">
        <v>86</v>
      </c>
      <c r="N234" s="67" t="s">
        <v>45</v>
      </c>
    </row>
    <row r="235" spans="2:14" ht="17" x14ac:dyDescent="0.2">
      <c r="B235" s="141" t="s">
        <v>87</v>
      </c>
      <c r="C235" s="19" t="s">
        <v>40</v>
      </c>
      <c r="K235" s="34" t="s">
        <v>0</v>
      </c>
      <c r="L235" s="62" t="s">
        <v>41</v>
      </c>
      <c r="M235" s="34">
        <v>25111</v>
      </c>
      <c r="N235" s="67" t="s">
        <v>42</v>
      </c>
    </row>
    <row r="236" spans="2:14" ht="32" x14ac:dyDescent="0.2">
      <c r="B236" s="140" t="s">
        <v>88</v>
      </c>
      <c r="C236" s="19"/>
      <c r="N236" s="67" t="s">
        <v>45</v>
      </c>
    </row>
    <row r="237" spans="2:14" ht="32" x14ac:dyDescent="0.2">
      <c r="B237" s="142" t="s">
        <v>89</v>
      </c>
      <c r="C237" s="19" t="s">
        <v>40</v>
      </c>
      <c r="K237" s="34" t="s">
        <v>0</v>
      </c>
      <c r="L237" s="62" t="s">
        <v>41</v>
      </c>
      <c r="M237" s="34">
        <v>25111</v>
      </c>
      <c r="N237" s="67" t="s">
        <v>42</v>
      </c>
    </row>
    <row r="238" spans="2:14" ht="17" x14ac:dyDescent="0.2">
      <c r="B238" s="140" t="s">
        <v>90</v>
      </c>
      <c r="C238" s="19"/>
      <c r="N238" s="67" t="s">
        <v>45</v>
      </c>
    </row>
    <row r="239" spans="2:14" ht="32" x14ac:dyDescent="0.2">
      <c r="B239" s="142" t="s">
        <v>91</v>
      </c>
      <c r="C239" s="19" t="s">
        <v>40</v>
      </c>
      <c r="K239" s="34" t="s">
        <v>92</v>
      </c>
      <c r="L239" s="62" t="s">
        <v>41</v>
      </c>
      <c r="M239" s="34">
        <v>25111</v>
      </c>
      <c r="N239" s="67" t="s">
        <v>42</v>
      </c>
    </row>
    <row r="240" spans="2:14" ht="17" x14ac:dyDescent="0.2">
      <c r="B240" s="140" t="s">
        <v>93</v>
      </c>
      <c r="C240" s="19"/>
      <c r="N240" s="67" t="s">
        <v>45</v>
      </c>
    </row>
    <row r="241" spans="2:14" ht="32" x14ac:dyDescent="0.2">
      <c r="B241" s="142" t="s">
        <v>94</v>
      </c>
      <c r="C241" s="19" t="s">
        <v>40</v>
      </c>
      <c r="K241" s="34" t="s">
        <v>92</v>
      </c>
      <c r="L241" s="62" t="s">
        <v>41</v>
      </c>
      <c r="M241" s="34">
        <v>25111</v>
      </c>
      <c r="N241" s="67" t="s">
        <v>42</v>
      </c>
    </row>
    <row r="242" spans="2:14" ht="48" x14ac:dyDescent="0.2">
      <c r="B242" s="143" t="s">
        <v>95</v>
      </c>
      <c r="C242" s="19" t="s">
        <v>40</v>
      </c>
      <c r="K242" s="34" t="s">
        <v>92</v>
      </c>
      <c r="L242" s="62" t="s">
        <v>41</v>
      </c>
      <c r="M242" s="34">
        <v>25111</v>
      </c>
      <c r="N242" s="67" t="s">
        <v>42</v>
      </c>
    </row>
    <row r="243" spans="2:14" ht="17" x14ac:dyDescent="0.2">
      <c r="B243" s="144" t="s">
        <v>96</v>
      </c>
      <c r="C243" s="19" t="s">
        <v>40</v>
      </c>
      <c r="K243" s="34" t="s">
        <v>92</v>
      </c>
      <c r="L243" s="62" t="s">
        <v>41</v>
      </c>
      <c r="M243" s="34">
        <v>25111</v>
      </c>
      <c r="N243" s="67" t="s">
        <v>42</v>
      </c>
    </row>
    <row r="244" spans="2:14" ht="32" x14ac:dyDescent="0.2">
      <c r="B244" s="143" t="s">
        <v>97</v>
      </c>
      <c r="C244" s="19" t="s">
        <v>40</v>
      </c>
      <c r="K244" s="34" t="s">
        <v>92</v>
      </c>
      <c r="L244" s="62" t="s">
        <v>41</v>
      </c>
      <c r="M244" s="34">
        <v>25111</v>
      </c>
      <c r="N244" s="67" t="s">
        <v>42</v>
      </c>
    </row>
    <row r="245" spans="2:14" ht="17" x14ac:dyDescent="0.2">
      <c r="B245" s="142" t="s">
        <v>98</v>
      </c>
      <c r="C245" s="19" t="s">
        <v>40</v>
      </c>
      <c r="K245" s="34" t="s">
        <v>92</v>
      </c>
      <c r="L245" s="62" t="s">
        <v>41</v>
      </c>
      <c r="M245" s="34">
        <v>25111</v>
      </c>
      <c r="N245" s="67" t="s">
        <v>42</v>
      </c>
    </row>
    <row r="246" spans="2:14" ht="17" x14ac:dyDescent="0.2">
      <c r="B246" s="144" t="s">
        <v>99</v>
      </c>
      <c r="C246" s="19" t="s">
        <v>40</v>
      </c>
      <c r="K246" s="34" t="s">
        <v>92</v>
      </c>
      <c r="L246" s="62" t="s">
        <v>41</v>
      </c>
      <c r="M246" s="34">
        <v>25111</v>
      </c>
      <c r="N246" s="67" t="s">
        <v>42</v>
      </c>
    </row>
    <row r="247" spans="2:14" ht="17" x14ac:dyDescent="0.2">
      <c r="B247" s="143" t="s">
        <v>100</v>
      </c>
      <c r="C247" s="19" t="s">
        <v>40</v>
      </c>
      <c r="K247" s="34" t="s">
        <v>92</v>
      </c>
      <c r="L247" s="62" t="s">
        <v>41</v>
      </c>
      <c r="M247" s="34">
        <v>25111</v>
      </c>
      <c r="N247" s="67" t="s">
        <v>42</v>
      </c>
    </row>
    <row r="248" spans="2:14" ht="17" x14ac:dyDescent="0.2">
      <c r="B248" s="140" t="s">
        <v>101</v>
      </c>
      <c r="L248" s="62" t="s">
        <v>41</v>
      </c>
      <c r="M248" s="34">
        <v>25111</v>
      </c>
      <c r="N248" s="67" t="s">
        <v>45</v>
      </c>
    </row>
    <row r="249" spans="2:14" ht="17" x14ac:dyDescent="0.2">
      <c r="B249" s="141" t="s">
        <v>87</v>
      </c>
      <c r="C249" s="19" t="s">
        <v>40</v>
      </c>
      <c r="K249" s="34" t="s">
        <v>0</v>
      </c>
      <c r="L249" s="62" t="s">
        <v>41</v>
      </c>
      <c r="M249" s="34">
        <v>25111</v>
      </c>
      <c r="N249" s="67" t="s">
        <v>42</v>
      </c>
    </row>
    <row r="250" spans="2:14" ht="32" x14ac:dyDescent="0.2">
      <c r="B250" s="142" t="s">
        <v>102</v>
      </c>
      <c r="C250" s="19" t="s">
        <v>40</v>
      </c>
      <c r="K250" s="34" t="s">
        <v>0</v>
      </c>
      <c r="L250" s="62" t="s">
        <v>41</v>
      </c>
      <c r="M250" s="34">
        <v>25111</v>
      </c>
      <c r="N250" s="67" t="s">
        <v>42</v>
      </c>
    </row>
    <row r="251" spans="2:14" ht="48" x14ac:dyDescent="0.2">
      <c r="B251" s="143" t="s">
        <v>103</v>
      </c>
      <c r="C251" s="19" t="s">
        <v>40</v>
      </c>
      <c r="K251" s="34" t="s">
        <v>0</v>
      </c>
      <c r="L251" s="62" t="s">
        <v>41</v>
      </c>
      <c r="M251" s="34">
        <v>25111</v>
      </c>
      <c r="N251" s="67" t="s">
        <v>42</v>
      </c>
    </row>
    <row r="252" spans="2:14" ht="17" x14ac:dyDescent="0.2">
      <c r="B252" s="144" t="s">
        <v>96</v>
      </c>
      <c r="C252" s="19" t="s">
        <v>40</v>
      </c>
      <c r="K252" s="34" t="s">
        <v>0</v>
      </c>
      <c r="L252" s="62" t="s">
        <v>41</v>
      </c>
      <c r="M252" s="34">
        <v>25111</v>
      </c>
      <c r="N252" s="67" t="s">
        <v>42</v>
      </c>
    </row>
    <row r="253" spans="2:14" ht="32" x14ac:dyDescent="0.2">
      <c r="B253" s="143" t="s">
        <v>104</v>
      </c>
      <c r="C253" s="19" t="s">
        <v>40</v>
      </c>
      <c r="K253" s="34" t="s">
        <v>0</v>
      </c>
      <c r="L253" s="62" t="s">
        <v>41</v>
      </c>
      <c r="M253" s="34">
        <v>25111</v>
      </c>
      <c r="N253" s="67" t="s">
        <v>42</v>
      </c>
    </row>
    <row r="254" spans="2:14" ht="32" x14ac:dyDescent="0.2">
      <c r="B254" s="142" t="s">
        <v>105</v>
      </c>
      <c r="C254" s="19" t="s">
        <v>40</v>
      </c>
      <c r="K254" s="34" t="s">
        <v>0</v>
      </c>
      <c r="L254" s="62" t="s">
        <v>41</v>
      </c>
      <c r="M254" s="34">
        <v>25111</v>
      </c>
      <c r="N254" s="67" t="s">
        <v>42</v>
      </c>
    </row>
    <row r="255" spans="2:14" ht="17" x14ac:dyDescent="0.2">
      <c r="B255" s="144" t="s">
        <v>99</v>
      </c>
      <c r="C255" s="19" t="s">
        <v>40</v>
      </c>
      <c r="K255" s="34" t="s">
        <v>0</v>
      </c>
      <c r="L255" s="62" t="s">
        <v>41</v>
      </c>
      <c r="M255" s="34">
        <v>25111</v>
      </c>
      <c r="N255" s="67" t="s">
        <v>42</v>
      </c>
    </row>
    <row r="256" spans="2:14" ht="17" x14ac:dyDescent="0.2">
      <c r="B256" s="143" t="s">
        <v>106</v>
      </c>
      <c r="C256" s="19" t="s">
        <v>40</v>
      </c>
      <c r="K256" s="34" t="s">
        <v>0</v>
      </c>
      <c r="L256" s="62" t="s">
        <v>41</v>
      </c>
      <c r="M256" s="34">
        <v>25111</v>
      </c>
      <c r="N256" s="67" t="s">
        <v>42</v>
      </c>
    </row>
    <row r="257" spans="2:14" ht="17" x14ac:dyDescent="0.2">
      <c r="B257" s="140" t="s">
        <v>107</v>
      </c>
      <c r="N257" s="67" t="s">
        <v>45</v>
      </c>
    </row>
    <row r="258" spans="2:14" ht="17" x14ac:dyDescent="0.2">
      <c r="B258" s="141" t="s">
        <v>87</v>
      </c>
      <c r="C258" s="19" t="s">
        <v>40</v>
      </c>
      <c r="K258" s="34" t="s">
        <v>0</v>
      </c>
      <c r="L258" s="62" t="s">
        <v>41</v>
      </c>
      <c r="M258" s="34">
        <v>25111</v>
      </c>
      <c r="N258" s="67" t="s">
        <v>42</v>
      </c>
    </row>
    <row r="259" spans="2:14" ht="32" x14ac:dyDescent="0.2">
      <c r="B259" s="142" t="s">
        <v>102</v>
      </c>
      <c r="C259" s="19" t="s">
        <v>40</v>
      </c>
      <c r="K259" s="34" t="s">
        <v>0</v>
      </c>
      <c r="L259" s="62" t="s">
        <v>41</v>
      </c>
      <c r="M259" s="34">
        <v>25111</v>
      </c>
      <c r="N259" s="67" t="s">
        <v>42</v>
      </c>
    </row>
    <row r="260" spans="2:14" ht="48" x14ac:dyDescent="0.2">
      <c r="B260" s="143" t="s">
        <v>108</v>
      </c>
      <c r="C260" s="19" t="s">
        <v>40</v>
      </c>
      <c r="K260" s="34" t="s">
        <v>0</v>
      </c>
      <c r="L260" s="62" t="s">
        <v>41</v>
      </c>
      <c r="M260" s="34">
        <v>25111</v>
      </c>
      <c r="N260" s="67" t="s">
        <v>42</v>
      </c>
    </row>
    <row r="261" spans="2:14" ht="17" x14ac:dyDescent="0.2">
      <c r="B261" s="144" t="s">
        <v>96</v>
      </c>
      <c r="C261" s="19" t="s">
        <v>40</v>
      </c>
      <c r="K261" s="34" t="s">
        <v>0</v>
      </c>
      <c r="L261" s="62" t="s">
        <v>41</v>
      </c>
      <c r="M261" s="34">
        <v>25111</v>
      </c>
      <c r="N261" s="67" t="s">
        <v>42</v>
      </c>
    </row>
    <row r="262" spans="2:14" ht="32" x14ac:dyDescent="0.2">
      <c r="B262" s="143" t="s">
        <v>109</v>
      </c>
      <c r="C262" s="19" t="s">
        <v>40</v>
      </c>
      <c r="K262" s="34" t="s">
        <v>0</v>
      </c>
      <c r="L262" s="62" t="s">
        <v>41</v>
      </c>
      <c r="M262" s="34">
        <v>25111</v>
      </c>
      <c r="N262" s="67" t="s">
        <v>42</v>
      </c>
    </row>
    <row r="263" spans="2:14" ht="32" x14ac:dyDescent="0.2">
      <c r="B263" s="142" t="s">
        <v>110</v>
      </c>
      <c r="C263" s="19" t="s">
        <v>40</v>
      </c>
      <c r="K263" s="34" t="s">
        <v>0</v>
      </c>
      <c r="L263" s="62" t="s">
        <v>41</v>
      </c>
      <c r="M263" s="34">
        <v>25111</v>
      </c>
      <c r="N263" s="67" t="s">
        <v>42</v>
      </c>
    </row>
    <row r="264" spans="2:14" ht="17" x14ac:dyDescent="0.2">
      <c r="B264" s="144" t="s">
        <v>99</v>
      </c>
      <c r="C264" s="19" t="s">
        <v>40</v>
      </c>
      <c r="K264" s="34" t="s">
        <v>0</v>
      </c>
      <c r="L264" s="62" t="s">
        <v>41</v>
      </c>
      <c r="M264" s="34">
        <v>25111</v>
      </c>
      <c r="N264" s="67" t="s">
        <v>42</v>
      </c>
    </row>
    <row r="265" spans="2:14" ht="17" x14ac:dyDescent="0.2">
      <c r="B265" s="143" t="s">
        <v>111</v>
      </c>
      <c r="C265" s="19" t="s">
        <v>40</v>
      </c>
      <c r="L265" s="62" t="s">
        <v>41</v>
      </c>
      <c r="M265" s="34">
        <v>25111</v>
      </c>
      <c r="N265" s="67" t="s">
        <v>42</v>
      </c>
    </row>
    <row r="266" spans="2:14" ht="17" x14ac:dyDescent="0.2">
      <c r="B266" s="140" t="s">
        <v>112</v>
      </c>
      <c r="N266" s="67" t="s">
        <v>45</v>
      </c>
    </row>
    <row r="267" spans="2:14" ht="17" x14ac:dyDescent="0.2">
      <c r="B267" s="141" t="s">
        <v>87</v>
      </c>
      <c r="C267" s="19" t="s">
        <v>40</v>
      </c>
      <c r="K267" s="34" t="s">
        <v>0</v>
      </c>
      <c r="L267" s="62" t="s">
        <v>41</v>
      </c>
      <c r="M267" s="34">
        <v>25111</v>
      </c>
      <c r="N267" s="67" t="s">
        <v>42</v>
      </c>
    </row>
    <row r="268" spans="2:14" ht="32" x14ac:dyDescent="0.2">
      <c r="B268" s="142" t="s">
        <v>102</v>
      </c>
      <c r="C268" s="19" t="s">
        <v>40</v>
      </c>
      <c r="K268" s="34" t="s">
        <v>0</v>
      </c>
      <c r="L268" s="62" t="s">
        <v>41</v>
      </c>
      <c r="M268" s="34">
        <v>25111</v>
      </c>
      <c r="N268" s="67" t="s">
        <v>42</v>
      </c>
    </row>
    <row r="269" spans="2:14" ht="48" x14ac:dyDescent="0.2">
      <c r="B269" s="143" t="s">
        <v>113</v>
      </c>
      <c r="C269" s="19" t="s">
        <v>40</v>
      </c>
      <c r="K269" s="34" t="s">
        <v>0</v>
      </c>
      <c r="L269" s="62" t="s">
        <v>41</v>
      </c>
      <c r="M269" s="34">
        <v>25111</v>
      </c>
      <c r="N269" s="67" t="s">
        <v>42</v>
      </c>
    </row>
    <row r="270" spans="2:14" ht="17" x14ac:dyDescent="0.2">
      <c r="B270" s="144" t="s">
        <v>96</v>
      </c>
      <c r="C270" s="19" t="s">
        <v>40</v>
      </c>
      <c r="K270" s="34" t="s">
        <v>0</v>
      </c>
      <c r="L270" s="62" t="s">
        <v>41</v>
      </c>
      <c r="M270" s="34">
        <v>25111</v>
      </c>
      <c r="N270" s="67" t="s">
        <v>42</v>
      </c>
    </row>
    <row r="271" spans="2:14" ht="32" x14ac:dyDescent="0.2">
      <c r="B271" s="143" t="s">
        <v>97</v>
      </c>
      <c r="C271" s="19" t="s">
        <v>40</v>
      </c>
      <c r="K271" s="34" t="s">
        <v>0</v>
      </c>
      <c r="L271" s="62" t="s">
        <v>41</v>
      </c>
      <c r="M271" s="34">
        <v>25111</v>
      </c>
      <c r="N271" s="67" t="s">
        <v>42</v>
      </c>
    </row>
    <row r="272" spans="2:14" ht="32" x14ac:dyDescent="0.2">
      <c r="B272" s="142" t="s">
        <v>114</v>
      </c>
      <c r="C272" s="19" t="s">
        <v>40</v>
      </c>
      <c r="K272" s="34" t="s">
        <v>0</v>
      </c>
      <c r="L272" s="62" t="s">
        <v>41</v>
      </c>
      <c r="M272" s="34">
        <v>25111</v>
      </c>
      <c r="N272" s="67" t="s">
        <v>42</v>
      </c>
    </row>
    <row r="273" spans="2:14" ht="17" x14ac:dyDescent="0.2">
      <c r="B273" s="144" t="s">
        <v>99</v>
      </c>
      <c r="C273" s="19" t="s">
        <v>40</v>
      </c>
      <c r="K273" s="34" t="s">
        <v>0</v>
      </c>
      <c r="L273" s="62" t="s">
        <v>41</v>
      </c>
      <c r="M273" s="34">
        <v>25111</v>
      </c>
      <c r="N273" s="67" t="s">
        <v>42</v>
      </c>
    </row>
    <row r="274" spans="2:14" ht="17" x14ac:dyDescent="0.2">
      <c r="B274" s="143" t="s">
        <v>115</v>
      </c>
      <c r="C274" s="19" t="s">
        <v>40</v>
      </c>
      <c r="K274" s="34" t="s">
        <v>0</v>
      </c>
      <c r="L274" s="62" t="s">
        <v>41</v>
      </c>
      <c r="M274" s="34">
        <v>25111</v>
      </c>
      <c r="N274" s="67" t="s">
        <v>42</v>
      </c>
    </row>
    <row r="275" spans="2:14" ht="34" x14ac:dyDescent="0.2">
      <c r="B275" s="132" t="s">
        <v>116</v>
      </c>
      <c r="N275" s="67" t="s">
        <v>45</v>
      </c>
    </row>
    <row r="276" spans="2:14" ht="64" x14ac:dyDescent="0.2">
      <c r="B276" s="143" t="s">
        <v>117</v>
      </c>
      <c r="C276" s="19" t="s">
        <v>40</v>
      </c>
      <c r="K276" s="34" t="s">
        <v>92</v>
      </c>
      <c r="L276" s="62" t="s">
        <v>41</v>
      </c>
      <c r="M276" s="34">
        <v>25111</v>
      </c>
      <c r="N276" s="67" t="s">
        <v>42</v>
      </c>
    </row>
    <row r="277" spans="2:14" ht="64" x14ac:dyDescent="0.2">
      <c r="B277" s="143" t="s">
        <v>118</v>
      </c>
      <c r="C277" s="19" t="s">
        <v>40</v>
      </c>
      <c r="K277" s="34" t="s">
        <v>92</v>
      </c>
      <c r="L277" s="62" t="s">
        <v>41</v>
      </c>
      <c r="M277" s="34">
        <v>25111</v>
      </c>
      <c r="N277" s="67" t="s">
        <v>42</v>
      </c>
    </row>
    <row r="278" spans="2:14" ht="17" x14ac:dyDescent="0.2">
      <c r="B278" s="143" t="s">
        <v>119</v>
      </c>
      <c r="C278" s="19" t="s">
        <v>40</v>
      </c>
      <c r="K278" s="34" t="s">
        <v>92</v>
      </c>
      <c r="L278" s="62" t="s">
        <v>41</v>
      </c>
      <c r="M278" s="34">
        <v>25111</v>
      </c>
      <c r="N278" s="67" t="s">
        <v>42</v>
      </c>
    </row>
    <row r="279" spans="2:14" ht="32" x14ac:dyDescent="0.2">
      <c r="B279" s="143" t="s">
        <v>120</v>
      </c>
      <c r="C279" s="19" t="s">
        <v>40</v>
      </c>
      <c r="K279" s="34" t="s">
        <v>92</v>
      </c>
      <c r="L279" s="62" t="s">
        <v>41</v>
      </c>
      <c r="M279" s="34">
        <v>25111</v>
      </c>
      <c r="N279" s="67" t="s">
        <v>42</v>
      </c>
    </row>
    <row r="280" spans="2:14" ht="17" x14ac:dyDescent="0.2">
      <c r="B280" s="128" t="s">
        <v>121</v>
      </c>
      <c r="C280" s="19"/>
      <c r="N280" s="67" t="s">
        <v>45</v>
      </c>
    </row>
    <row r="281" spans="2:14" ht="17" x14ac:dyDescent="0.2">
      <c r="B281" s="145" t="s">
        <v>122</v>
      </c>
      <c r="C281" s="19" t="s">
        <v>40</v>
      </c>
      <c r="K281" s="34" t="s">
        <v>0</v>
      </c>
      <c r="L281" s="62" t="s">
        <v>41</v>
      </c>
      <c r="M281" s="34">
        <v>25111</v>
      </c>
      <c r="N281" s="67" t="s">
        <v>42</v>
      </c>
    </row>
    <row r="282" spans="2:14" ht="17" x14ac:dyDescent="0.2">
      <c r="B282" s="139" t="s">
        <v>123</v>
      </c>
      <c r="C282" s="19" t="s">
        <v>40</v>
      </c>
      <c r="K282" s="34" t="s">
        <v>0</v>
      </c>
      <c r="L282" s="62" t="s">
        <v>41</v>
      </c>
      <c r="M282" s="34">
        <v>25111</v>
      </c>
      <c r="N282" s="67" t="s">
        <v>42</v>
      </c>
    </row>
    <row r="283" spans="2:14" ht="34" x14ac:dyDescent="0.2">
      <c r="B283" s="139" t="s">
        <v>329</v>
      </c>
      <c r="C283" s="19" t="s">
        <v>40</v>
      </c>
      <c r="K283" s="34" t="s">
        <v>0</v>
      </c>
      <c r="L283" s="62" t="s">
        <v>41</v>
      </c>
      <c r="M283" s="34">
        <v>25111</v>
      </c>
      <c r="N283" s="67" t="s">
        <v>42</v>
      </c>
    </row>
    <row r="284" spans="2:14" ht="17" x14ac:dyDescent="0.2">
      <c r="B284" s="139" t="s">
        <v>125</v>
      </c>
      <c r="C284" s="19" t="s">
        <v>40</v>
      </c>
      <c r="K284" s="34" t="s">
        <v>0</v>
      </c>
      <c r="L284" s="62" t="s">
        <v>41</v>
      </c>
      <c r="M284" s="34">
        <v>25111</v>
      </c>
      <c r="N284" s="67" t="s">
        <v>42</v>
      </c>
    </row>
    <row r="285" spans="2:14" ht="17" x14ac:dyDescent="0.2">
      <c r="B285" s="145" t="s">
        <v>126</v>
      </c>
      <c r="C285" s="19" t="s">
        <v>40</v>
      </c>
      <c r="K285" s="34" t="s">
        <v>0</v>
      </c>
      <c r="L285" s="62" t="s">
        <v>41</v>
      </c>
      <c r="M285" s="34">
        <v>25111</v>
      </c>
      <c r="N285" s="67" t="s">
        <v>42</v>
      </c>
    </row>
    <row r="286" spans="2:14" ht="17" x14ac:dyDescent="0.2">
      <c r="B286" s="138" t="s">
        <v>127</v>
      </c>
      <c r="C286" s="19" t="s">
        <v>40</v>
      </c>
      <c r="K286" s="34" t="s">
        <v>0</v>
      </c>
      <c r="L286" s="62" t="s">
        <v>41</v>
      </c>
      <c r="M286" s="34">
        <v>25111</v>
      </c>
      <c r="N286" s="67" t="s">
        <v>42</v>
      </c>
    </row>
    <row r="287" spans="2:14" ht="17" x14ac:dyDescent="0.2">
      <c r="B287" s="138" t="s">
        <v>128</v>
      </c>
      <c r="C287" s="19" t="s">
        <v>40</v>
      </c>
      <c r="K287" s="34" t="s">
        <v>0</v>
      </c>
      <c r="L287" s="62" t="s">
        <v>41</v>
      </c>
      <c r="M287" s="34">
        <v>25111</v>
      </c>
      <c r="N287" s="67" t="s">
        <v>42</v>
      </c>
    </row>
    <row r="288" spans="2:14" ht="17" x14ac:dyDescent="0.2">
      <c r="B288" s="146" t="s">
        <v>129</v>
      </c>
      <c r="C288" s="19" t="s">
        <v>40</v>
      </c>
      <c r="K288" s="34" t="s">
        <v>0</v>
      </c>
      <c r="L288" s="62" t="s">
        <v>41</v>
      </c>
      <c r="M288" s="34">
        <v>25111</v>
      </c>
      <c r="N288" s="67" t="s">
        <v>42</v>
      </c>
    </row>
    <row r="289" spans="2:14" ht="17" x14ac:dyDescent="0.2">
      <c r="B289" s="138" t="s">
        <v>130</v>
      </c>
      <c r="C289" s="19" t="s">
        <v>40</v>
      </c>
      <c r="K289" s="34" t="s">
        <v>0</v>
      </c>
      <c r="L289" s="62" t="s">
        <v>41</v>
      </c>
      <c r="M289" s="34">
        <v>25111</v>
      </c>
      <c r="N289" s="67" t="s">
        <v>42</v>
      </c>
    </row>
    <row r="290" spans="2:14" ht="17" x14ac:dyDescent="0.2">
      <c r="B290" s="147" t="s">
        <v>131</v>
      </c>
      <c r="C290" s="19" t="s">
        <v>40</v>
      </c>
      <c r="K290" s="34" t="s">
        <v>0</v>
      </c>
      <c r="L290" s="62" t="s">
        <v>41</v>
      </c>
      <c r="M290" s="34">
        <v>25111</v>
      </c>
      <c r="N290" s="67" t="s">
        <v>42</v>
      </c>
    </row>
    <row r="291" spans="2:14" ht="17" x14ac:dyDescent="0.2">
      <c r="B291" s="147" t="s">
        <v>132</v>
      </c>
      <c r="C291" s="19" t="s">
        <v>40</v>
      </c>
      <c r="K291" s="34" t="s">
        <v>0</v>
      </c>
      <c r="L291" s="62" t="s">
        <v>41</v>
      </c>
      <c r="M291" s="34">
        <v>25111</v>
      </c>
      <c r="N291" s="67" t="s">
        <v>42</v>
      </c>
    </row>
    <row r="292" spans="2:14" ht="17" x14ac:dyDescent="0.2">
      <c r="B292" s="147" t="s">
        <v>133</v>
      </c>
      <c r="C292" s="19" t="s">
        <v>40</v>
      </c>
      <c r="K292" s="34" t="s">
        <v>0</v>
      </c>
      <c r="L292" s="62" t="s">
        <v>41</v>
      </c>
      <c r="M292" s="34">
        <v>25111</v>
      </c>
      <c r="N292" s="67" t="s">
        <v>42</v>
      </c>
    </row>
    <row r="293" spans="2:14" ht="17" x14ac:dyDescent="0.2">
      <c r="B293" s="147" t="s">
        <v>134</v>
      </c>
      <c r="C293" s="19" t="s">
        <v>40</v>
      </c>
      <c r="K293" s="34" t="s">
        <v>0</v>
      </c>
      <c r="L293" s="62" t="s">
        <v>41</v>
      </c>
      <c r="M293" s="34">
        <v>25111</v>
      </c>
      <c r="N293" s="67" t="s">
        <v>42</v>
      </c>
    </row>
    <row r="294" spans="2:14" ht="17" x14ac:dyDescent="0.2">
      <c r="B294" s="147" t="s">
        <v>135</v>
      </c>
      <c r="C294" s="19" t="s">
        <v>40</v>
      </c>
      <c r="K294" s="34" t="s">
        <v>0</v>
      </c>
      <c r="L294" s="62" t="s">
        <v>41</v>
      </c>
      <c r="M294" s="34">
        <v>25111</v>
      </c>
      <c r="N294" s="67" t="s">
        <v>42</v>
      </c>
    </row>
    <row r="295" spans="2:14" ht="17" x14ac:dyDescent="0.2">
      <c r="B295" s="147" t="s">
        <v>136</v>
      </c>
      <c r="C295" s="19" t="s">
        <v>40</v>
      </c>
      <c r="K295" s="34" t="s">
        <v>0</v>
      </c>
      <c r="L295" s="62" t="s">
        <v>41</v>
      </c>
      <c r="M295" s="34">
        <v>25111</v>
      </c>
      <c r="N295" s="67" t="s">
        <v>42</v>
      </c>
    </row>
    <row r="296" spans="2:14" ht="23" x14ac:dyDescent="0.3">
      <c r="B296" s="148" t="s">
        <v>137</v>
      </c>
      <c r="C296" s="19"/>
      <c r="N296" s="67" t="s">
        <v>45</v>
      </c>
    </row>
    <row r="297" spans="2:14" ht="23" x14ac:dyDescent="0.3">
      <c r="B297" s="148" t="s">
        <v>138</v>
      </c>
      <c r="C297" s="19"/>
      <c r="N297" s="67" t="s">
        <v>45</v>
      </c>
    </row>
    <row r="298" spans="2:14" ht="17" x14ac:dyDescent="0.2">
      <c r="B298" s="147" t="s">
        <v>330</v>
      </c>
      <c r="C298" s="19" t="s">
        <v>40</v>
      </c>
      <c r="K298" s="34" t="s">
        <v>0</v>
      </c>
      <c r="L298" s="62" t="s">
        <v>41</v>
      </c>
      <c r="M298" s="34">
        <v>25111</v>
      </c>
      <c r="N298" s="67" t="s">
        <v>42</v>
      </c>
    </row>
    <row r="299" spans="2:14" ht="34" x14ac:dyDescent="0.2">
      <c r="B299" s="147" t="s">
        <v>331</v>
      </c>
      <c r="C299" s="19" t="s">
        <v>40</v>
      </c>
      <c r="K299" s="34" t="s">
        <v>0</v>
      </c>
      <c r="L299" s="62" t="s">
        <v>41</v>
      </c>
      <c r="M299" s="34">
        <v>25111</v>
      </c>
      <c r="N299" s="67" t="s">
        <v>42</v>
      </c>
    </row>
    <row r="300" spans="2:14" ht="17" x14ac:dyDescent="0.2">
      <c r="B300" s="147" t="s">
        <v>332</v>
      </c>
      <c r="C300" s="19" t="s">
        <v>40</v>
      </c>
      <c r="K300" s="34" t="s">
        <v>0</v>
      </c>
      <c r="L300" s="62" t="s">
        <v>41</v>
      </c>
      <c r="M300" s="34">
        <v>25111</v>
      </c>
      <c r="N300" s="67" t="s">
        <v>42</v>
      </c>
    </row>
    <row r="301" spans="2:14" ht="17" x14ac:dyDescent="0.2">
      <c r="B301" s="147" t="s">
        <v>333</v>
      </c>
      <c r="C301" s="19" t="s">
        <v>40</v>
      </c>
      <c r="K301" s="34" t="s">
        <v>0</v>
      </c>
      <c r="L301" s="62" t="s">
        <v>41</v>
      </c>
      <c r="M301" s="34">
        <v>25111</v>
      </c>
      <c r="N301" s="67" t="s">
        <v>42</v>
      </c>
    </row>
    <row r="302" spans="2:14" ht="17" x14ac:dyDescent="0.2">
      <c r="B302" s="147" t="s">
        <v>143</v>
      </c>
      <c r="C302" s="19" t="s">
        <v>40</v>
      </c>
      <c r="K302" s="34" t="s">
        <v>0</v>
      </c>
      <c r="L302" s="62" t="s">
        <v>41</v>
      </c>
      <c r="M302" s="34">
        <v>25111</v>
      </c>
      <c r="N302" s="67" t="s">
        <v>42</v>
      </c>
    </row>
    <row r="303" spans="2:14" ht="23" x14ac:dyDescent="0.3">
      <c r="B303" s="148" t="s">
        <v>144</v>
      </c>
      <c r="C303" s="19"/>
      <c r="L303" s="62" t="s">
        <v>41</v>
      </c>
      <c r="M303" s="34">
        <v>25111</v>
      </c>
      <c r="N303" s="67" t="s">
        <v>45</v>
      </c>
    </row>
    <row r="304" spans="2:14" ht="17" x14ac:dyDescent="0.2">
      <c r="B304" s="147" t="s">
        <v>145</v>
      </c>
      <c r="C304" s="19" t="s">
        <v>40</v>
      </c>
      <c r="K304" s="34" t="s">
        <v>0</v>
      </c>
      <c r="L304" s="62" t="s">
        <v>41</v>
      </c>
      <c r="M304" s="34">
        <v>25111</v>
      </c>
      <c r="N304" s="67" t="s">
        <v>42</v>
      </c>
    </row>
    <row r="305" spans="2:14" ht="17" x14ac:dyDescent="0.2">
      <c r="B305" s="147" t="s">
        <v>146</v>
      </c>
      <c r="C305" s="19" t="s">
        <v>40</v>
      </c>
      <c r="K305" s="34" t="s">
        <v>0</v>
      </c>
      <c r="L305" s="62" t="s">
        <v>41</v>
      </c>
      <c r="M305" s="34">
        <v>25111</v>
      </c>
      <c r="N305" s="67" t="s">
        <v>42</v>
      </c>
    </row>
    <row r="306" spans="2:14" ht="17" x14ac:dyDescent="0.2">
      <c r="B306" s="147" t="s">
        <v>147</v>
      </c>
      <c r="C306" s="19" t="s">
        <v>40</v>
      </c>
      <c r="K306" s="34" t="s">
        <v>0</v>
      </c>
      <c r="L306" s="62" t="s">
        <v>41</v>
      </c>
      <c r="M306" s="34">
        <v>25111</v>
      </c>
      <c r="N306" s="67" t="s">
        <v>42</v>
      </c>
    </row>
    <row r="307" spans="2:14" ht="17" x14ac:dyDescent="0.2">
      <c r="B307" s="147" t="s">
        <v>148</v>
      </c>
      <c r="C307" s="19" t="s">
        <v>40</v>
      </c>
      <c r="K307" s="34" t="s">
        <v>0</v>
      </c>
      <c r="L307" s="62" t="s">
        <v>41</v>
      </c>
      <c r="M307" s="34">
        <v>25111</v>
      </c>
      <c r="N307" s="67" t="s">
        <v>42</v>
      </c>
    </row>
    <row r="308" spans="2:14" ht="17" x14ac:dyDescent="0.2">
      <c r="B308" s="147" t="s">
        <v>149</v>
      </c>
      <c r="C308" s="19" t="s">
        <v>40</v>
      </c>
      <c r="K308" s="34" t="s">
        <v>0</v>
      </c>
      <c r="L308" s="62" t="s">
        <v>41</v>
      </c>
      <c r="M308" s="34">
        <v>25111</v>
      </c>
      <c r="N308" s="67" t="s">
        <v>42</v>
      </c>
    </row>
    <row r="309" spans="2:14" ht="20" x14ac:dyDescent="0.25">
      <c r="B309" s="149" t="s">
        <v>150</v>
      </c>
      <c r="C309" s="19"/>
      <c r="N309" s="67" t="s">
        <v>45</v>
      </c>
    </row>
    <row r="310" spans="2:14" ht="17" x14ac:dyDescent="0.2">
      <c r="B310" s="150" t="s">
        <v>151</v>
      </c>
      <c r="C310" s="19"/>
      <c r="N310" s="67" t="s">
        <v>45</v>
      </c>
    </row>
    <row r="311" spans="2:14" ht="17" x14ac:dyDescent="0.2">
      <c r="B311" s="151" t="s">
        <v>152</v>
      </c>
      <c r="C311" s="19" t="s">
        <v>40</v>
      </c>
      <c r="K311" s="34" t="s">
        <v>0</v>
      </c>
      <c r="L311" s="62" t="s">
        <v>41</v>
      </c>
      <c r="M311" s="34">
        <v>25111</v>
      </c>
      <c r="N311" s="67" t="s">
        <v>42</v>
      </c>
    </row>
    <row r="312" spans="2:14" ht="17" x14ac:dyDescent="0.2">
      <c r="B312" s="151" t="s">
        <v>153</v>
      </c>
      <c r="C312" s="19" t="s">
        <v>40</v>
      </c>
      <c r="K312" s="34" t="s">
        <v>0</v>
      </c>
      <c r="L312" s="62" t="s">
        <v>41</v>
      </c>
      <c r="M312" s="34">
        <v>25111</v>
      </c>
      <c r="N312" s="67" t="s">
        <v>42</v>
      </c>
    </row>
    <row r="313" spans="2:14" ht="17" x14ac:dyDescent="0.2">
      <c r="B313" s="152" t="s">
        <v>154</v>
      </c>
      <c r="C313" s="19" t="s">
        <v>40</v>
      </c>
      <c r="K313" s="34" t="s">
        <v>0</v>
      </c>
      <c r="L313" s="62" t="s">
        <v>41</v>
      </c>
      <c r="M313" s="34">
        <v>25111</v>
      </c>
      <c r="N313" s="67" t="s">
        <v>42</v>
      </c>
    </row>
    <row r="314" spans="2:14" ht="17" x14ac:dyDescent="0.2">
      <c r="B314" s="143" t="s">
        <v>155</v>
      </c>
      <c r="C314" s="19" t="s">
        <v>40</v>
      </c>
      <c r="K314" s="34" t="s">
        <v>0</v>
      </c>
      <c r="L314" s="62" t="s">
        <v>41</v>
      </c>
      <c r="M314" s="34">
        <v>25111</v>
      </c>
      <c r="N314" s="67" t="s">
        <v>42</v>
      </c>
    </row>
    <row r="315" spans="2:14" ht="17" x14ac:dyDescent="0.2">
      <c r="B315" s="153" t="s">
        <v>156</v>
      </c>
      <c r="N315" s="67" t="s">
        <v>45</v>
      </c>
    </row>
    <row r="316" spans="2:14" ht="17" x14ac:dyDescent="0.2">
      <c r="B316" s="153" t="s">
        <v>157</v>
      </c>
      <c r="C316" s="19"/>
      <c r="N316" s="67" t="s">
        <v>45</v>
      </c>
    </row>
    <row r="317" spans="2:14" ht="17" x14ac:dyDescent="0.2">
      <c r="B317" s="154" t="s">
        <v>158</v>
      </c>
      <c r="C317" s="19" t="s">
        <v>40</v>
      </c>
      <c r="K317" s="34" t="s">
        <v>0</v>
      </c>
      <c r="L317" s="62" t="s">
        <v>41</v>
      </c>
      <c r="M317" s="34">
        <v>25111</v>
      </c>
      <c r="N317" s="67" t="s">
        <v>42</v>
      </c>
    </row>
    <row r="318" spans="2:14" ht="17" x14ac:dyDescent="0.2">
      <c r="B318" s="155" t="s">
        <v>159</v>
      </c>
      <c r="C318" s="19" t="s">
        <v>40</v>
      </c>
      <c r="K318" s="34" t="s">
        <v>0</v>
      </c>
      <c r="L318" s="62" t="s">
        <v>41</v>
      </c>
      <c r="M318" s="34">
        <v>25111</v>
      </c>
      <c r="N318" s="67" t="s">
        <v>42</v>
      </c>
    </row>
    <row r="319" spans="2:14" ht="17" x14ac:dyDescent="0.2">
      <c r="B319" s="151" t="s">
        <v>160</v>
      </c>
      <c r="C319" s="19" t="s">
        <v>40</v>
      </c>
      <c r="K319" s="34" t="s">
        <v>0</v>
      </c>
      <c r="L319" s="62" t="s">
        <v>41</v>
      </c>
      <c r="M319" s="34">
        <v>25111</v>
      </c>
      <c r="N319" s="67" t="s">
        <v>42</v>
      </c>
    </row>
    <row r="320" spans="2:14" ht="17" x14ac:dyDescent="0.2">
      <c r="B320" s="153" t="s">
        <v>161</v>
      </c>
      <c r="C320" s="19"/>
      <c r="N320" s="67" t="s">
        <v>45</v>
      </c>
    </row>
    <row r="321" spans="2:14" ht="17" x14ac:dyDescent="0.2">
      <c r="B321" s="156" t="s">
        <v>162</v>
      </c>
      <c r="C321" s="19"/>
      <c r="N321" s="67" t="s">
        <v>45</v>
      </c>
    </row>
    <row r="322" spans="2:14" ht="48" x14ac:dyDescent="0.2">
      <c r="B322" s="151" t="s">
        <v>163</v>
      </c>
      <c r="C322" s="19" t="s">
        <v>40</v>
      </c>
      <c r="K322" s="34" t="s">
        <v>0</v>
      </c>
      <c r="L322" s="62" t="s">
        <v>41</v>
      </c>
      <c r="M322" s="34">
        <v>25111</v>
      </c>
      <c r="N322" s="67" t="s">
        <v>42</v>
      </c>
    </row>
    <row r="323" spans="2:14" ht="17" x14ac:dyDescent="0.2">
      <c r="B323" s="138" t="s">
        <v>164</v>
      </c>
      <c r="C323" s="19" t="s">
        <v>40</v>
      </c>
      <c r="K323" s="34" t="s">
        <v>0</v>
      </c>
      <c r="L323" s="62" t="s">
        <v>41</v>
      </c>
      <c r="M323" s="34">
        <v>25111</v>
      </c>
      <c r="N323" s="67" t="s">
        <v>42</v>
      </c>
    </row>
    <row r="324" spans="2:14" ht="17" x14ac:dyDescent="0.2">
      <c r="B324" s="156" t="s">
        <v>165</v>
      </c>
      <c r="C324" s="19"/>
      <c r="N324" s="67" t="s">
        <v>45</v>
      </c>
    </row>
    <row r="325" spans="2:14" ht="48" x14ac:dyDescent="0.2">
      <c r="B325" s="151" t="s">
        <v>166</v>
      </c>
      <c r="C325" s="19" t="s">
        <v>40</v>
      </c>
      <c r="K325" s="34" t="s">
        <v>0</v>
      </c>
      <c r="L325" s="62" t="s">
        <v>41</v>
      </c>
      <c r="M325" s="34">
        <v>25111</v>
      </c>
      <c r="N325" s="67" t="s">
        <v>42</v>
      </c>
    </row>
    <row r="326" spans="2:14" ht="17" x14ac:dyDescent="0.2">
      <c r="B326" s="138" t="s">
        <v>167</v>
      </c>
      <c r="C326" s="19" t="s">
        <v>40</v>
      </c>
      <c r="K326" s="34" t="s">
        <v>0</v>
      </c>
      <c r="L326" s="62" t="s">
        <v>41</v>
      </c>
      <c r="M326" s="34">
        <v>25111</v>
      </c>
      <c r="N326" s="67" t="s">
        <v>42</v>
      </c>
    </row>
    <row r="327" spans="2:14" ht="17" x14ac:dyDescent="0.2">
      <c r="B327" s="157" t="s">
        <v>168</v>
      </c>
      <c r="N327" s="67" t="s">
        <v>45</v>
      </c>
    </row>
    <row r="328" spans="2:14" ht="51" x14ac:dyDescent="0.2">
      <c r="B328" s="158" t="s">
        <v>169</v>
      </c>
      <c r="C328" s="19" t="s">
        <v>40</v>
      </c>
      <c r="K328" s="34" t="s">
        <v>0</v>
      </c>
      <c r="L328" s="62" t="s">
        <v>41</v>
      </c>
      <c r="M328" s="34">
        <v>25111</v>
      </c>
      <c r="N328" s="67" t="s">
        <v>42</v>
      </c>
    </row>
    <row r="329" spans="2:14" ht="17" x14ac:dyDescent="0.2">
      <c r="B329" s="159" t="s">
        <v>170</v>
      </c>
      <c r="C329" s="19" t="s">
        <v>40</v>
      </c>
      <c r="K329" s="34" t="s">
        <v>0</v>
      </c>
      <c r="L329" s="62" t="s">
        <v>41</v>
      </c>
      <c r="M329" s="34">
        <v>25111</v>
      </c>
      <c r="N329" s="67" t="s">
        <v>42</v>
      </c>
    </row>
    <row r="330" spans="2:14" ht="17" x14ac:dyDescent="0.2">
      <c r="B330" s="157" t="s">
        <v>171</v>
      </c>
      <c r="C330" s="19"/>
      <c r="N330" s="67" t="s">
        <v>45</v>
      </c>
    </row>
    <row r="331" spans="2:14" ht="48" x14ac:dyDescent="0.2">
      <c r="B331" s="144" t="s">
        <v>172</v>
      </c>
      <c r="C331" s="19" t="s">
        <v>40</v>
      </c>
      <c r="K331" s="34" t="s">
        <v>0</v>
      </c>
      <c r="L331" s="62" t="s">
        <v>41</v>
      </c>
      <c r="M331" s="34">
        <v>25111</v>
      </c>
      <c r="N331" s="67" t="s">
        <v>42</v>
      </c>
    </row>
    <row r="332" spans="2:14" ht="17" x14ac:dyDescent="0.2">
      <c r="B332" s="160" t="s">
        <v>173</v>
      </c>
      <c r="C332" s="19" t="s">
        <v>40</v>
      </c>
      <c r="K332" s="34" t="s">
        <v>0</v>
      </c>
      <c r="L332" s="62" t="s">
        <v>41</v>
      </c>
      <c r="M332" s="34">
        <v>25111</v>
      </c>
      <c r="N332" s="67" t="s">
        <v>42</v>
      </c>
    </row>
    <row r="333" spans="2:14" ht="17" x14ac:dyDescent="0.2">
      <c r="B333" s="161" t="s">
        <v>174</v>
      </c>
      <c r="N333" s="67" t="s">
        <v>45</v>
      </c>
    </row>
    <row r="334" spans="2:14" ht="51" x14ac:dyDescent="0.2">
      <c r="B334" s="161" t="s">
        <v>175</v>
      </c>
      <c r="C334" s="19"/>
      <c r="N334" s="67" t="s">
        <v>45</v>
      </c>
    </row>
    <row r="335" spans="2:14" ht="17" x14ac:dyDescent="0.2">
      <c r="B335" s="131" t="s">
        <v>176</v>
      </c>
      <c r="C335" s="19" t="s">
        <v>40</v>
      </c>
      <c r="K335" s="34" t="s">
        <v>0</v>
      </c>
      <c r="L335" s="62" t="s">
        <v>41</v>
      </c>
      <c r="M335" s="34">
        <v>25111</v>
      </c>
      <c r="N335" s="67" t="s">
        <v>42</v>
      </c>
    </row>
    <row r="336" spans="2:14" ht="17" x14ac:dyDescent="0.2">
      <c r="B336" s="160" t="s">
        <v>177</v>
      </c>
      <c r="C336" s="19" t="s">
        <v>40</v>
      </c>
      <c r="K336" s="34" t="s">
        <v>0</v>
      </c>
      <c r="L336" s="62" t="s">
        <v>41</v>
      </c>
      <c r="M336" s="34">
        <v>25111</v>
      </c>
      <c r="N336" s="67" t="s">
        <v>42</v>
      </c>
    </row>
    <row r="337" spans="2:14" ht="17" x14ac:dyDescent="0.2">
      <c r="B337" s="131" t="s">
        <v>178</v>
      </c>
      <c r="C337" s="19" t="s">
        <v>40</v>
      </c>
      <c r="K337" s="34" t="s">
        <v>0</v>
      </c>
      <c r="L337" s="62" t="s">
        <v>41</v>
      </c>
      <c r="M337" s="34">
        <v>25111</v>
      </c>
      <c r="N337" s="67" t="s">
        <v>42</v>
      </c>
    </row>
    <row r="338" spans="2:14" ht="68" x14ac:dyDescent="0.2">
      <c r="B338" s="131" t="s">
        <v>179</v>
      </c>
      <c r="C338" s="19" t="s">
        <v>40</v>
      </c>
      <c r="K338" s="34" t="s">
        <v>0</v>
      </c>
      <c r="L338" s="62" t="s">
        <v>41</v>
      </c>
      <c r="M338" s="34">
        <v>25111</v>
      </c>
      <c r="N338" s="67" t="s">
        <v>42</v>
      </c>
    </row>
    <row r="339" spans="2:14" ht="17" x14ac:dyDescent="0.2">
      <c r="B339" s="131" t="s">
        <v>180</v>
      </c>
      <c r="C339" s="19" t="s">
        <v>40</v>
      </c>
      <c r="K339" s="34" t="s">
        <v>0</v>
      </c>
      <c r="L339" s="62" t="s">
        <v>41</v>
      </c>
      <c r="M339" s="34">
        <v>25111</v>
      </c>
      <c r="N339" s="67" t="s">
        <v>42</v>
      </c>
    </row>
    <row r="340" spans="2:14" ht="68" x14ac:dyDescent="0.2">
      <c r="B340" s="131" t="s">
        <v>181</v>
      </c>
      <c r="C340" s="19" t="s">
        <v>40</v>
      </c>
      <c r="K340" s="34" t="s">
        <v>0</v>
      </c>
      <c r="L340" s="62" t="s">
        <v>41</v>
      </c>
      <c r="M340" s="34">
        <v>25111</v>
      </c>
      <c r="N340" s="67" t="s">
        <v>42</v>
      </c>
    </row>
    <row r="341" spans="2:14" ht="17" x14ac:dyDescent="0.2">
      <c r="B341" s="160" t="s">
        <v>182</v>
      </c>
      <c r="C341" s="19" t="s">
        <v>40</v>
      </c>
      <c r="K341" s="34" t="s">
        <v>0</v>
      </c>
      <c r="L341" s="62" t="s">
        <v>41</v>
      </c>
      <c r="M341" s="34">
        <v>25111</v>
      </c>
      <c r="N341" s="67" t="s">
        <v>42</v>
      </c>
    </row>
    <row r="342" spans="2:14" ht="68" x14ac:dyDescent="0.2">
      <c r="B342" s="160" t="s">
        <v>183</v>
      </c>
      <c r="C342" s="19" t="s">
        <v>40</v>
      </c>
      <c r="K342" s="34" t="s">
        <v>0</v>
      </c>
      <c r="L342" s="62" t="s">
        <v>41</v>
      </c>
      <c r="M342" s="34">
        <v>25111</v>
      </c>
      <c r="N342" s="67" t="s">
        <v>42</v>
      </c>
    </row>
    <row r="343" spans="2:14" ht="17" x14ac:dyDescent="0.2">
      <c r="B343" s="162" t="s">
        <v>184</v>
      </c>
      <c r="C343" s="19" t="s">
        <v>40</v>
      </c>
      <c r="K343" s="34" t="s">
        <v>0</v>
      </c>
      <c r="L343" s="62" t="s">
        <v>41</v>
      </c>
      <c r="M343" s="34">
        <v>25111</v>
      </c>
      <c r="N343" s="67" t="s">
        <v>42</v>
      </c>
    </row>
    <row r="344" spans="2:14" ht="17" x14ac:dyDescent="0.2">
      <c r="B344" s="162" t="s">
        <v>185</v>
      </c>
      <c r="C344" s="19" t="s">
        <v>40</v>
      </c>
      <c r="K344" s="34" t="s">
        <v>0</v>
      </c>
      <c r="L344" s="62" t="s">
        <v>41</v>
      </c>
      <c r="M344" s="34">
        <v>25111</v>
      </c>
      <c r="N344" s="67" t="s">
        <v>42</v>
      </c>
    </row>
    <row r="345" spans="2:14" ht="17" x14ac:dyDescent="0.2">
      <c r="N345" s="67" t="s">
        <v>45</v>
      </c>
    </row>
    <row r="346" spans="2:14" ht="17" x14ac:dyDescent="0.2">
      <c r="N346" s="67" t="s">
        <v>45</v>
      </c>
    </row>
    <row r="347" spans="2:14" ht="17" x14ac:dyDescent="0.2">
      <c r="N347" s="67" t="s">
        <v>45</v>
      </c>
    </row>
    <row r="348" spans="2:14" ht="25" x14ac:dyDescent="0.3">
      <c r="B348" s="125" t="s">
        <v>337</v>
      </c>
      <c r="C348" s="59"/>
      <c r="N348" s="67" t="s">
        <v>45</v>
      </c>
    </row>
    <row r="349" spans="2:14" ht="69" x14ac:dyDescent="0.2">
      <c r="B349" s="170" t="s">
        <v>338</v>
      </c>
      <c r="C349" s="19"/>
      <c r="N349" s="67" t="s">
        <v>45</v>
      </c>
    </row>
    <row r="350" spans="2:14" ht="17" x14ac:dyDescent="0.2">
      <c r="B350" s="127" t="s">
        <v>31</v>
      </c>
      <c r="C350" s="19"/>
      <c r="N350" s="67" t="s">
        <v>45</v>
      </c>
    </row>
    <row r="351" spans="2:14" ht="17" x14ac:dyDescent="0.2">
      <c r="B351" s="127" t="s">
        <v>328</v>
      </c>
      <c r="N351" s="67" t="s">
        <v>45</v>
      </c>
    </row>
    <row r="352" spans="2:14" ht="17" x14ac:dyDescent="0.2">
      <c r="B352" s="128" t="s">
        <v>33</v>
      </c>
      <c r="N352" s="67" t="s">
        <v>45</v>
      </c>
    </row>
    <row r="353" spans="2:14" ht="17" x14ac:dyDescent="0.2">
      <c r="B353" s="127" t="s">
        <v>34</v>
      </c>
      <c r="C353" s="19"/>
      <c r="N353" s="67" t="s">
        <v>45</v>
      </c>
    </row>
    <row r="354" spans="2:14" ht="51" x14ac:dyDescent="0.2">
      <c r="B354" s="163" t="s">
        <v>339</v>
      </c>
      <c r="C354" s="19"/>
      <c r="N354" s="67" t="s">
        <v>45</v>
      </c>
    </row>
    <row r="355" spans="2:14" ht="17" x14ac:dyDescent="0.2">
      <c r="B355" s="129" t="s">
        <v>36</v>
      </c>
      <c r="C355" s="19"/>
      <c r="N355" s="67" t="s">
        <v>45</v>
      </c>
    </row>
    <row r="356" spans="2:14" ht="17" x14ac:dyDescent="0.2">
      <c r="B356" s="129" t="s">
        <v>37</v>
      </c>
      <c r="C356" s="19"/>
      <c r="N356" s="67" t="s">
        <v>45</v>
      </c>
    </row>
    <row r="357" spans="2:14" ht="17" x14ac:dyDescent="0.2">
      <c r="B357" s="128" t="s">
        <v>38</v>
      </c>
      <c r="C357" s="19"/>
      <c r="N357" s="67" t="s">
        <v>45</v>
      </c>
    </row>
    <row r="358" spans="2:14" ht="63.75" customHeight="1" x14ac:dyDescent="0.2">
      <c r="B358" s="164" t="s">
        <v>340</v>
      </c>
      <c r="C358" s="19" t="s">
        <v>40</v>
      </c>
      <c r="E358" s="34" t="s">
        <v>0</v>
      </c>
      <c r="G358" s="62" t="s">
        <v>41</v>
      </c>
      <c r="H358" s="61">
        <v>18023</v>
      </c>
      <c r="L358" s="62"/>
      <c r="N358" s="67" t="s">
        <v>42</v>
      </c>
    </row>
    <row r="359" spans="2:14" ht="32" x14ac:dyDescent="0.2">
      <c r="B359" s="164" t="s">
        <v>224</v>
      </c>
      <c r="C359" s="19" t="s">
        <v>40</v>
      </c>
      <c r="G359" s="62" t="s">
        <v>41</v>
      </c>
      <c r="H359" s="61">
        <v>18023</v>
      </c>
      <c r="L359" s="62"/>
      <c r="N359" s="67" t="s">
        <v>42</v>
      </c>
    </row>
    <row r="360" spans="2:14" ht="17" x14ac:dyDescent="0.2">
      <c r="B360" s="128" t="s">
        <v>44</v>
      </c>
      <c r="C360" s="19"/>
      <c r="N360" s="67" t="s">
        <v>45</v>
      </c>
    </row>
    <row r="361" spans="2:14" ht="17" x14ac:dyDescent="0.2">
      <c r="B361" s="164" t="s">
        <v>341</v>
      </c>
      <c r="C361" s="19" t="s">
        <v>40</v>
      </c>
      <c r="E361" s="34" t="s">
        <v>0</v>
      </c>
      <c r="G361" s="62" t="s">
        <v>41</v>
      </c>
      <c r="H361" s="61">
        <v>18023</v>
      </c>
      <c r="N361" s="67" t="s">
        <v>42</v>
      </c>
    </row>
    <row r="362" spans="2:14" ht="17" x14ac:dyDescent="0.2">
      <c r="B362" s="128" t="s">
        <v>47</v>
      </c>
      <c r="N362" s="67" t="s">
        <v>45</v>
      </c>
    </row>
    <row r="363" spans="2:14" ht="17" x14ac:dyDescent="0.2">
      <c r="B363" s="131" t="s">
        <v>48</v>
      </c>
      <c r="C363" s="19" t="s">
        <v>40</v>
      </c>
      <c r="E363" s="34" t="s">
        <v>0</v>
      </c>
      <c r="G363" s="62" t="s">
        <v>41</v>
      </c>
      <c r="H363" s="61">
        <v>18023</v>
      </c>
      <c r="N363" s="67" t="s">
        <v>42</v>
      </c>
    </row>
    <row r="364" spans="2:14" ht="17" x14ac:dyDescent="0.2">
      <c r="B364" s="131" t="s">
        <v>49</v>
      </c>
      <c r="C364" s="19" t="s">
        <v>40</v>
      </c>
      <c r="E364" s="34" t="s">
        <v>0</v>
      </c>
      <c r="G364" s="62" t="s">
        <v>41</v>
      </c>
      <c r="H364" s="61">
        <v>18023</v>
      </c>
      <c r="N364" s="67" t="s">
        <v>42</v>
      </c>
    </row>
    <row r="365" spans="2:14" ht="34" x14ac:dyDescent="0.2">
      <c r="B365" s="131" t="s">
        <v>50</v>
      </c>
      <c r="C365" s="19" t="s">
        <v>40</v>
      </c>
      <c r="E365" s="34" t="s">
        <v>0</v>
      </c>
      <c r="G365" s="62" t="s">
        <v>41</v>
      </c>
      <c r="H365" s="61">
        <v>18023</v>
      </c>
      <c r="N365" s="67" t="s">
        <v>42</v>
      </c>
    </row>
    <row r="366" spans="2:14" ht="17" x14ac:dyDescent="0.2">
      <c r="B366" s="128" t="s">
        <v>51</v>
      </c>
      <c r="C366" s="19"/>
      <c r="N366" s="67" t="s">
        <v>45</v>
      </c>
    </row>
    <row r="367" spans="2:14" ht="33" customHeight="1" x14ac:dyDescent="0.2">
      <c r="B367" s="165" t="s">
        <v>52</v>
      </c>
      <c r="C367" s="19" t="s">
        <v>40</v>
      </c>
      <c r="E367" s="34" t="s">
        <v>0</v>
      </c>
      <c r="G367" s="62" t="s">
        <v>41</v>
      </c>
      <c r="H367" s="61">
        <v>18023</v>
      </c>
      <c r="N367" s="67" t="s">
        <v>42</v>
      </c>
    </row>
    <row r="368" spans="2:14" ht="17" x14ac:dyDescent="0.2">
      <c r="B368" s="132" t="s">
        <v>53</v>
      </c>
      <c r="C368" s="19"/>
      <c r="N368" s="67" t="s">
        <v>45</v>
      </c>
    </row>
    <row r="369" spans="1:14" ht="51" x14ac:dyDescent="0.2">
      <c r="B369" s="263" t="s">
        <v>54</v>
      </c>
      <c r="C369" s="19" t="s">
        <v>40</v>
      </c>
      <c r="E369" s="34" t="s">
        <v>0</v>
      </c>
      <c r="G369" s="62" t="s">
        <v>41</v>
      </c>
      <c r="H369" s="61">
        <v>18023</v>
      </c>
      <c r="N369" s="67" t="s">
        <v>42</v>
      </c>
    </row>
    <row r="370" spans="1:14" ht="17" x14ac:dyDescent="0.2">
      <c r="B370" s="128" t="s">
        <v>55</v>
      </c>
      <c r="C370" s="19"/>
      <c r="N370" s="67" t="s">
        <v>45</v>
      </c>
    </row>
    <row r="371" spans="1:14" ht="51" x14ac:dyDescent="0.2">
      <c r="B371" s="134" t="s">
        <v>56</v>
      </c>
      <c r="C371" s="19" t="s">
        <v>57</v>
      </c>
      <c r="E371" s="34" t="s">
        <v>0</v>
      </c>
      <c r="G371" s="62" t="s">
        <v>41</v>
      </c>
      <c r="H371" s="61">
        <v>18023</v>
      </c>
      <c r="N371" s="67" t="s">
        <v>42</v>
      </c>
    </row>
    <row r="372" spans="1:14" ht="20" x14ac:dyDescent="0.2">
      <c r="B372" s="177" t="s">
        <v>51</v>
      </c>
      <c r="N372" s="67" t="s">
        <v>45</v>
      </c>
    </row>
    <row r="373" spans="1:14" ht="17" x14ac:dyDescent="0.2">
      <c r="B373" s="128" t="s">
        <v>342</v>
      </c>
      <c r="C373" s="19" t="s">
        <v>40</v>
      </c>
      <c r="G373" s="62"/>
      <c r="H373" s="61"/>
      <c r="N373" s="67" t="s">
        <v>42</v>
      </c>
    </row>
    <row r="374" spans="1:14" ht="17" x14ac:dyDescent="0.2">
      <c r="B374" s="231" t="s">
        <v>229</v>
      </c>
      <c r="N374" s="67" t="s">
        <v>45</v>
      </c>
    </row>
    <row r="375" spans="1:14" ht="17" x14ac:dyDescent="0.2">
      <c r="A375" s="235"/>
      <c r="B375" s="233" t="s">
        <v>230</v>
      </c>
      <c r="C375" s="19" t="s">
        <v>40</v>
      </c>
      <c r="E375" s="34" t="s">
        <v>0</v>
      </c>
      <c r="G375" s="62" t="s">
        <v>41</v>
      </c>
      <c r="H375" s="61">
        <v>18023</v>
      </c>
      <c r="N375" s="67" t="s">
        <v>42</v>
      </c>
    </row>
    <row r="376" spans="1:14" ht="17" x14ac:dyDescent="0.2">
      <c r="B376" s="233" t="s">
        <v>231</v>
      </c>
      <c r="C376" s="232"/>
      <c r="E376" s="34" t="s">
        <v>0</v>
      </c>
      <c r="G376" s="62" t="s">
        <v>41</v>
      </c>
      <c r="H376" s="61">
        <v>18023</v>
      </c>
      <c r="N376" s="67" t="s">
        <v>45</v>
      </c>
    </row>
    <row r="377" spans="1:14" ht="17" x14ac:dyDescent="0.2">
      <c r="A377" s="235"/>
      <c r="B377" s="233" t="s">
        <v>232</v>
      </c>
      <c r="C377" s="232" t="s">
        <v>40</v>
      </c>
      <c r="E377" s="34" t="s">
        <v>0</v>
      </c>
      <c r="G377" s="62" t="s">
        <v>41</v>
      </c>
      <c r="H377" s="61">
        <v>18023</v>
      </c>
      <c r="N377" s="67" t="s">
        <v>42</v>
      </c>
    </row>
    <row r="378" spans="1:14" ht="17" x14ac:dyDescent="0.2">
      <c r="A378" s="235"/>
      <c r="B378" s="233" t="s">
        <v>233</v>
      </c>
      <c r="C378" s="232" t="s">
        <v>40</v>
      </c>
      <c r="E378" s="34" t="s">
        <v>0</v>
      </c>
      <c r="G378" s="62" t="s">
        <v>41</v>
      </c>
      <c r="H378" s="61">
        <v>18023</v>
      </c>
      <c r="N378" s="67" t="s">
        <v>42</v>
      </c>
    </row>
    <row r="379" spans="1:14" ht="17" x14ac:dyDescent="0.2">
      <c r="A379" s="235"/>
      <c r="B379" s="233" t="s">
        <v>236</v>
      </c>
      <c r="C379" s="232" t="s">
        <v>40</v>
      </c>
      <c r="E379" s="34" t="s">
        <v>0</v>
      </c>
      <c r="G379" s="62" t="s">
        <v>41</v>
      </c>
      <c r="H379" s="61">
        <v>18023</v>
      </c>
      <c r="N379" s="67" t="s">
        <v>42</v>
      </c>
    </row>
    <row r="380" spans="1:14" ht="17" x14ac:dyDescent="0.2">
      <c r="B380" s="128" t="s">
        <v>65</v>
      </c>
      <c r="N380" s="67" t="s">
        <v>45</v>
      </c>
    </row>
    <row r="381" spans="1:14" ht="17" x14ac:dyDescent="0.2">
      <c r="B381" s="174" t="s">
        <v>66</v>
      </c>
      <c r="C381" s="19" t="s">
        <v>40</v>
      </c>
      <c r="E381" s="34" t="s">
        <v>0</v>
      </c>
      <c r="G381" s="62" t="s">
        <v>41</v>
      </c>
      <c r="H381" s="61">
        <v>18023</v>
      </c>
      <c r="N381" s="67" t="s">
        <v>42</v>
      </c>
    </row>
    <row r="382" spans="1:14" ht="17" x14ac:dyDescent="0.2">
      <c r="B382" s="166" t="s">
        <v>343</v>
      </c>
      <c r="C382" s="19" t="s">
        <v>40</v>
      </c>
      <c r="E382" s="34" t="s">
        <v>0</v>
      </c>
      <c r="G382" s="62" t="s">
        <v>41</v>
      </c>
      <c r="H382" s="61">
        <v>18023</v>
      </c>
      <c r="N382" s="67" t="s">
        <v>42</v>
      </c>
    </row>
    <row r="383" spans="1:14" ht="17" x14ac:dyDescent="0.2">
      <c r="B383" s="166" t="s">
        <v>68</v>
      </c>
      <c r="C383" s="19" t="s">
        <v>40</v>
      </c>
      <c r="E383" s="34" t="s">
        <v>0</v>
      </c>
      <c r="G383" s="62" t="s">
        <v>41</v>
      </c>
      <c r="H383" s="61">
        <v>18023</v>
      </c>
      <c r="N383" s="67" t="s">
        <v>42</v>
      </c>
    </row>
    <row r="384" spans="1:14" ht="17" x14ac:dyDescent="0.2">
      <c r="B384" s="166" t="s">
        <v>69</v>
      </c>
      <c r="C384" s="19" t="s">
        <v>40</v>
      </c>
      <c r="E384" s="34" t="s">
        <v>0</v>
      </c>
      <c r="G384" s="62" t="s">
        <v>41</v>
      </c>
      <c r="H384" s="61">
        <v>18023</v>
      </c>
      <c r="N384" s="67" t="s">
        <v>42</v>
      </c>
    </row>
    <row r="385" spans="2:14" ht="17" x14ac:dyDescent="0.2">
      <c r="B385" s="166" t="s">
        <v>70</v>
      </c>
      <c r="C385" s="19" t="s">
        <v>40</v>
      </c>
      <c r="E385" s="34" t="s">
        <v>0</v>
      </c>
      <c r="G385" s="62" t="s">
        <v>41</v>
      </c>
      <c r="H385" s="61">
        <v>18023</v>
      </c>
      <c r="N385" s="67" t="s">
        <v>42</v>
      </c>
    </row>
    <row r="386" spans="2:14" ht="17" x14ac:dyDescent="0.2">
      <c r="B386" s="166" t="s">
        <v>71</v>
      </c>
      <c r="C386" s="19" t="s">
        <v>40</v>
      </c>
      <c r="E386" s="34" t="s">
        <v>0</v>
      </c>
      <c r="G386" s="62" t="s">
        <v>41</v>
      </c>
      <c r="H386" s="61">
        <v>18023</v>
      </c>
      <c r="N386" s="67" t="s">
        <v>42</v>
      </c>
    </row>
    <row r="387" spans="2:14" ht="17" x14ac:dyDescent="0.2">
      <c r="B387" s="139" t="s">
        <v>72</v>
      </c>
      <c r="C387" s="19" t="s">
        <v>40</v>
      </c>
      <c r="E387" s="34" t="s">
        <v>0</v>
      </c>
      <c r="G387" s="62" t="s">
        <v>41</v>
      </c>
      <c r="H387" s="61">
        <v>18023</v>
      </c>
      <c r="N387" s="67" t="s">
        <v>42</v>
      </c>
    </row>
    <row r="388" spans="2:14" ht="17" x14ac:dyDescent="0.2">
      <c r="B388" s="174" t="s">
        <v>73</v>
      </c>
      <c r="C388" s="19" t="s">
        <v>40</v>
      </c>
      <c r="E388" s="34" t="s">
        <v>0</v>
      </c>
      <c r="G388" s="62" t="s">
        <v>41</v>
      </c>
      <c r="H388" s="61">
        <v>18023</v>
      </c>
      <c r="N388" s="67" t="s">
        <v>42</v>
      </c>
    </row>
    <row r="389" spans="2:14" ht="17" x14ac:dyDescent="0.2">
      <c r="B389" s="139" t="s">
        <v>74</v>
      </c>
      <c r="C389" s="19" t="s">
        <v>40</v>
      </c>
      <c r="E389" s="34" t="s">
        <v>0</v>
      </c>
      <c r="G389" s="62" t="s">
        <v>41</v>
      </c>
      <c r="H389" s="61">
        <v>18023</v>
      </c>
      <c r="N389" s="67" t="s">
        <v>42</v>
      </c>
    </row>
    <row r="390" spans="2:14" ht="17" x14ac:dyDescent="0.2">
      <c r="B390" s="139" t="s">
        <v>75</v>
      </c>
      <c r="C390" s="19" t="s">
        <v>40</v>
      </c>
      <c r="E390" s="34" t="s">
        <v>0</v>
      </c>
      <c r="G390" s="62" t="s">
        <v>41</v>
      </c>
      <c r="H390" s="61">
        <v>18023</v>
      </c>
      <c r="N390" s="67" t="s">
        <v>42</v>
      </c>
    </row>
    <row r="391" spans="2:14" ht="17" x14ac:dyDescent="0.2">
      <c r="B391" s="138" t="s">
        <v>76</v>
      </c>
      <c r="C391" s="19" t="s">
        <v>40</v>
      </c>
      <c r="E391" s="34" t="s">
        <v>0</v>
      </c>
      <c r="G391" s="62" t="s">
        <v>41</v>
      </c>
      <c r="H391" s="61">
        <v>18023</v>
      </c>
      <c r="N391" s="67" t="s">
        <v>42</v>
      </c>
    </row>
    <row r="392" spans="2:14" ht="68" x14ac:dyDescent="0.2">
      <c r="B392" s="166" t="s">
        <v>204</v>
      </c>
      <c r="C392" s="19" t="s">
        <v>40</v>
      </c>
      <c r="E392" s="34" t="s">
        <v>0</v>
      </c>
      <c r="G392" s="62" t="s">
        <v>41</v>
      </c>
      <c r="H392" s="61">
        <v>18023</v>
      </c>
      <c r="N392" s="67" t="s">
        <v>42</v>
      </c>
    </row>
    <row r="393" spans="2:14" ht="17" x14ac:dyDescent="0.2">
      <c r="B393" s="166" t="s">
        <v>237</v>
      </c>
      <c r="C393" s="19" t="s">
        <v>40</v>
      </c>
      <c r="E393" s="34" t="s">
        <v>0</v>
      </c>
      <c r="G393" s="62" t="s">
        <v>41</v>
      </c>
      <c r="H393" s="61">
        <v>18023</v>
      </c>
      <c r="N393" s="67" t="s">
        <v>42</v>
      </c>
    </row>
    <row r="394" spans="2:14" ht="17" x14ac:dyDescent="0.2">
      <c r="B394" s="166" t="s">
        <v>79</v>
      </c>
      <c r="C394" s="19" t="s">
        <v>40</v>
      </c>
      <c r="E394" s="34" t="s">
        <v>0</v>
      </c>
      <c r="G394" s="62" t="s">
        <v>41</v>
      </c>
      <c r="H394" s="61">
        <v>18023</v>
      </c>
      <c r="N394" s="67" t="s">
        <v>42</v>
      </c>
    </row>
    <row r="395" spans="2:14" ht="17" x14ac:dyDescent="0.2">
      <c r="B395" s="138" t="s">
        <v>80</v>
      </c>
      <c r="C395" s="19" t="s">
        <v>40</v>
      </c>
      <c r="E395" s="34" t="s">
        <v>0</v>
      </c>
      <c r="G395" s="62" t="s">
        <v>41</v>
      </c>
      <c r="H395" s="61">
        <v>18023</v>
      </c>
      <c r="N395" s="67" t="s">
        <v>42</v>
      </c>
    </row>
    <row r="396" spans="2:14" ht="17" x14ac:dyDescent="0.2">
      <c r="B396" s="138" t="s">
        <v>81</v>
      </c>
      <c r="C396" s="19" t="s">
        <v>40</v>
      </c>
      <c r="E396" s="34" t="s">
        <v>0</v>
      </c>
      <c r="G396" s="62" t="s">
        <v>41</v>
      </c>
      <c r="H396" s="61">
        <v>18023</v>
      </c>
      <c r="N396" s="67" t="s">
        <v>42</v>
      </c>
    </row>
    <row r="397" spans="2:14" ht="17" x14ac:dyDescent="0.2">
      <c r="B397" s="138" t="s">
        <v>82</v>
      </c>
      <c r="C397" s="19" t="s">
        <v>40</v>
      </c>
      <c r="E397" s="34" t="s">
        <v>0</v>
      </c>
      <c r="G397" s="62" t="s">
        <v>41</v>
      </c>
      <c r="H397" s="61">
        <v>18023</v>
      </c>
      <c r="N397" s="67" t="s">
        <v>42</v>
      </c>
    </row>
    <row r="398" spans="2:14" ht="17" x14ac:dyDescent="0.2">
      <c r="B398" s="138" t="s">
        <v>344</v>
      </c>
      <c r="C398" s="19" t="s">
        <v>40</v>
      </c>
      <c r="E398" s="34" t="s">
        <v>0</v>
      </c>
      <c r="G398" s="62" t="s">
        <v>41</v>
      </c>
      <c r="H398" s="61">
        <v>18023</v>
      </c>
      <c r="N398" s="67" t="s">
        <v>42</v>
      </c>
    </row>
    <row r="399" spans="2:14" ht="17" x14ac:dyDescent="0.2">
      <c r="B399" s="138" t="s">
        <v>84</v>
      </c>
      <c r="C399" s="19" t="s">
        <v>40</v>
      </c>
      <c r="E399" s="34" t="s">
        <v>0</v>
      </c>
      <c r="G399" s="62" t="s">
        <v>41</v>
      </c>
      <c r="H399" s="61">
        <v>18023</v>
      </c>
      <c r="N399" s="67" t="s">
        <v>42</v>
      </c>
    </row>
    <row r="400" spans="2:14" ht="17" x14ac:dyDescent="0.2">
      <c r="B400" s="139" t="s">
        <v>85</v>
      </c>
      <c r="C400" s="19" t="s">
        <v>40</v>
      </c>
      <c r="E400" s="34" t="s">
        <v>0</v>
      </c>
      <c r="G400" s="62" t="s">
        <v>41</v>
      </c>
      <c r="H400" s="61">
        <v>18023</v>
      </c>
      <c r="N400" s="67" t="s">
        <v>42</v>
      </c>
    </row>
    <row r="401" spans="2:14" ht="17" x14ac:dyDescent="0.2">
      <c r="B401" s="140" t="s">
        <v>86</v>
      </c>
      <c r="N401" s="67" t="s">
        <v>45</v>
      </c>
    </row>
    <row r="402" spans="2:14" ht="17" x14ac:dyDescent="0.2">
      <c r="B402" s="141" t="s">
        <v>87</v>
      </c>
      <c r="C402" s="19" t="s">
        <v>40</v>
      </c>
      <c r="E402" s="34" t="s">
        <v>0</v>
      </c>
      <c r="G402" s="62" t="s">
        <v>41</v>
      </c>
      <c r="H402" s="61">
        <v>18023</v>
      </c>
      <c r="N402" s="67" t="s">
        <v>42</v>
      </c>
    </row>
    <row r="403" spans="2:14" ht="32" x14ac:dyDescent="0.2">
      <c r="B403" s="140" t="s">
        <v>88</v>
      </c>
      <c r="C403" s="19"/>
      <c r="N403" s="67" t="s">
        <v>45</v>
      </c>
    </row>
    <row r="404" spans="2:14" ht="32" x14ac:dyDescent="0.2">
      <c r="B404" s="250" t="s">
        <v>89</v>
      </c>
      <c r="C404" s="19" t="s">
        <v>40</v>
      </c>
      <c r="E404" s="34" t="s">
        <v>0</v>
      </c>
      <c r="G404" s="62" t="s">
        <v>41</v>
      </c>
      <c r="H404" s="61">
        <v>18023</v>
      </c>
      <c r="N404" s="67" t="s">
        <v>42</v>
      </c>
    </row>
    <row r="405" spans="2:14" ht="17" x14ac:dyDescent="0.2">
      <c r="B405" s="140" t="s">
        <v>90</v>
      </c>
      <c r="C405" s="19"/>
      <c r="N405" s="67" t="s">
        <v>45</v>
      </c>
    </row>
    <row r="406" spans="2:14" ht="32" x14ac:dyDescent="0.2">
      <c r="B406" s="142" t="s">
        <v>91</v>
      </c>
      <c r="C406" s="19" t="s">
        <v>40</v>
      </c>
      <c r="E406" s="34" t="s">
        <v>92</v>
      </c>
      <c r="G406" s="62" t="s">
        <v>41</v>
      </c>
      <c r="H406" s="61">
        <v>18023</v>
      </c>
      <c r="N406" s="67" t="s">
        <v>42</v>
      </c>
    </row>
    <row r="407" spans="2:14" ht="17" x14ac:dyDescent="0.2">
      <c r="B407" s="140" t="s">
        <v>93</v>
      </c>
      <c r="C407" s="19"/>
      <c r="N407" s="67" t="s">
        <v>45</v>
      </c>
    </row>
    <row r="408" spans="2:14" ht="32" x14ac:dyDescent="0.2">
      <c r="B408" s="142" t="s">
        <v>94</v>
      </c>
      <c r="C408" s="19" t="s">
        <v>40</v>
      </c>
      <c r="E408" s="34" t="s">
        <v>92</v>
      </c>
      <c r="G408" s="62" t="s">
        <v>41</v>
      </c>
      <c r="H408" s="61">
        <v>18023</v>
      </c>
      <c r="N408" s="67" t="s">
        <v>42</v>
      </c>
    </row>
    <row r="409" spans="2:14" ht="48" x14ac:dyDescent="0.2">
      <c r="B409" s="143" t="s">
        <v>95</v>
      </c>
      <c r="C409" s="19" t="s">
        <v>40</v>
      </c>
      <c r="E409" s="34" t="s">
        <v>92</v>
      </c>
      <c r="G409" s="62" t="s">
        <v>41</v>
      </c>
      <c r="H409" s="61">
        <v>18023</v>
      </c>
      <c r="N409" s="67" t="s">
        <v>42</v>
      </c>
    </row>
    <row r="410" spans="2:14" ht="17" x14ac:dyDescent="0.2">
      <c r="B410" s="144" t="s">
        <v>96</v>
      </c>
      <c r="C410" s="19" t="s">
        <v>40</v>
      </c>
      <c r="E410" s="34" t="s">
        <v>92</v>
      </c>
      <c r="G410" s="62" t="s">
        <v>41</v>
      </c>
      <c r="H410" s="61">
        <v>18023</v>
      </c>
      <c r="N410" s="67" t="s">
        <v>42</v>
      </c>
    </row>
    <row r="411" spans="2:14" ht="32" x14ac:dyDescent="0.2">
      <c r="B411" s="143" t="s">
        <v>97</v>
      </c>
      <c r="C411" s="19" t="s">
        <v>40</v>
      </c>
      <c r="E411" s="34" t="s">
        <v>92</v>
      </c>
      <c r="G411" s="62" t="s">
        <v>41</v>
      </c>
      <c r="H411" s="61">
        <v>18023</v>
      </c>
      <c r="N411" s="67" t="s">
        <v>42</v>
      </c>
    </row>
    <row r="412" spans="2:14" ht="17" x14ac:dyDescent="0.2">
      <c r="B412" s="142" t="s">
        <v>98</v>
      </c>
      <c r="C412" s="19" t="s">
        <v>40</v>
      </c>
      <c r="E412" s="34" t="s">
        <v>92</v>
      </c>
      <c r="G412" s="62" t="s">
        <v>41</v>
      </c>
      <c r="H412" s="61">
        <v>18023</v>
      </c>
      <c r="N412" s="67" t="s">
        <v>42</v>
      </c>
    </row>
    <row r="413" spans="2:14" ht="17" x14ac:dyDescent="0.2">
      <c r="B413" s="144" t="s">
        <v>99</v>
      </c>
      <c r="C413" s="19" t="s">
        <v>40</v>
      </c>
      <c r="E413" s="34" t="s">
        <v>92</v>
      </c>
      <c r="G413" s="62" t="s">
        <v>41</v>
      </c>
      <c r="H413" s="61">
        <v>18023</v>
      </c>
      <c r="N413" s="67" t="s">
        <v>42</v>
      </c>
    </row>
    <row r="414" spans="2:14" ht="17" x14ac:dyDescent="0.2">
      <c r="B414" s="143" t="s">
        <v>100</v>
      </c>
      <c r="C414" s="19" t="s">
        <v>40</v>
      </c>
      <c r="E414" s="34" t="s">
        <v>92</v>
      </c>
      <c r="G414" s="62" t="s">
        <v>41</v>
      </c>
      <c r="H414" s="61">
        <v>18023</v>
      </c>
      <c r="N414" s="67" t="s">
        <v>42</v>
      </c>
    </row>
    <row r="415" spans="2:14" ht="17" x14ac:dyDescent="0.2">
      <c r="B415" s="140" t="s">
        <v>101</v>
      </c>
      <c r="N415" s="67" t="s">
        <v>45</v>
      </c>
    </row>
    <row r="416" spans="2:14" ht="17" x14ac:dyDescent="0.2">
      <c r="B416" s="141" t="s">
        <v>87</v>
      </c>
      <c r="C416" s="19" t="s">
        <v>40</v>
      </c>
      <c r="E416" s="34" t="s">
        <v>0</v>
      </c>
      <c r="G416" s="62" t="s">
        <v>41</v>
      </c>
      <c r="H416" s="61">
        <v>18023</v>
      </c>
      <c r="N416" s="67" t="s">
        <v>42</v>
      </c>
    </row>
    <row r="417" spans="2:14" ht="32" x14ac:dyDescent="0.2">
      <c r="B417" s="250" t="s">
        <v>102</v>
      </c>
      <c r="C417" s="19" t="s">
        <v>40</v>
      </c>
      <c r="E417" s="34" t="s">
        <v>0</v>
      </c>
      <c r="G417" s="62" t="s">
        <v>41</v>
      </c>
      <c r="H417" s="61">
        <v>18023</v>
      </c>
      <c r="N417" s="67" t="s">
        <v>42</v>
      </c>
    </row>
    <row r="418" spans="2:14" ht="48" x14ac:dyDescent="0.2">
      <c r="B418" s="143" t="s">
        <v>103</v>
      </c>
      <c r="C418" s="19" t="s">
        <v>40</v>
      </c>
      <c r="E418" s="34" t="s">
        <v>0</v>
      </c>
      <c r="G418" s="62" t="s">
        <v>41</v>
      </c>
      <c r="H418" s="61">
        <v>18023</v>
      </c>
      <c r="N418" s="67" t="s">
        <v>42</v>
      </c>
    </row>
    <row r="419" spans="2:14" ht="17" x14ac:dyDescent="0.2">
      <c r="B419" s="144" t="s">
        <v>96</v>
      </c>
      <c r="C419" s="19" t="s">
        <v>40</v>
      </c>
      <c r="E419" s="34" t="s">
        <v>0</v>
      </c>
      <c r="G419" s="62" t="s">
        <v>41</v>
      </c>
      <c r="H419" s="61">
        <v>18023</v>
      </c>
      <c r="N419" s="67" t="s">
        <v>42</v>
      </c>
    </row>
    <row r="420" spans="2:14" ht="32" x14ac:dyDescent="0.2">
      <c r="B420" s="143" t="s">
        <v>104</v>
      </c>
      <c r="C420" s="19" t="s">
        <v>40</v>
      </c>
      <c r="E420" s="34" t="s">
        <v>0</v>
      </c>
      <c r="G420" s="62" t="s">
        <v>41</v>
      </c>
      <c r="H420" s="61">
        <v>18023</v>
      </c>
      <c r="N420" s="67" t="s">
        <v>42</v>
      </c>
    </row>
    <row r="421" spans="2:14" ht="32" x14ac:dyDescent="0.2">
      <c r="B421" s="142" t="s">
        <v>105</v>
      </c>
      <c r="C421" s="19" t="s">
        <v>40</v>
      </c>
      <c r="E421" s="34" t="s">
        <v>0</v>
      </c>
      <c r="G421" s="62" t="s">
        <v>41</v>
      </c>
      <c r="H421" s="61">
        <v>18023</v>
      </c>
      <c r="N421" s="67" t="s">
        <v>42</v>
      </c>
    </row>
    <row r="422" spans="2:14" ht="17" x14ac:dyDescent="0.2">
      <c r="B422" s="144" t="s">
        <v>99</v>
      </c>
      <c r="C422" s="19" t="s">
        <v>40</v>
      </c>
      <c r="E422" s="34" t="s">
        <v>0</v>
      </c>
      <c r="G422" s="62" t="s">
        <v>41</v>
      </c>
      <c r="H422" s="61">
        <v>18023</v>
      </c>
      <c r="N422" s="67" t="s">
        <v>42</v>
      </c>
    </row>
    <row r="423" spans="2:14" ht="17" x14ac:dyDescent="0.2">
      <c r="B423" s="143" t="s">
        <v>106</v>
      </c>
      <c r="C423" s="19" t="s">
        <v>40</v>
      </c>
      <c r="E423" s="34" t="s">
        <v>0</v>
      </c>
      <c r="G423" s="62" t="s">
        <v>41</v>
      </c>
      <c r="H423" s="61">
        <v>18023</v>
      </c>
      <c r="N423" s="67" t="s">
        <v>42</v>
      </c>
    </row>
    <row r="424" spans="2:14" ht="17" x14ac:dyDescent="0.2">
      <c r="B424" s="140" t="s">
        <v>107</v>
      </c>
      <c r="N424" s="67" t="s">
        <v>45</v>
      </c>
    </row>
    <row r="425" spans="2:14" ht="17" x14ac:dyDescent="0.2">
      <c r="B425" s="141" t="s">
        <v>87</v>
      </c>
      <c r="C425" s="19" t="s">
        <v>40</v>
      </c>
      <c r="E425" s="34" t="s">
        <v>0</v>
      </c>
      <c r="G425" s="62" t="s">
        <v>41</v>
      </c>
      <c r="H425" s="61">
        <v>18023</v>
      </c>
      <c r="N425" s="67" t="s">
        <v>42</v>
      </c>
    </row>
    <row r="426" spans="2:14" ht="32" x14ac:dyDescent="0.2">
      <c r="B426" s="142" t="s">
        <v>102</v>
      </c>
      <c r="C426" s="19" t="s">
        <v>40</v>
      </c>
      <c r="E426" s="34" t="s">
        <v>0</v>
      </c>
      <c r="G426" s="62" t="s">
        <v>41</v>
      </c>
      <c r="H426" s="61">
        <v>18023</v>
      </c>
      <c r="N426" s="67" t="s">
        <v>42</v>
      </c>
    </row>
    <row r="427" spans="2:14" ht="48" x14ac:dyDescent="0.2">
      <c r="B427" s="143" t="s">
        <v>108</v>
      </c>
      <c r="C427" s="19" t="s">
        <v>40</v>
      </c>
      <c r="E427" s="34" t="s">
        <v>0</v>
      </c>
      <c r="G427" s="62" t="s">
        <v>41</v>
      </c>
      <c r="H427" s="61">
        <v>18023</v>
      </c>
      <c r="N427" s="67" t="s">
        <v>42</v>
      </c>
    </row>
    <row r="428" spans="2:14" ht="17" x14ac:dyDescent="0.2">
      <c r="B428" s="144" t="s">
        <v>96</v>
      </c>
      <c r="C428" s="19" t="s">
        <v>40</v>
      </c>
      <c r="E428" s="34" t="s">
        <v>0</v>
      </c>
      <c r="G428" s="62" t="s">
        <v>41</v>
      </c>
      <c r="H428" s="61">
        <v>18023</v>
      </c>
      <c r="N428" s="67" t="s">
        <v>42</v>
      </c>
    </row>
    <row r="429" spans="2:14" ht="32" x14ac:dyDescent="0.2">
      <c r="B429" s="143" t="s">
        <v>109</v>
      </c>
      <c r="C429" s="19" t="s">
        <v>40</v>
      </c>
      <c r="E429" s="34" t="s">
        <v>0</v>
      </c>
      <c r="G429" s="62" t="s">
        <v>41</v>
      </c>
      <c r="H429" s="61">
        <v>18023</v>
      </c>
      <c r="N429" s="67" t="s">
        <v>42</v>
      </c>
    </row>
    <row r="430" spans="2:14" ht="32" x14ac:dyDescent="0.2">
      <c r="B430" s="142" t="s">
        <v>110</v>
      </c>
      <c r="C430" s="19" t="s">
        <v>40</v>
      </c>
      <c r="E430" s="34" t="s">
        <v>0</v>
      </c>
      <c r="G430" s="62" t="s">
        <v>41</v>
      </c>
      <c r="H430" s="61">
        <v>18023</v>
      </c>
      <c r="N430" s="67" t="s">
        <v>42</v>
      </c>
    </row>
    <row r="431" spans="2:14" ht="17" x14ac:dyDescent="0.2">
      <c r="B431" s="144" t="s">
        <v>99</v>
      </c>
      <c r="C431" s="19" t="s">
        <v>40</v>
      </c>
      <c r="E431" s="34" t="s">
        <v>0</v>
      </c>
      <c r="G431" s="62" t="s">
        <v>41</v>
      </c>
      <c r="H431" s="61">
        <v>18023</v>
      </c>
      <c r="N431" s="67" t="s">
        <v>42</v>
      </c>
    </row>
    <row r="432" spans="2:14" ht="17" x14ac:dyDescent="0.2">
      <c r="B432" s="143" t="s">
        <v>111</v>
      </c>
      <c r="C432" s="19" t="s">
        <v>40</v>
      </c>
      <c r="E432" s="34" t="s">
        <v>0</v>
      </c>
      <c r="G432" s="62" t="s">
        <v>41</v>
      </c>
      <c r="H432" s="61">
        <v>18023</v>
      </c>
      <c r="N432" s="67" t="s">
        <v>42</v>
      </c>
    </row>
    <row r="433" spans="2:14" ht="17" x14ac:dyDescent="0.2">
      <c r="B433" s="140" t="s">
        <v>112</v>
      </c>
      <c r="N433" s="67" t="s">
        <v>45</v>
      </c>
    </row>
    <row r="434" spans="2:14" ht="17" x14ac:dyDescent="0.2">
      <c r="B434" s="141" t="s">
        <v>87</v>
      </c>
      <c r="C434" s="19" t="s">
        <v>40</v>
      </c>
      <c r="E434" s="34" t="s">
        <v>0</v>
      </c>
      <c r="G434" s="62" t="s">
        <v>41</v>
      </c>
      <c r="H434" s="61">
        <v>18023</v>
      </c>
      <c r="N434" s="67" t="s">
        <v>42</v>
      </c>
    </row>
    <row r="435" spans="2:14" ht="32" x14ac:dyDescent="0.2">
      <c r="B435" s="142" t="s">
        <v>102</v>
      </c>
      <c r="C435" s="19" t="s">
        <v>40</v>
      </c>
      <c r="E435" s="34" t="s">
        <v>0</v>
      </c>
      <c r="G435" s="62" t="s">
        <v>41</v>
      </c>
      <c r="H435" s="61">
        <v>18023</v>
      </c>
      <c r="N435" s="67" t="s">
        <v>42</v>
      </c>
    </row>
    <row r="436" spans="2:14" ht="48" x14ac:dyDescent="0.2">
      <c r="B436" s="143" t="s">
        <v>113</v>
      </c>
      <c r="C436" s="19" t="s">
        <v>40</v>
      </c>
      <c r="E436" s="34" t="s">
        <v>0</v>
      </c>
      <c r="G436" s="62" t="s">
        <v>41</v>
      </c>
      <c r="H436" s="61">
        <v>18023</v>
      </c>
      <c r="N436" s="67" t="s">
        <v>42</v>
      </c>
    </row>
    <row r="437" spans="2:14" ht="17" x14ac:dyDescent="0.2">
      <c r="B437" s="144" t="s">
        <v>96</v>
      </c>
      <c r="C437" s="19" t="s">
        <v>40</v>
      </c>
      <c r="E437" s="34" t="s">
        <v>0</v>
      </c>
      <c r="G437" s="62" t="s">
        <v>41</v>
      </c>
      <c r="H437" s="61">
        <v>18023</v>
      </c>
      <c r="N437" s="67" t="s">
        <v>42</v>
      </c>
    </row>
    <row r="438" spans="2:14" ht="32" x14ac:dyDescent="0.2">
      <c r="B438" s="143" t="s">
        <v>97</v>
      </c>
      <c r="C438" s="19" t="s">
        <v>40</v>
      </c>
      <c r="E438" s="34" t="s">
        <v>0</v>
      </c>
      <c r="G438" s="62" t="s">
        <v>41</v>
      </c>
      <c r="H438" s="61">
        <v>18023</v>
      </c>
      <c r="N438" s="67" t="s">
        <v>42</v>
      </c>
    </row>
    <row r="439" spans="2:14" ht="32" x14ac:dyDescent="0.2">
      <c r="B439" s="142" t="s">
        <v>114</v>
      </c>
      <c r="C439" s="19" t="s">
        <v>40</v>
      </c>
      <c r="E439" s="34" t="s">
        <v>0</v>
      </c>
      <c r="G439" s="62" t="s">
        <v>41</v>
      </c>
      <c r="H439" s="61">
        <v>18023</v>
      </c>
      <c r="N439" s="67" t="s">
        <v>42</v>
      </c>
    </row>
    <row r="440" spans="2:14" ht="17" x14ac:dyDescent="0.2">
      <c r="B440" s="144" t="s">
        <v>99</v>
      </c>
      <c r="C440" s="19" t="s">
        <v>40</v>
      </c>
      <c r="E440" s="34" t="s">
        <v>0</v>
      </c>
      <c r="G440" s="62" t="s">
        <v>41</v>
      </c>
      <c r="H440" s="61">
        <v>18023</v>
      </c>
      <c r="N440" s="67" t="s">
        <v>42</v>
      </c>
    </row>
    <row r="441" spans="2:14" ht="17" x14ac:dyDescent="0.2">
      <c r="B441" s="143" t="s">
        <v>115</v>
      </c>
      <c r="C441" s="19" t="s">
        <v>40</v>
      </c>
      <c r="E441" s="34" t="s">
        <v>0</v>
      </c>
      <c r="G441" s="62" t="s">
        <v>41</v>
      </c>
      <c r="H441" s="61">
        <v>18023</v>
      </c>
      <c r="N441" s="67" t="s">
        <v>42</v>
      </c>
    </row>
    <row r="442" spans="2:14" ht="34" x14ac:dyDescent="0.2">
      <c r="B442" s="132" t="s">
        <v>116</v>
      </c>
      <c r="N442" s="67" t="s">
        <v>45</v>
      </c>
    </row>
    <row r="443" spans="2:14" ht="64" x14ac:dyDescent="0.2">
      <c r="B443" s="143" t="s">
        <v>117</v>
      </c>
      <c r="C443" s="19" t="s">
        <v>40</v>
      </c>
      <c r="E443" s="34" t="s">
        <v>92</v>
      </c>
      <c r="G443" s="62" t="s">
        <v>41</v>
      </c>
      <c r="H443" s="61">
        <v>18023</v>
      </c>
      <c r="N443" s="67" t="s">
        <v>42</v>
      </c>
    </row>
    <row r="444" spans="2:14" ht="64" x14ac:dyDescent="0.2">
      <c r="B444" s="143" t="s">
        <v>118</v>
      </c>
      <c r="C444" s="19" t="s">
        <v>40</v>
      </c>
      <c r="E444" s="34" t="s">
        <v>92</v>
      </c>
      <c r="G444" s="62" t="s">
        <v>41</v>
      </c>
      <c r="H444" s="61">
        <v>18023</v>
      </c>
      <c r="N444" s="67" t="s">
        <v>42</v>
      </c>
    </row>
    <row r="445" spans="2:14" ht="17" x14ac:dyDescent="0.2">
      <c r="B445" s="143" t="s">
        <v>119</v>
      </c>
      <c r="C445" s="19" t="s">
        <v>40</v>
      </c>
      <c r="E445" s="34" t="s">
        <v>92</v>
      </c>
      <c r="F445" s="210"/>
      <c r="G445" s="62" t="s">
        <v>41</v>
      </c>
      <c r="H445" s="61">
        <v>18023</v>
      </c>
      <c r="N445" s="67" t="s">
        <v>42</v>
      </c>
    </row>
    <row r="446" spans="2:14" ht="32" x14ac:dyDescent="0.2">
      <c r="B446" s="143" t="s">
        <v>120</v>
      </c>
      <c r="C446" s="19" t="s">
        <v>40</v>
      </c>
      <c r="E446" s="34" t="s">
        <v>92</v>
      </c>
      <c r="F446" s="210"/>
      <c r="G446" s="62" t="s">
        <v>41</v>
      </c>
      <c r="H446" s="61">
        <v>18023</v>
      </c>
      <c r="N446" s="67" t="s">
        <v>42</v>
      </c>
    </row>
    <row r="447" spans="2:14" ht="17" x14ac:dyDescent="0.2">
      <c r="B447" s="128" t="s">
        <v>121</v>
      </c>
      <c r="C447" s="19"/>
      <c r="N447" s="67" t="s">
        <v>45</v>
      </c>
    </row>
    <row r="448" spans="2:14" ht="17" x14ac:dyDescent="0.2">
      <c r="B448" s="145" t="s">
        <v>122</v>
      </c>
      <c r="C448" s="19" t="s">
        <v>40</v>
      </c>
      <c r="E448" s="34" t="s">
        <v>0</v>
      </c>
      <c r="G448" s="62" t="s">
        <v>41</v>
      </c>
      <c r="H448" s="61">
        <v>18023</v>
      </c>
      <c r="N448" s="67" t="s">
        <v>42</v>
      </c>
    </row>
    <row r="449" spans="2:14" ht="17" x14ac:dyDescent="0.2">
      <c r="B449" s="139" t="s">
        <v>123</v>
      </c>
      <c r="C449" s="19" t="s">
        <v>40</v>
      </c>
      <c r="E449" s="34" t="s">
        <v>0</v>
      </c>
      <c r="G449" s="62" t="s">
        <v>41</v>
      </c>
      <c r="H449" s="61">
        <v>18023</v>
      </c>
      <c r="N449" s="67" t="s">
        <v>42</v>
      </c>
    </row>
    <row r="450" spans="2:14" ht="34" x14ac:dyDescent="0.2">
      <c r="B450" s="139" t="s">
        <v>345</v>
      </c>
      <c r="C450" s="19" t="s">
        <v>40</v>
      </c>
      <c r="E450" s="34" t="s">
        <v>0</v>
      </c>
      <c r="G450" s="62" t="s">
        <v>41</v>
      </c>
      <c r="H450" s="61">
        <v>18023</v>
      </c>
      <c r="N450" s="67" t="s">
        <v>42</v>
      </c>
    </row>
    <row r="451" spans="2:14" ht="17" x14ac:dyDescent="0.2">
      <c r="B451" s="139" t="s">
        <v>125</v>
      </c>
      <c r="C451" s="19" t="s">
        <v>40</v>
      </c>
      <c r="E451" s="34" t="s">
        <v>0</v>
      </c>
      <c r="G451" s="62" t="s">
        <v>41</v>
      </c>
      <c r="H451" s="61">
        <v>18023</v>
      </c>
      <c r="N451" s="67" t="s">
        <v>42</v>
      </c>
    </row>
    <row r="452" spans="2:14" ht="17" x14ac:dyDescent="0.2">
      <c r="B452" s="145" t="s">
        <v>126</v>
      </c>
      <c r="C452" s="19" t="s">
        <v>40</v>
      </c>
      <c r="E452" s="34" t="s">
        <v>0</v>
      </c>
      <c r="G452" s="62" t="s">
        <v>41</v>
      </c>
      <c r="H452" s="61">
        <v>18023</v>
      </c>
      <c r="N452" s="67" t="s">
        <v>42</v>
      </c>
    </row>
    <row r="453" spans="2:14" ht="17" x14ac:dyDescent="0.2">
      <c r="B453" s="138" t="s">
        <v>127</v>
      </c>
      <c r="C453" s="19" t="s">
        <v>40</v>
      </c>
      <c r="E453" s="34" t="s">
        <v>0</v>
      </c>
      <c r="G453" s="62" t="s">
        <v>41</v>
      </c>
      <c r="H453" s="61">
        <v>18023</v>
      </c>
      <c r="N453" s="67" t="s">
        <v>42</v>
      </c>
    </row>
    <row r="454" spans="2:14" ht="17" x14ac:dyDescent="0.2">
      <c r="B454" s="138" t="s">
        <v>128</v>
      </c>
      <c r="C454" s="19" t="s">
        <v>40</v>
      </c>
      <c r="E454" s="34" t="s">
        <v>0</v>
      </c>
      <c r="G454" s="62" t="s">
        <v>41</v>
      </c>
      <c r="H454" s="61">
        <v>18023</v>
      </c>
      <c r="N454" s="67" t="s">
        <v>42</v>
      </c>
    </row>
    <row r="455" spans="2:14" ht="17" x14ac:dyDescent="0.2">
      <c r="B455" s="220" t="s">
        <v>129</v>
      </c>
      <c r="C455" s="19" t="s">
        <v>40</v>
      </c>
      <c r="E455" s="34" t="s">
        <v>0</v>
      </c>
      <c r="G455" s="62" t="s">
        <v>41</v>
      </c>
      <c r="H455" s="61">
        <v>18023</v>
      </c>
      <c r="N455" s="67" t="s">
        <v>42</v>
      </c>
    </row>
    <row r="456" spans="2:14" ht="17" x14ac:dyDescent="0.2">
      <c r="B456" s="138" t="s">
        <v>130</v>
      </c>
      <c r="C456" s="19" t="s">
        <v>40</v>
      </c>
      <c r="E456" s="34" t="s">
        <v>0</v>
      </c>
      <c r="G456" s="62" t="s">
        <v>41</v>
      </c>
      <c r="H456" s="61">
        <v>18023</v>
      </c>
      <c r="N456" s="67" t="s">
        <v>42</v>
      </c>
    </row>
    <row r="457" spans="2:14" ht="17" x14ac:dyDescent="0.2">
      <c r="B457" s="147" t="s">
        <v>131</v>
      </c>
      <c r="C457" s="19" t="s">
        <v>40</v>
      </c>
      <c r="E457" s="34" t="s">
        <v>0</v>
      </c>
      <c r="G457" s="62" t="s">
        <v>41</v>
      </c>
      <c r="H457" s="61">
        <v>18023</v>
      </c>
      <c r="N457" s="67" t="s">
        <v>42</v>
      </c>
    </row>
    <row r="458" spans="2:14" ht="16.5" customHeight="1" x14ac:dyDescent="0.2">
      <c r="B458" s="147" t="s">
        <v>132</v>
      </c>
      <c r="C458" s="19" t="s">
        <v>40</v>
      </c>
      <c r="E458" s="34" t="s">
        <v>0</v>
      </c>
      <c r="G458" s="62" t="s">
        <v>41</v>
      </c>
      <c r="H458" s="61">
        <v>18023</v>
      </c>
      <c r="N458" s="67" t="s">
        <v>42</v>
      </c>
    </row>
    <row r="459" spans="2:14" ht="17" x14ac:dyDescent="0.2">
      <c r="B459" s="147" t="s">
        <v>134</v>
      </c>
      <c r="C459" s="19" t="s">
        <v>40</v>
      </c>
      <c r="E459" s="34" t="s">
        <v>0</v>
      </c>
      <c r="G459" s="62" t="s">
        <v>41</v>
      </c>
      <c r="H459" s="61">
        <v>18023</v>
      </c>
      <c r="N459" s="67" t="s">
        <v>42</v>
      </c>
    </row>
    <row r="460" spans="2:14" ht="17" x14ac:dyDescent="0.2">
      <c r="B460" s="147" t="s">
        <v>136</v>
      </c>
      <c r="C460" s="19" t="s">
        <v>40</v>
      </c>
      <c r="E460" s="34" t="s">
        <v>0</v>
      </c>
      <c r="G460" s="62" t="s">
        <v>41</v>
      </c>
      <c r="H460" s="61">
        <v>18023</v>
      </c>
      <c r="N460" s="67" t="s">
        <v>42</v>
      </c>
    </row>
    <row r="461" spans="2:14" ht="20" x14ac:dyDescent="0.25">
      <c r="B461" s="230" t="s">
        <v>238</v>
      </c>
      <c r="C461" s="19"/>
      <c r="E461" s="34" t="s">
        <v>0</v>
      </c>
      <c r="G461" s="62" t="s">
        <v>41</v>
      </c>
      <c r="H461" s="61">
        <v>18023</v>
      </c>
      <c r="N461" s="67" t="s">
        <v>45</v>
      </c>
    </row>
    <row r="462" spans="2:14" ht="17" x14ac:dyDescent="0.2">
      <c r="B462" s="147" t="s">
        <v>346</v>
      </c>
      <c r="C462" s="19" t="s">
        <v>40</v>
      </c>
      <c r="E462" s="34" t="s">
        <v>0</v>
      </c>
      <c r="G462" s="62" t="s">
        <v>41</v>
      </c>
      <c r="H462" s="61">
        <v>18023</v>
      </c>
      <c r="N462" s="67" t="s">
        <v>42</v>
      </c>
    </row>
    <row r="463" spans="2:14" ht="17" x14ac:dyDescent="0.2">
      <c r="B463" s="138" t="s">
        <v>347</v>
      </c>
      <c r="C463" s="19" t="s">
        <v>40</v>
      </c>
      <c r="E463" s="34" t="s">
        <v>0</v>
      </c>
      <c r="G463" s="62" t="s">
        <v>41</v>
      </c>
      <c r="H463" s="61">
        <v>18023</v>
      </c>
      <c r="N463" s="67" t="s">
        <v>42</v>
      </c>
    </row>
    <row r="464" spans="2:14" ht="17" x14ac:dyDescent="0.2">
      <c r="B464" s="138" t="s">
        <v>348</v>
      </c>
      <c r="C464" s="19" t="s">
        <v>40</v>
      </c>
      <c r="E464" s="34" t="s">
        <v>0</v>
      </c>
      <c r="G464" s="62" t="s">
        <v>41</v>
      </c>
      <c r="H464" s="61">
        <v>18023</v>
      </c>
      <c r="N464" s="67" t="s">
        <v>42</v>
      </c>
    </row>
    <row r="465" spans="2:14" ht="17" x14ac:dyDescent="0.2">
      <c r="B465" s="138" t="s">
        <v>349</v>
      </c>
      <c r="C465" s="19" t="s">
        <v>40</v>
      </c>
      <c r="E465" s="34" t="s">
        <v>0</v>
      </c>
      <c r="G465" s="62" t="s">
        <v>41</v>
      </c>
      <c r="H465" s="61">
        <v>18023</v>
      </c>
      <c r="N465" s="67" t="s">
        <v>42</v>
      </c>
    </row>
    <row r="466" spans="2:14" ht="17" x14ac:dyDescent="0.2">
      <c r="B466" s="138" t="s">
        <v>350</v>
      </c>
      <c r="C466" s="19" t="s">
        <v>40</v>
      </c>
      <c r="E466" s="34" t="s">
        <v>0</v>
      </c>
      <c r="G466" s="62" t="s">
        <v>41</v>
      </c>
      <c r="H466" s="61">
        <v>18023</v>
      </c>
      <c r="N466" s="67" t="s">
        <v>42</v>
      </c>
    </row>
    <row r="467" spans="2:14" ht="23" x14ac:dyDescent="0.3">
      <c r="B467" s="148" t="s">
        <v>137</v>
      </c>
      <c r="C467" s="19"/>
      <c r="N467" s="67" t="s">
        <v>45</v>
      </c>
    </row>
    <row r="468" spans="2:14" ht="23" x14ac:dyDescent="0.3">
      <c r="B468" s="148" t="s">
        <v>138</v>
      </c>
      <c r="C468" s="19"/>
      <c r="N468" s="67" t="s">
        <v>45</v>
      </c>
    </row>
    <row r="469" spans="2:14" ht="17" x14ac:dyDescent="0.2">
      <c r="B469" s="147" t="s">
        <v>330</v>
      </c>
      <c r="C469" s="19" t="s">
        <v>40</v>
      </c>
      <c r="E469" s="34" t="s">
        <v>0</v>
      </c>
      <c r="G469" s="62" t="s">
        <v>41</v>
      </c>
      <c r="H469" s="61">
        <v>18023</v>
      </c>
      <c r="N469" s="67" t="s">
        <v>42</v>
      </c>
    </row>
    <row r="470" spans="2:14" ht="34" x14ac:dyDescent="0.2">
      <c r="B470" s="147" t="s">
        <v>331</v>
      </c>
      <c r="C470" s="19" t="s">
        <v>40</v>
      </c>
      <c r="E470" s="34" t="s">
        <v>0</v>
      </c>
      <c r="G470" s="62" t="s">
        <v>41</v>
      </c>
      <c r="H470" s="61">
        <v>18023</v>
      </c>
      <c r="N470" s="67" t="s">
        <v>42</v>
      </c>
    </row>
    <row r="471" spans="2:14" ht="17" x14ac:dyDescent="0.2">
      <c r="B471" s="147" t="s">
        <v>332</v>
      </c>
      <c r="C471" s="19" t="s">
        <v>40</v>
      </c>
      <c r="E471" s="34" t="s">
        <v>0</v>
      </c>
      <c r="G471" s="62" t="s">
        <v>41</v>
      </c>
      <c r="H471" s="61">
        <v>18023</v>
      </c>
      <c r="N471" s="67" t="s">
        <v>42</v>
      </c>
    </row>
    <row r="472" spans="2:14" ht="17" x14ac:dyDescent="0.2">
      <c r="B472" s="147" t="s">
        <v>333</v>
      </c>
      <c r="C472" s="19" t="s">
        <v>40</v>
      </c>
      <c r="E472" s="34" t="s">
        <v>0</v>
      </c>
      <c r="G472" s="62" t="s">
        <v>41</v>
      </c>
      <c r="H472" s="61">
        <v>18023</v>
      </c>
      <c r="N472" s="67" t="s">
        <v>42</v>
      </c>
    </row>
    <row r="473" spans="2:14" ht="17" x14ac:dyDescent="0.2">
      <c r="B473" s="147" t="s">
        <v>143</v>
      </c>
      <c r="C473" s="19" t="s">
        <v>40</v>
      </c>
      <c r="E473" s="34" t="s">
        <v>0</v>
      </c>
      <c r="G473" s="62" t="s">
        <v>41</v>
      </c>
      <c r="H473" s="61">
        <v>18023</v>
      </c>
      <c r="N473" s="67" t="s">
        <v>42</v>
      </c>
    </row>
    <row r="474" spans="2:14" ht="23" x14ac:dyDescent="0.3">
      <c r="B474" s="148" t="s">
        <v>144</v>
      </c>
      <c r="C474" s="19"/>
      <c r="N474" s="67" t="s">
        <v>45</v>
      </c>
    </row>
    <row r="475" spans="2:14" ht="17" x14ac:dyDescent="0.2">
      <c r="B475" s="147" t="s">
        <v>145</v>
      </c>
      <c r="C475" s="19" t="s">
        <v>40</v>
      </c>
      <c r="E475" s="34" t="s">
        <v>0</v>
      </c>
      <c r="G475" s="62" t="s">
        <v>41</v>
      </c>
      <c r="H475" s="61">
        <v>18023</v>
      </c>
      <c r="N475" s="67" t="s">
        <v>42</v>
      </c>
    </row>
    <row r="476" spans="2:14" ht="17" x14ac:dyDescent="0.2">
      <c r="B476" s="147" t="s">
        <v>146</v>
      </c>
      <c r="C476" s="19" t="s">
        <v>40</v>
      </c>
      <c r="E476" s="34" t="s">
        <v>0</v>
      </c>
      <c r="G476" s="62" t="s">
        <v>41</v>
      </c>
      <c r="H476" s="61">
        <v>18023</v>
      </c>
      <c r="N476" s="67" t="s">
        <v>42</v>
      </c>
    </row>
    <row r="477" spans="2:14" ht="17" x14ac:dyDescent="0.2">
      <c r="B477" s="147" t="s">
        <v>147</v>
      </c>
      <c r="C477" s="19" t="s">
        <v>40</v>
      </c>
      <c r="E477" s="34" t="s">
        <v>0</v>
      </c>
      <c r="G477" s="62" t="s">
        <v>41</v>
      </c>
      <c r="H477" s="61">
        <v>18023</v>
      </c>
      <c r="N477" s="67" t="s">
        <v>42</v>
      </c>
    </row>
    <row r="478" spans="2:14" ht="17" x14ac:dyDescent="0.2">
      <c r="B478" s="147" t="s">
        <v>148</v>
      </c>
      <c r="C478" s="19" t="s">
        <v>40</v>
      </c>
      <c r="E478" s="34" t="s">
        <v>0</v>
      </c>
      <c r="G478" s="62" t="s">
        <v>41</v>
      </c>
      <c r="H478" s="61">
        <v>18023</v>
      </c>
      <c r="N478" s="67" t="s">
        <v>42</v>
      </c>
    </row>
    <row r="479" spans="2:14" ht="17" x14ac:dyDescent="0.2">
      <c r="B479" s="147" t="s">
        <v>149</v>
      </c>
      <c r="C479" s="19" t="s">
        <v>40</v>
      </c>
      <c r="E479" s="34" t="s">
        <v>0</v>
      </c>
      <c r="G479" s="62" t="s">
        <v>41</v>
      </c>
      <c r="H479" s="61">
        <v>18023</v>
      </c>
      <c r="N479" s="67" t="s">
        <v>42</v>
      </c>
    </row>
    <row r="480" spans="2:14" ht="20" x14ac:dyDescent="0.25">
      <c r="B480" s="149" t="s">
        <v>150</v>
      </c>
      <c r="C480" s="19"/>
      <c r="N480" s="67" t="s">
        <v>45</v>
      </c>
    </row>
    <row r="481" spans="2:14" ht="17" x14ac:dyDescent="0.2">
      <c r="B481" s="150" t="s">
        <v>151</v>
      </c>
      <c r="C481" s="19"/>
      <c r="N481" s="67" t="s">
        <v>45</v>
      </c>
    </row>
    <row r="482" spans="2:14" ht="17" x14ac:dyDescent="0.2">
      <c r="B482" s="151" t="s">
        <v>152</v>
      </c>
      <c r="C482" s="19" t="s">
        <v>40</v>
      </c>
      <c r="E482" s="34" t="s">
        <v>0</v>
      </c>
      <c r="G482" s="62" t="s">
        <v>41</v>
      </c>
      <c r="H482" s="61">
        <v>18023</v>
      </c>
      <c r="N482" s="67" t="s">
        <v>42</v>
      </c>
    </row>
    <row r="483" spans="2:14" ht="17" x14ac:dyDescent="0.2">
      <c r="B483" s="151" t="s">
        <v>153</v>
      </c>
      <c r="C483" s="19" t="s">
        <v>40</v>
      </c>
      <c r="E483" s="34" t="s">
        <v>0</v>
      </c>
      <c r="G483" s="62" t="s">
        <v>41</v>
      </c>
      <c r="H483" s="61">
        <v>18023</v>
      </c>
      <c r="N483" s="67" t="s">
        <v>42</v>
      </c>
    </row>
    <row r="484" spans="2:14" ht="17" x14ac:dyDescent="0.2">
      <c r="B484" s="152" t="s">
        <v>154</v>
      </c>
      <c r="C484" s="19" t="s">
        <v>40</v>
      </c>
      <c r="E484" s="34" t="s">
        <v>0</v>
      </c>
      <c r="G484" s="62" t="s">
        <v>41</v>
      </c>
      <c r="H484" s="61">
        <v>18023</v>
      </c>
      <c r="N484" s="67" t="s">
        <v>42</v>
      </c>
    </row>
    <row r="485" spans="2:14" ht="17" x14ac:dyDescent="0.2">
      <c r="B485" s="143" t="s">
        <v>155</v>
      </c>
      <c r="C485" s="19" t="s">
        <v>40</v>
      </c>
      <c r="E485" s="34" t="s">
        <v>0</v>
      </c>
      <c r="G485" s="62" t="s">
        <v>41</v>
      </c>
      <c r="H485" s="61">
        <v>18023</v>
      </c>
      <c r="N485" s="67" t="s">
        <v>42</v>
      </c>
    </row>
    <row r="486" spans="2:14" ht="17" x14ac:dyDescent="0.2">
      <c r="B486" s="153" t="s">
        <v>156</v>
      </c>
      <c r="N486" s="67" t="s">
        <v>45</v>
      </c>
    </row>
    <row r="487" spans="2:14" ht="17" x14ac:dyDescent="0.2">
      <c r="B487" s="153" t="s">
        <v>157</v>
      </c>
      <c r="C487" s="19"/>
      <c r="N487" s="67" t="s">
        <v>45</v>
      </c>
    </row>
    <row r="488" spans="2:14" ht="17" x14ac:dyDescent="0.2">
      <c r="B488" s="154" t="s">
        <v>158</v>
      </c>
      <c r="C488" s="19" t="s">
        <v>40</v>
      </c>
      <c r="E488" s="34" t="s">
        <v>0</v>
      </c>
      <c r="G488" s="62" t="s">
        <v>41</v>
      </c>
      <c r="H488" s="61">
        <v>18023</v>
      </c>
      <c r="N488" s="67" t="s">
        <v>42</v>
      </c>
    </row>
    <row r="489" spans="2:14" ht="17" x14ac:dyDescent="0.2">
      <c r="B489" s="155" t="s">
        <v>159</v>
      </c>
      <c r="C489" s="19" t="s">
        <v>40</v>
      </c>
      <c r="E489" s="34" t="s">
        <v>0</v>
      </c>
      <c r="G489" s="62" t="s">
        <v>41</v>
      </c>
      <c r="H489" s="61">
        <v>18023</v>
      </c>
      <c r="N489" s="67" t="s">
        <v>42</v>
      </c>
    </row>
    <row r="490" spans="2:14" ht="17" x14ac:dyDescent="0.2">
      <c r="B490" s="151" t="s">
        <v>160</v>
      </c>
      <c r="C490" s="19" t="s">
        <v>40</v>
      </c>
      <c r="E490" s="34" t="s">
        <v>0</v>
      </c>
      <c r="G490" s="62" t="s">
        <v>41</v>
      </c>
      <c r="H490" s="61">
        <v>18023</v>
      </c>
      <c r="N490" s="67" t="s">
        <v>42</v>
      </c>
    </row>
    <row r="491" spans="2:14" ht="17" x14ac:dyDescent="0.2">
      <c r="B491" s="153" t="s">
        <v>161</v>
      </c>
      <c r="C491" s="19"/>
      <c r="N491" s="67" t="s">
        <v>45</v>
      </c>
    </row>
    <row r="492" spans="2:14" ht="17" x14ac:dyDescent="0.2">
      <c r="B492" s="156" t="s">
        <v>162</v>
      </c>
      <c r="C492" s="19"/>
      <c r="N492" s="67" t="s">
        <v>45</v>
      </c>
    </row>
    <row r="493" spans="2:14" ht="48" x14ac:dyDescent="0.2">
      <c r="B493" s="151" t="s">
        <v>163</v>
      </c>
      <c r="C493" s="19" t="s">
        <v>40</v>
      </c>
      <c r="E493" s="34" t="s">
        <v>0</v>
      </c>
      <c r="G493" s="62" t="s">
        <v>41</v>
      </c>
      <c r="H493" s="61">
        <v>18023</v>
      </c>
      <c r="N493" s="67" t="s">
        <v>42</v>
      </c>
    </row>
    <row r="494" spans="2:14" ht="17" x14ac:dyDescent="0.2">
      <c r="B494" s="138" t="s">
        <v>164</v>
      </c>
      <c r="C494" s="19" t="s">
        <v>40</v>
      </c>
      <c r="E494" s="34" t="s">
        <v>0</v>
      </c>
      <c r="G494" s="62" t="s">
        <v>41</v>
      </c>
      <c r="H494" s="61">
        <v>18023</v>
      </c>
      <c r="N494" s="67" t="s">
        <v>42</v>
      </c>
    </row>
    <row r="495" spans="2:14" ht="17" x14ac:dyDescent="0.2">
      <c r="B495" s="156" t="s">
        <v>165</v>
      </c>
      <c r="C495" s="19"/>
      <c r="N495" s="67" t="s">
        <v>45</v>
      </c>
    </row>
    <row r="496" spans="2:14" ht="48" x14ac:dyDescent="0.2">
      <c r="B496" s="151" t="s">
        <v>166</v>
      </c>
      <c r="C496" s="19" t="s">
        <v>40</v>
      </c>
      <c r="E496" s="34" t="s">
        <v>0</v>
      </c>
      <c r="G496" s="62" t="s">
        <v>41</v>
      </c>
      <c r="H496" s="61">
        <v>18023</v>
      </c>
      <c r="N496" s="67" t="s">
        <v>42</v>
      </c>
    </row>
    <row r="497" spans="2:14" ht="17" x14ac:dyDescent="0.2">
      <c r="B497" s="138" t="s">
        <v>167</v>
      </c>
      <c r="C497" s="19" t="s">
        <v>40</v>
      </c>
      <c r="E497" s="34" t="s">
        <v>0</v>
      </c>
      <c r="G497" s="62" t="s">
        <v>41</v>
      </c>
      <c r="H497" s="61">
        <v>18023</v>
      </c>
      <c r="N497" s="67" t="s">
        <v>42</v>
      </c>
    </row>
    <row r="498" spans="2:14" ht="17" x14ac:dyDescent="0.2">
      <c r="B498" s="157" t="s">
        <v>168</v>
      </c>
      <c r="N498" s="67" t="s">
        <v>45</v>
      </c>
    </row>
    <row r="499" spans="2:14" ht="51" x14ac:dyDescent="0.2">
      <c r="B499" s="158" t="s">
        <v>169</v>
      </c>
      <c r="C499" s="19" t="s">
        <v>40</v>
      </c>
      <c r="E499" s="34" t="s">
        <v>0</v>
      </c>
      <c r="G499" s="62" t="s">
        <v>41</v>
      </c>
      <c r="H499" s="61">
        <v>18023</v>
      </c>
      <c r="N499" s="67" t="s">
        <v>42</v>
      </c>
    </row>
    <row r="500" spans="2:14" ht="17" x14ac:dyDescent="0.2">
      <c r="B500" s="159" t="s">
        <v>170</v>
      </c>
      <c r="C500" s="19" t="s">
        <v>40</v>
      </c>
      <c r="E500" s="34" t="s">
        <v>0</v>
      </c>
      <c r="G500" s="62" t="s">
        <v>41</v>
      </c>
      <c r="H500" s="61">
        <v>18023</v>
      </c>
      <c r="N500" s="67" t="s">
        <v>42</v>
      </c>
    </row>
    <row r="501" spans="2:14" ht="17" x14ac:dyDescent="0.2">
      <c r="B501" s="157" t="s">
        <v>171</v>
      </c>
      <c r="C501" s="19"/>
      <c r="N501" s="67" t="s">
        <v>45</v>
      </c>
    </row>
    <row r="502" spans="2:14" ht="48" x14ac:dyDescent="0.2">
      <c r="B502" s="144" t="s">
        <v>172</v>
      </c>
      <c r="C502" s="19" t="s">
        <v>40</v>
      </c>
      <c r="E502" s="34" t="s">
        <v>0</v>
      </c>
      <c r="G502" s="62" t="s">
        <v>41</v>
      </c>
      <c r="H502" s="61">
        <v>18023</v>
      </c>
      <c r="N502" s="67" t="s">
        <v>42</v>
      </c>
    </row>
    <row r="503" spans="2:14" ht="17" x14ac:dyDescent="0.2">
      <c r="B503" s="160" t="s">
        <v>173</v>
      </c>
      <c r="C503" s="19" t="s">
        <v>40</v>
      </c>
      <c r="E503" s="34" t="s">
        <v>0</v>
      </c>
      <c r="G503" s="62" t="s">
        <v>41</v>
      </c>
      <c r="H503" s="61">
        <v>18023</v>
      </c>
      <c r="N503" s="67" t="s">
        <v>42</v>
      </c>
    </row>
    <row r="504" spans="2:14" ht="17" x14ac:dyDescent="0.2">
      <c r="B504" s="161" t="s">
        <v>174</v>
      </c>
      <c r="N504" s="67" t="s">
        <v>45</v>
      </c>
    </row>
    <row r="505" spans="2:14" ht="51" x14ac:dyDescent="0.2">
      <c r="B505" s="161" t="s">
        <v>175</v>
      </c>
      <c r="C505" s="19"/>
      <c r="N505" s="67" t="s">
        <v>45</v>
      </c>
    </row>
    <row r="506" spans="2:14" ht="17" x14ac:dyDescent="0.2">
      <c r="B506" s="131" t="s">
        <v>176</v>
      </c>
      <c r="C506" s="19" t="s">
        <v>40</v>
      </c>
      <c r="E506" s="34" t="s">
        <v>0</v>
      </c>
      <c r="G506" s="62" t="s">
        <v>41</v>
      </c>
      <c r="H506" s="61">
        <v>18023</v>
      </c>
      <c r="N506" s="67" t="s">
        <v>42</v>
      </c>
    </row>
    <row r="507" spans="2:14" ht="17" x14ac:dyDescent="0.2">
      <c r="B507" s="160" t="s">
        <v>177</v>
      </c>
      <c r="C507" s="19" t="s">
        <v>40</v>
      </c>
      <c r="E507" s="34" t="s">
        <v>0</v>
      </c>
      <c r="G507" s="62" t="s">
        <v>41</v>
      </c>
      <c r="H507" s="61">
        <v>18023</v>
      </c>
      <c r="N507" s="67" t="s">
        <v>42</v>
      </c>
    </row>
    <row r="508" spans="2:14" ht="17" x14ac:dyDescent="0.2">
      <c r="B508" s="131" t="s">
        <v>178</v>
      </c>
      <c r="C508" s="19" t="s">
        <v>40</v>
      </c>
      <c r="E508" s="34" t="s">
        <v>0</v>
      </c>
      <c r="G508" s="62" t="s">
        <v>41</v>
      </c>
      <c r="H508" s="61">
        <v>18023</v>
      </c>
      <c r="N508" s="67" t="s">
        <v>42</v>
      </c>
    </row>
    <row r="509" spans="2:14" ht="68" x14ac:dyDescent="0.2">
      <c r="B509" s="131" t="s">
        <v>179</v>
      </c>
      <c r="C509" s="19" t="s">
        <v>40</v>
      </c>
      <c r="E509" s="34" t="s">
        <v>0</v>
      </c>
      <c r="G509" s="62" t="s">
        <v>41</v>
      </c>
      <c r="H509" s="61">
        <v>18023</v>
      </c>
      <c r="N509" s="67" t="s">
        <v>42</v>
      </c>
    </row>
    <row r="510" spans="2:14" ht="17" x14ac:dyDescent="0.2">
      <c r="B510" s="131" t="s">
        <v>180</v>
      </c>
      <c r="C510" s="19" t="s">
        <v>40</v>
      </c>
      <c r="E510" s="34" t="s">
        <v>0</v>
      </c>
      <c r="G510" s="62" t="s">
        <v>41</v>
      </c>
      <c r="H510" s="61">
        <v>18023</v>
      </c>
      <c r="N510" s="67" t="s">
        <v>42</v>
      </c>
    </row>
    <row r="511" spans="2:14" ht="68" x14ac:dyDescent="0.2">
      <c r="B511" s="131" t="s">
        <v>181</v>
      </c>
      <c r="C511" s="19" t="s">
        <v>40</v>
      </c>
      <c r="E511" s="34" t="s">
        <v>0</v>
      </c>
      <c r="G511" s="62" t="s">
        <v>41</v>
      </c>
      <c r="H511" s="61">
        <v>18023</v>
      </c>
      <c r="N511" s="67" t="s">
        <v>42</v>
      </c>
    </row>
    <row r="512" spans="2:14" ht="17" x14ac:dyDescent="0.2">
      <c r="B512" s="160" t="s">
        <v>182</v>
      </c>
      <c r="C512" s="19" t="s">
        <v>40</v>
      </c>
      <c r="E512" s="34" t="s">
        <v>0</v>
      </c>
      <c r="G512" s="62" t="s">
        <v>41</v>
      </c>
      <c r="H512" s="61">
        <v>18023</v>
      </c>
      <c r="N512" s="67" t="s">
        <v>42</v>
      </c>
    </row>
    <row r="513" spans="2:14" ht="68" x14ac:dyDescent="0.2">
      <c r="B513" s="160" t="s">
        <v>183</v>
      </c>
      <c r="C513" s="19" t="s">
        <v>40</v>
      </c>
      <c r="E513" s="34" t="s">
        <v>0</v>
      </c>
      <c r="G513" s="62" t="s">
        <v>41</v>
      </c>
      <c r="H513" s="61">
        <v>18023</v>
      </c>
      <c r="N513" s="67" t="s">
        <v>42</v>
      </c>
    </row>
    <row r="514" spans="2:14" ht="17" x14ac:dyDescent="0.2">
      <c r="B514" s="162" t="s">
        <v>184</v>
      </c>
      <c r="C514" s="19" t="s">
        <v>40</v>
      </c>
      <c r="E514" s="34" t="s">
        <v>0</v>
      </c>
      <c r="G514" s="62" t="s">
        <v>41</v>
      </c>
      <c r="H514" s="61">
        <v>18023</v>
      </c>
      <c r="N514" s="67" t="s">
        <v>42</v>
      </c>
    </row>
    <row r="515" spans="2:14" ht="17" x14ac:dyDescent="0.2">
      <c r="B515" s="162" t="s">
        <v>185</v>
      </c>
      <c r="C515" s="19" t="s">
        <v>40</v>
      </c>
      <c r="E515" s="34" t="s">
        <v>0</v>
      </c>
      <c r="G515" s="62" t="s">
        <v>41</v>
      </c>
      <c r="H515" s="61">
        <v>18023</v>
      </c>
      <c r="N515" s="67" t="s">
        <v>42</v>
      </c>
    </row>
    <row r="516" spans="2:14" ht="17" x14ac:dyDescent="0.2">
      <c r="N516" s="67" t="s">
        <v>45</v>
      </c>
    </row>
    <row r="517" spans="2:14" ht="17" x14ac:dyDescent="0.2">
      <c r="N517" s="67" t="s">
        <v>45</v>
      </c>
    </row>
    <row r="518" spans="2:14" ht="17" x14ac:dyDescent="0.2">
      <c r="N518" s="67" t="s">
        <v>45</v>
      </c>
    </row>
    <row r="519" spans="2:14" ht="17" x14ac:dyDescent="0.2">
      <c r="N519" s="67" t="s">
        <v>45</v>
      </c>
    </row>
    <row r="520" spans="2:14" ht="25" x14ac:dyDescent="0.3">
      <c r="B520" s="125" t="s">
        <v>351</v>
      </c>
      <c r="C520" s="59"/>
      <c r="N520" s="67" t="s">
        <v>45</v>
      </c>
    </row>
    <row r="521" spans="2:14" ht="46" x14ac:dyDescent="0.2">
      <c r="B521" s="170" t="s">
        <v>352</v>
      </c>
      <c r="C521" s="19"/>
      <c r="N521" s="67" t="s">
        <v>45</v>
      </c>
    </row>
    <row r="522" spans="2:14" ht="17" x14ac:dyDescent="0.2">
      <c r="B522" s="127" t="s">
        <v>31</v>
      </c>
      <c r="C522" s="19"/>
      <c r="N522" s="67" t="s">
        <v>45</v>
      </c>
    </row>
    <row r="523" spans="2:14" ht="17" x14ac:dyDescent="0.2">
      <c r="B523" s="127" t="s">
        <v>328</v>
      </c>
      <c r="N523" s="67" t="s">
        <v>45</v>
      </c>
    </row>
    <row r="524" spans="2:14" ht="17" x14ac:dyDescent="0.2">
      <c r="B524" s="128" t="s">
        <v>33</v>
      </c>
      <c r="N524" s="67" t="s">
        <v>45</v>
      </c>
    </row>
    <row r="525" spans="2:14" ht="17" x14ac:dyDescent="0.2">
      <c r="B525" s="127" t="s">
        <v>34</v>
      </c>
      <c r="C525" s="19"/>
      <c r="N525" s="67" t="s">
        <v>45</v>
      </c>
    </row>
    <row r="526" spans="2:14" ht="34" x14ac:dyDescent="0.2">
      <c r="B526" s="163" t="s">
        <v>353</v>
      </c>
      <c r="C526" s="19"/>
      <c r="N526" s="67" t="s">
        <v>45</v>
      </c>
    </row>
    <row r="527" spans="2:14" ht="17" x14ac:dyDescent="0.2">
      <c r="B527" s="129" t="s">
        <v>36</v>
      </c>
      <c r="C527" s="19"/>
      <c r="N527" s="67" t="s">
        <v>45</v>
      </c>
    </row>
    <row r="528" spans="2:14" ht="17" x14ac:dyDescent="0.2">
      <c r="B528" s="129" t="s">
        <v>37</v>
      </c>
      <c r="C528" s="19"/>
      <c r="N528" s="67" t="s">
        <v>45</v>
      </c>
    </row>
    <row r="529" spans="2:14" ht="17" x14ac:dyDescent="0.2">
      <c r="B529" s="128" t="s">
        <v>38</v>
      </c>
      <c r="C529" s="19"/>
      <c r="N529" s="67" t="s">
        <v>45</v>
      </c>
    </row>
    <row r="530" spans="2:14" ht="57" customHeight="1" x14ac:dyDescent="0.2">
      <c r="B530" s="164" t="s">
        <v>223</v>
      </c>
      <c r="C530" s="19" t="s">
        <v>40</v>
      </c>
      <c r="J530" s="34" t="s">
        <v>0</v>
      </c>
      <c r="L530" s="62" t="s">
        <v>41</v>
      </c>
      <c r="M530" s="34">
        <v>25132</v>
      </c>
      <c r="N530" s="67" t="s">
        <v>42</v>
      </c>
    </row>
    <row r="531" spans="2:14" ht="32" x14ac:dyDescent="0.2">
      <c r="B531" s="164" t="s">
        <v>224</v>
      </c>
      <c r="C531" s="19" t="s">
        <v>40</v>
      </c>
      <c r="J531" s="34" t="s">
        <v>0</v>
      </c>
      <c r="L531" s="62" t="s">
        <v>41</v>
      </c>
      <c r="M531" s="34">
        <v>25132</v>
      </c>
      <c r="N531" s="67" t="s">
        <v>42</v>
      </c>
    </row>
    <row r="532" spans="2:14" ht="17" x14ac:dyDescent="0.2">
      <c r="B532" s="128" t="s">
        <v>44</v>
      </c>
      <c r="C532" s="19"/>
      <c r="N532" s="67" t="s">
        <v>45</v>
      </c>
    </row>
    <row r="533" spans="2:14" ht="17" x14ac:dyDescent="0.2">
      <c r="B533" s="164" t="s">
        <v>225</v>
      </c>
      <c r="C533" s="19" t="s">
        <v>40</v>
      </c>
      <c r="J533" s="34" t="s">
        <v>0</v>
      </c>
      <c r="L533" s="62" t="s">
        <v>41</v>
      </c>
      <c r="M533" s="34">
        <v>25132</v>
      </c>
      <c r="N533" s="67" t="s">
        <v>42</v>
      </c>
    </row>
    <row r="534" spans="2:14" ht="17" x14ac:dyDescent="0.2">
      <c r="B534" s="128" t="s">
        <v>47</v>
      </c>
      <c r="N534" s="67" t="s">
        <v>45</v>
      </c>
    </row>
    <row r="535" spans="2:14" ht="17" x14ac:dyDescent="0.2">
      <c r="B535" s="131" t="s">
        <v>48</v>
      </c>
      <c r="C535" s="19" t="s">
        <v>40</v>
      </c>
      <c r="J535" s="34" t="s">
        <v>0</v>
      </c>
      <c r="L535" s="62" t="s">
        <v>41</v>
      </c>
      <c r="M535" s="34">
        <v>25132</v>
      </c>
      <c r="N535" s="67" t="s">
        <v>42</v>
      </c>
    </row>
    <row r="536" spans="2:14" ht="17" x14ac:dyDescent="0.2">
      <c r="B536" s="131" t="s">
        <v>49</v>
      </c>
      <c r="C536" s="19" t="s">
        <v>40</v>
      </c>
      <c r="J536" s="34" t="s">
        <v>0</v>
      </c>
      <c r="L536" s="62" t="s">
        <v>41</v>
      </c>
      <c r="M536" s="34">
        <v>25132</v>
      </c>
      <c r="N536" s="67" t="s">
        <v>42</v>
      </c>
    </row>
    <row r="537" spans="2:14" ht="34" x14ac:dyDescent="0.2">
      <c r="B537" s="131" t="s">
        <v>50</v>
      </c>
      <c r="C537" s="19" t="s">
        <v>40</v>
      </c>
      <c r="J537" s="34" t="s">
        <v>0</v>
      </c>
      <c r="L537" s="62" t="s">
        <v>41</v>
      </c>
      <c r="M537" s="34">
        <v>25132</v>
      </c>
      <c r="N537" s="67" t="s">
        <v>42</v>
      </c>
    </row>
    <row r="538" spans="2:14" ht="17" x14ac:dyDescent="0.2">
      <c r="B538" s="128" t="s">
        <v>51</v>
      </c>
      <c r="C538" s="19"/>
      <c r="N538" s="67" t="s">
        <v>45</v>
      </c>
    </row>
    <row r="539" spans="2:14" ht="36" customHeight="1" x14ac:dyDescent="0.2">
      <c r="B539" s="165" t="s">
        <v>52</v>
      </c>
      <c r="C539" s="19" t="s">
        <v>40</v>
      </c>
      <c r="J539" s="34" t="s">
        <v>0</v>
      </c>
      <c r="L539" s="62" t="s">
        <v>41</v>
      </c>
      <c r="M539" s="34">
        <v>25132</v>
      </c>
      <c r="N539" s="67" t="s">
        <v>42</v>
      </c>
    </row>
    <row r="540" spans="2:14" ht="17" x14ac:dyDescent="0.2">
      <c r="B540" s="132" t="s">
        <v>226</v>
      </c>
      <c r="C540" s="19"/>
      <c r="N540" s="67" t="s">
        <v>45</v>
      </c>
    </row>
    <row r="541" spans="2:14" ht="51" x14ac:dyDescent="0.2">
      <c r="B541" s="133" t="s">
        <v>227</v>
      </c>
      <c r="C541" s="19" t="s">
        <v>40</v>
      </c>
      <c r="J541" s="34" t="s">
        <v>0</v>
      </c>
      <c r="L541" s="62" t="s">
        <v>41</v>
      </c>
      <c r="M541" s="34">
        <v>25132</v>
      </c>
      <c r="N541" s="67" t="s">
        <v>42</v>
      </c>
    </row>
    <row r="542" spans="2:14" ht="17" x14ac:dyDescent="0.2">
      <c r="B542" s="128" t="s">
        <v>55</v>
      </c>
      <c r="C542" s="19"/>
      <c r="N542" s="67" t="s">
        <v>45</v>
      </c>
    </row>
    <row r="543" spans="2:14" ht="51" x14ac:dyDescent="0.2">
      <c r="B543" s="134" t="s">
        <v>56</v>
      </c>
      <c r="C543" s="19" t="s">
        <v>57</v>
      </c>
      <c r="J543" s="34" t="s">
        <v>0</v>
      </c>
      <c r="L543" s="62" t="s">
        <v>41</v>
      </c>
      <c r="M543" s="34">
        <v>25132</v>
      </c>
      <c r="N543" s="67" t="s">
        <v>42</v>
      </c>
    </row>
    <row r="544" spans="2:14" ht="20" x14ac:dyDescent="0.2">
      <c r="B544" s="177" t="s">
        <v>51</v>
      </c>
      <c r="N544" s="67" t="s">
        <v>45</v>
      </c>
    </row>
    <row r="545" spans="2:14" ht="17" x14ac:dyDescent="0.2">
      <c r="B545" s="128" t="s">
        <v>342</v>
      </c>
      <c r="C545" s="19" t="s">
        <v>40</v>
      </c>
      <c r="N545" s="67" t="s">
        <v>42</v>
      </c>
    </row>
    <row r="546" spans="2:14" ht="17" x14ac:dyDescent="0.2">
      <c r="B546" s="231" t="s">
        <v>229</v>
      </c>
      <c r="N546" s="67" t="s">
        <v>45</v>
      </c>
    </row>
    <row r="547" spans="2:14" ht="17" x14ac:dyDescent="0.2">
      <c r="B547" s="233" t="s">
        <v>230</v>
      </c>
      <c r="C547" s="19" t="s">
        <v>40</v>
      </c>
      <c r="J547" s="34" t="s">
        <v>0</v>
      </c>
      <c r="L547" s="62" t="s">
        <v>41</v>
      </c>
      <c r="M547" s="34">
        <v>25132</v>
      </c>
      <c r="N547" s="67" t="s">
        <v>42</v>
      </c>
    </row>
    <row r="548" spans="2:14" ht="17" x14ac:dyDescent="0.2">
      <c r="B548" s="233" t="s">
        <v>231</v>
      </c>
      <c r="C548" s="232"/>
      <c r="J548" s="34" t="s">
        <v>0</v>
      </c>
      <c r="L548" s="62" t="s">
        <v>41</v>
      </c>
      <c r="M548" s="34">
        <v>25132</v>
      </c>
      <c r="N548" s="67" t="s">
        <v>45</v>
      </c>
    </row>
    <row r="549" spans="2:14" ht="17" x14ac:dyDescent="0.2">
      <c r="B549" s="233" t="s">
        <v>232</v>
      </c>
      <c r="C549" s="232" t="s">
        <v>40</v>
      </c>
      <c r="J549" s="34" t="s">
        <v>0</v>
      </c>
      <c r="L549" s="62" t="s">
        <v>41</v>
      </c>
      <c r="M549" s="34">
        <v>25132</v>
      </c>
      <c r="N549" s="67" t="s">
        <v>42</v>
      </c>
    </row>
    <row r="550" spans="2:14" ht="17" x14ac:dyDescent="0.2">
      <c r="B550" s="233" t="s">
        <v>233</v>
      </c>
      <c r="C550" s="232" t="s">
        <v>40</v>
      </c>
      <c r="J550" s="34" t="s">
        <v>0</v>
      </c>
      <c r="L550" s="62" t="s">
        <v>41</v>
      </c>
      <c r="M550" s="34">
        <v>25132</v>
      </c>
      <c r="N550" s="67" t="s">
        <v>42</v>
      </c>
    </row>
    <row r="551" spans="2:14" ht="17" x14ac:dyDescent="0.2">
      <c r="B551" s="233" t="s">
        <v>236</v>
      </c>
      <c r="C551" s="232" t="s">
        <v>40</v>
      </c>
      <c r="N551" s="67" t="s">
        <v>42</v>
      </c>
    </row>
    <row r="552" spans="2:14" ht="17" x14ac:dyDescent="0.2">
      <c r="B552" s="128" t="s">
        <v>65</v>
      </c>
      <c r="N552" s="67" t="s">
        <v>45</v>
      </c>
    </row>
    <row r="553" spans="2:14" ht="17" x14ac:dyDescent="0.2">
      <c r="B553" s="174" t="s">
        <v>66</v>
      </c>
      <c r="C553" s="19" t="s">
        <v>40</v>
      </c>
      <c r="J553" s="34" t="s">
        <v>0</v>
      </c>
      <c r="L553" s="62" t="s">
        <v>41</v>
      </c>
      <c r="M553" s="34">
        <v>25132</v>
      </c>
      <c r="N553" s="67" t="s">
        <v>42</v>
      </c>
    </row>
    <row r="554" spans="2:14" ht="17" x14ac:dyDescent="0.2">
      <c r="B554" s="166" t="s">
        <v>67</v>
      </c>
      <c r="C554" s="19" t="s">
        <v>40</v>
      </c>
      <c r="J554" s="34" t="s">
        <v>0</v>
      </c>
      <c r="L554" s="62" t="s">
        <v>41</v>
      </c>
      <c r="M554" s="34">
        <v>25132</v>
      </c>
      <c r="N554" s="67" t="s">
        <v>42</v>
      </c>
    </row>
    <row r="555" spans="2:14" ht="17" x14ac:dyDescent="0.2">
      <c r="B555" s="166" t="s">
        <v>68</v>
      </c>
      <c r="C555" s="19" t="s">
        <v>40</v>
      </c>
      <c r="J555" s="34" t="s">
        <v>0</v>
      </c>
      <c r="L555" s="62" t="s">
        <v>41</v>
      </c>
      <c r="M555" s="34">
        <v>25132</v>
      </c>
      <c r="N555" s="67" t="s">
        <v>42</v>
      </c>
    </row>
    <row r="556" spans="2:14" ht="17" x14ac:dyDescent="0.2">
      <c r="B556" s="166" t="s">
        <v>354</v>
      </c>
      <c r="C556" s="19" t="s">
        <v>40</v>
      </c>
      <c r="J556" s="34" t="s">
        <v>0</v>
      </c>
      <c r="L556" s="62" t="s">
        <v>41</v>
      </c>
      <c r="M556" s="34">
        <v>25132</v>
      </c>
      <c r="N556" s="67" t="s">
        <v>42</v>
      </c>
    </row>
    <row r="557" spans="2:14" ht="17" x14ac:dyDescent="0.2">
      <c r="B557" s="166" t="s">
        <v>355</v>
      </c>
      <c r="C557" s="19" t="s">
        <v>40</v>
      </c>
      <c r="J557" s="34" t="s">
        <v>0</v>
      </c>
      <c r="L557" s="62" t="s">
        <v>41</v>
      </c>
      <c r="M557" s="34">
        <v>25132</v>
      </c>
      <c r="N557" s="67" t="s">
        <v>42</v>
      </c>
    </row>
    <row r="558" spans="2:14" ht="17" x14ac:dyDescent="0.2">
      <c r="B558" s="166" t="s">
        <v>71</v>
      </c>
      <c r="C558" s="19" t="s">
        <v>40</v>
      </c>
      <c r="J558" s="34" t="s">
        <v>0</v>
      </c>
      <c r="L558" s="62" t="s">
        <v>41</v>
      </c>
      <c r="M558" s="34">
        <v>25132</v>
      </c>
      <c r="N558" s="67" t="s">
        <v>42</v>
      </c>
    </row>
    <row r="559" spans="2:14" ht="17" x14ac:dyDescent="0.2">
      <c r="B559" s="139" t="s">
        <v>72</v>
      </c>
      <c r="C559" s="19" t="s">
        <v>40</v>
      </c>
      <c r="J559" s="34" t="s">
        <v>0</v>
      </c>
      <c r="L559" s="62" t="s">
        <v>41</v>
      </c>
      <c r="M559" s="34">
        <v>25132</v>
      </c>
      <c r="N559" s="67" t="s">
        <v>42</v>
      </c>
    </row>
    <row r="560" spans="2:14" ht="17" x14ac:dyDescent="0.2">
      <c r="B560" s="174" t="s">
        <v>73</v>
      </c>
      <c r="C560" s="19" t="s">
        <v>40</v>
      </c>
      <c r="J560" s="34" t="s">
        <v>0</v>
      </c>
      <c r="L560" s="62" t="s">
        <v>41</v>
      </c>
      <c r="M560" s="34">
        <v>25132</v>
      </c>
      <c r="N560" s="67" t="s">
        <v>42</v>
      </c>
    </row>
    <row r="561" spans="2:14" ht="17" x14ac:dyDescent="0.2">
      <c r="B561" s="139" t="s">
        <v>74</v>
      </c>
      <c r="C561" s="19" t="s">
        <v>40</v>
      </c>
      <c r="J561" s="34" t="s">
        <v>0</v>
      </c>
      <c r="L561" s="62" t="s">
        <v>41</v>
      </c>
      <c r="M561" s="34">
        <v>25132</v>
      </c>
      <c r="N561" s="67" t="s">
        <v>42</v>
      </c>
    </row>
    <row r="562" spans="2:14" ht="17" x14ac:dyDescent="0.2">
      <c r="B562" s="139" t="s">
        <v>75</v>
      </c>
      <c r="C562" s="19" t="s">
        <v>40</v>
      </c>
      <c r="J562" s="34" t="s">
        <v>0</v>
      </c>
      <c r="L562" s="62" t="s">
        <v>41</v>
      </c>
      <c r="M562" s="34">
        <v>25132</v>
      </c>
      <c r="N562" s="67" t="s">
        <v>42</v>
      </c>
    </row>
    <row r="563" spans="2:14" ht="17" x14ac:dyDescent="0.2">
      <c r="B563" s="138" t="s">
        <v>76</v>
      </c>
      <c r="C563" s="19" t="s">
        <v>40</v>
      </c>
      <c r="J563" s="34" t="s">
        <v>0</v>
      </c>
      <c r="L563" s="62" t="s">
        <v>41</v>
      </c>
      <c r="M563" s="34">
        <v>25132</v>
      </c>
      <c r="N563" s="67" t="s">
        <v>42</v>
      </c>
    </row>
    <row r="564" spans="2:14" ht="68" x14ac:dyDescent="0.2">
      <c r="B564" s="166" t="s">
        <v>204</v>
      </c>
      <c r="C564" s="19" t="s">
        <v>40</v>
      </c>
      <c r="J564" s="34" t="s">
        <v>0</v>
      </c>
      <c r="L564" s="62" t="s">
        <v>41</v>
      </c>
      <c r="M564" s="34">
        <v>25132</v>
      </c>
      <c r="N564" s="67" t="s">
        <v>42</v>
      </c>
    </row>
    <row r="565" spans="2:14" ht="17" x14ac:dyDescent="0.2">
      <c r="B565" s="166" t="s">
        <v>237</v>
      </c>
      <c r="C565" s="19" t="s">
        <v>40</v>
      </c>
      <c r="J565" s="34" t="s">
        <v>0</v>
      </c>
      <c r="L565" s="62" t="s">
        <v>41</v>
      </c>
      <c r="M565" s="34">
        <v>25132</v>
      </c>
      <c r="N565" s="67" t="s">
        <v>42</v>
      </c>
    </row>
    <row r="566" spans="2:14" ht="17" x14ac:dyDescent="0.2">
      <c r="B566" s="166" t="s">
        <v>356</v>
      </c>
      <c r="C566" s="19" t="s">
        <v>40</v>
      </c>
      <c r="J566" s="34" t="s">
        <v>0</v>
      </c>
      <c r="L566" s="62" t="s">
        <v>41</v>
      </c>
      <c r="M566" s="34">
        <v>25132</v>
      </c>
      <c r="N566" s="67" t="s">
        <v>42</v>
      </c>
    </row>
    <row r="567" spans="2:14" ht="17" x14ac:dyDescent="0.2">
      <c r="B567" s="138" t="s">
        <v>80</v>
      </c>
      <c r="C567" s="19" t="s">
        <v>40</v>
      </c>
      <c r="J567" s="34" t="s">
        <v>0</v>
      </c>
      <c r="L567" s="62" t="s">
        <v>41</v>
      </c>
      <c r="M567" s="34">
        <v>25132</v>
      </c>
      <c r="N567" s="67" t="s">
        <v>42</v>
      </c>
    </row>
    <row r="568" spans="2:14" ht="17" x14ac:dyDescent="0.2">
      <c r="B568" s="138" t="s">
        <v>81</v>
      </c>
      <c r="C568" s="19" t="s">
        <v>40</v>
      </c>
      <c r="J568" s="34" t="s">
        <v>0</v>
      </c>
      <c r="L568" s="62" t="s">
        <v>41</v>
      </c>
      <c r="M568" s="34">
        <v>25132</v>
      </c>
      <c r="N568" s="67" t="s">
        <v>42</v>
      </c>
    </row>
    <row r="569" spans="2:14" ht="17" x14ac:dyDescent="0.2">
      <c r="B569" s="138" t="s">
        <v>82</v>
      </c>
      <c r="C569" s="19" t="s">
        <v>40</v>
      </c>
      <c r="J569" s="34" t="s">
        <v>0</v>
      </c>
      <c r="L569" s="62" t="s">
        <v>41</v>
      </c>
      <c r="M569" s="34">
        <v>25132</v>
      </c>
      <c r="N569" s="67" t="s">
        <v>42</v>
      </c>
    </row>
    <row r="570" spans="2:14" ht="17" x14ac:dyDescent="0.2">
      <c r="B570" s="138" t="s">
        <v>357</v>
      </c>
      <c r="C570" s="19" t="s">
        <v>40</v>
      </c>
      <c r="J570" s="34" t="s">
        <v>0</v>
      </c>
      <c r="L570" s="62" t="s">
        <v>41</v>
      </c>
      <c r="M570" s="34">
        <v>25132</v>
      </c>
      <c r="N570" s="67" t="s">
        <v>42</v>
      </c>
    </row>
    <row r="571" spans="2:14" ht="17" x14ac:dyDescent="0.2">
      <c r="B571" s="138" t="s">
        <v>84</v>
      </c>
      <c r="C571" s="19" t="s">
        <v>40</v>
      </c>
      <c r="J571" s="34" t="s">
        <v>0</v>
      </c>
      <c r="L571" s="62" t="s">
        <v>41</v>
      </c>
      <c r="M571" s="34">
        <v>25132</v>
      </c>
      <c r="N571" s="67" t="s">
        <v>42</v>
      </c>
    </row>
    <row r="572" spans="2:14" ht="17" x14ac:dyDescent="0.2">
      <c r="B572" s="139" t="s">
        <v>85</v>
      </c>
      <c r="C572" s="19" t="s">
        <v>40</v>
      </c>
      <c r="J572" s="34" t="s">
        <v>0</v>
      </c>
      <c r="L572" s="62" t="s">
        <v>41</v>
      </c>
      <c r="M572" s="34">
        <v>25132</v>
      </c>
      <c r="N572" s="67" t="s">
        <v>42</v>
      </c>
    </row>
    <row r="573" spans="2:14" ht="17" x14ac:dyDescent="0.2">
      <c r="B573" s="140" t="s">
        <v>86</v>
      </c>
      <c r="N573" s="67" t="s">
        <v>45</v>
      </c>
    </row>
    <row r="574" spans="2:14" ht="17" x14ac:dyDescent="0.2">
      <c r="B574" s="141" t="s">
        <v>87</v>
      </c>
      <c r="C574" s="19" t="s">
        <v>40</v>
      </c>
      <c r="J574" s="34" t="s">
        <v>0</v>
      </c>
      <c r="L574" s="62" t="s">
        <v>41</v>
      </c>
      <c r="M574" s="34">
        <v>25132</v>
      </c>
      <c r="N574" s="67" t="s">
        <v>42</v>
      </c>
    </row>
    <row r="575" spans="2:14" ht="32" x14ac:dyDescent="0.2">
      <c r="B575" s="140" t="s">
        <v>88</v>
      </c>
      <c r="C575" s="19"/>
      <c r="N575" s="67" t="s">
        <v>45</v>
      </c>
    </row>
    <row r="576" spans="2:14" ht="32" x14ac:dyDescent="0.2">
      <c r="B576" s="250" t="s">
        <v>89</v>
      </c>
      <c r="C576" s="19" t="s">
        <v>40</v>
      </c>
      <c r="J576" s="34" t="s">
        <v>0</v>
      </c>
      <c r="L576" s="62" t="s">
        <v>41</v>
      </c>
      <c r="M576" s="34">
        <v>25132</v>
      </c>
      <c r="N576" s="67" t="s">
        <v>42</v>
      </c>
    </row>
    <row r="577" spans="2:14" ht="17" x14ac:dyDescent="0.2">
      <c r="B577" s="140" t="s">
        <v>90</v>
      </c>
      <c r="C577" s="19"/>
      <c r="N577" s="67" t="s">
        <v>45</v>
      </c>
    </row>
    <row r="578" spans="2:14" ht="32" x14ac:dyDescent="0.2">
      <c r="B578" s="142" t="s">
        <v>91</v>
      </c>
      <c r="C578" s="19" t="s">
        <v>40</v>
      </c>
      <c r="J578" s="34" t="s">
        <v>92</v>
      </c>
      <c r="L578" s="62" t="s">
        <v>41</v>
      </c>
      <c r="M578" s="34">
        <v>25132</v>
      </c>
      <c r="N578" s="67" t="s">
        <v>42</v>
      </c>
    </row>
    <row r="579" spans="2:14" ht="17" x14ac:dyDescent="0.2">
      <c r="B579" s="140" t="s">
        <v>93</v>
      </c>
      <c r="C579" s="19"/>
      <c r="N579" s="67" t="s">
        <v>45</v>
      </c>
    </row>
    <row r="580" spans="2:14" ht="32" x14ac:dyDescent="0.2">
      <c r="B580" s="142" t="s">
        <v>94</v>
      </c>
      <c r="C580" s="19" t="s">
        <v>40</v>
      </c>
      <c r="J580" s="34" t="s">
        <v>92</v>
      </c>
      <c r="L580" s="62" t="s">
        <v>41</v>
      </c>
      <c r="M580" s="34">
        <v>25132</v>
      </c>
      <c r="N580" s="67" t="s">
        <v>42</v>
      </c>
    </row>
    <row r="581" spans="2:14" ht="48" x14ac:dyDescent="0.2">
      <c r="B581" s="143" t="s">
        <v>95</v>
      </c>
      <c r="C581" s="19" t="s">
        <v>40</v>
      </c>
      <c r="J581" s="34" t="s">
        <v>92</v>
      </c>
      <c r="L581" s="62" t="s">
        <v>41</v>
      </c>
      <c r="M581" s="34">
        <v>25132</v>
      </c>
      <c r="N581" s="67" t="s">
        <v>42</v>
      </c>
    </row>
    <row r="582" spans="2:14" ht="17" x14ac:dyDescent="0.2">
      <c r="B582" s="144" t="s">
        <v>96</v>
      </c>
      <c r="C582" s="19" t="s">
        <v>40</v>
      </c>
      <c r="J582" s="34" t="s">
        <v>92</v>
      </c>
      <c r="L582" s="62" t="s">
        <v>41</v>
      </c>
      <c r="M582" s="34">
        <v>25132</v>
      </c>
      <c r="N582" s="67" t="s">
        <v>42</v>
      </c>
    </row>
    <row r="583" spans="2:14" ht="32" x14ac:dyDescent="0.2">
      <c r="B583" s="143" t="s">
        <v>97</v>
      </c>
      <c r="C583" s="19" t="s">
        <v>40</v>
      </c>
      <c r="J583" s="34" t="s">
        <v>92</v>
      </c>
      <c r="L583" s="62" t="s">
        <v>41</v>
      </c>
      <c r="M583" s="34">
        <v>25132</v>
      </c>
      <c r="N583" s="67" t="s">
        <v>42</v>
      </c>
    </row>
    <row r="584" spans="2:14" ht="17" x14ac:dyDescent="0.2">
      <c r="B584" s="142" t="s">
        <v>98</v>
      </c>
      <c r="C584" s="19" t="s">
        <v>40</v>
      </c>
      <c r="J584" s="34" t="s">
        <v>92</v>
      </c>
      <c r="L584" s="62" t="s">
        <v>41</v>
      </c>
      <c r="M584" s="34">
        <v>25132</v>
      </c>
      <c r="N584" s="67" t="s">
        <v>42</v>
      </c>
    </row>
    <row r="585" spans="2:14" ht="17" x14ac:dyDescent="0.2">
      <c r="B585" s="144" t="s">
        <v>99</v>
      </c>
      <c r="C585" s="19" t="s">
        <v>40</v>
      </c>
      <c r="J585" s="34" t="s">
        <v>92</v>
      </c>
      <c r="L585" s="62" t="s">
        <v>41</v>
      </c>
      <c r="M585" s="34">
        <v>25132</v>
      </c>
      <c r="N585" s="67" t="s">
        <v>42</v>
      </c>
    </row>
    <row r="586" spans="2:14" ht="17" x14ac:dyDescent="0.2">
      <c r="B586" s="143" t="s">
        <v>100</v>
      </c>
      <c r="C586" s="19" t="s">
        <v>40</v>
      </c>
      <c r="J586" s="34" t="s">
        <v>92</v>
      </c>
      <c r="L586" s="62" t="s">
        <v>41</v>
      </c>
      <c r="M586" s="34">
        <v>25132</v>
      </c>
      <c r="N586" s="67" t="s">
        <v>42</v>
      </c>
    </row>
    <row r="587" spans="2:14" ht="17" x14ac:dyDescent="0.2">
      <c r="B587" s="140" t="s">
        <v>101</v>
      </c>
      <c r="N587" s="67" t="s">
        <v>45</v>
      </c>
    </row>
    <row r="588" spans="2:14" ht="17" x14ac:dyDescent="0.2">
      <c r="B588" s="141" t="s">
        <v>87</v>
      </c>
      <c r="C588" s="19" t="s">
        <v>40</v>
      </c>
      <c r="J588" s="34" t="s">
        <v>0</v>
      </c>
      <c r="L588" s="62" t="s">
        <v>41</v>
      </c>
      <c r="M588" s="34">
        <v>25132</v>
      </c>
      <c r="N588" s="67" t="s">
        <v>42</v>
      </c>
    </row>
    <row r="589" spans="2:14" ht="32" x14ac:dyDescent="0.2">
      <c r="B589" s="250" t="s">
        <v>102</v>
      </c>
      <c r="C589" s="19" t="s">
        <v>40</v>
      </c>
      <c r="J589" s="34" t="s">
        <v>0</v>
      </c>
      <c r="L589" s="62" t="s">
        <v>41</v>
      </c>
      <c r="M589" s="34">
        <v>25132</v>
      </c>
      <c r="N589" s="67" t="s">
        <v>42</v>
      </c>
    </row>
    <row r="590" spans="2:14" ht="48" x14ac:dyDescent="0.2">
      <c r="B590" s="143" t="s">
        <v>103</v>
      </c>
      <c r="C590" s="19" t="s">
        <v>40</v>
      </c>
      <c r="J590" s="34" t="s">
        <v>0</v>
      </c>
      <c r="L590" s="62" t="s">
        <v>41</v>
      </c>
      <c r="M590" s="34">
        <v>25132</v>
      </c>
      <c r="N590" s="67" t="s">
        <v>42</v>
      </c>
    </row>
    <row r="591" spans="2:14" ht="17" x14ac:dyDescent="0.2">
      <c r="B591" s="144" t="s">
        <v>96</v>
      </c>
      <c r="C591" s="19" t="s">
        <v>40</v>
      </c>
      <c r="J591" s="34" t="s">
        <v>0</v>
      </c>
      <c r="L591" s="62" t="s">
        <v>41</v>
      </c>
      <c r="M591" s="34">
        <v>25132</v>
      </c>
      <c r="N591" s="67" t="s">
        <v>42</v>
      </c>
    </row>
    <row r="592" spans="2:14" ht="32" x14ac:dyDescent="0.2">
      <c r="B592" s="143" t="s">
        <v>104</v>
      </c>
      <c r="C592" s="19" t="s">
        <v>40</v>
      </c>
      <c r="J592" s="34" t="s">
        <v>0</v>
      </c>
      <c r="L592" s="62" t="s">
        <v>41</v>
      </c>
      <c r="M592" s="34">
        <v>25132</v>
      </c>
      <c r="N592" s="67" t="s">
        <v>42</v>
      </c>
    </row>
    <row r="593" spans="2:14" ht="32" x14ac:dyDescent="0.2">
      <c r="B593" s="142" t="s">
        <v>105</v>
      </c>
      <c r="C593" s="19" t="s">
        <v>40</v>
      </c>
      <c r="J593" s="34" t="s">
        <v>0</v>
      </c>
      <c r="L593" s="62" t="s">
        <v>41</v>
      </c>
      <c r="M593" s="34">
        <v>25132</v>
      </c>
      <c r="N593" s="67" t="s">
        <v>42</v>
      </c>
    </row>
    <row r="594" spans="2:14" ht="17" x14ac:dyDescent="0.2">
      <c r="B594" s="144" t="s">
        <v>99</v>
      </c>
      <c r="C594" s="19" t="s">
        <v>40</v>
      </c>
      <c r="J594" s="34" t="s">
        <v>0</v>
      </c>
      <c r="L594" s="62" t="s">
        <v>41</v>
      </c>
      <c r="M594" s="34">
        <v>25132</v>
      </c>
      <c r="N594" s="67" t="s">
        <v>42</v>
      </c>
    </row>
    <row r="595" spans="2:14" ht="17" x14ac:dyDescent="0.2">
      <c r="B595" s="143" t="s">
        <v>106</v>
      </c>
      <c r="C595" s="19" t="s">
        <v>40</v>
      </c>
      <c r="J595" s="34" t="s">
        <v>0</v>
      </c>
      <c r="L595" s="62" t="s">
        <v>41</v>
      </c>
      <c r="M595" s="34">
        <v>25132</v>
      </c>
      <c r="N595" s="67" t="s">
        <v>42</v>
      </c>
    </row>
    <row r="596" spans="2:14" ht="17" x14ac:dyDescent="0.2">
      <c r="B596" s="140" t="s">
        <v>107</v>
      </c>
      <c r="N596" s="67" t="s">
        <v>45</v>
      </c>
    </row>
    <row r="597" spans="2:14" ht="17" x14ac:dyDescent="0.2">
      <c r="B597" s="141" t="s">
        <v>87</v>
      </c>
      <c r="C597" s="19" t="s">
        <v>40</v>
      </c>
      <c r="J597" s="34" t="s">
        <v>0</v>
      </c>
      <c r="L597" s="62" t="s">
        <v>41</v>
      </c>
      <c r="M597" s="34">
        <v>25132</v>
      </c>
      <c r="N597" s="67" t="s">
        <v>42</v>
      </c>
    </row>
    <row r="598" spans="2:14" ht="32" x14ac:dyDescent="0.2">
      <c r="B598" s="142" t="s">
        <v>102</v>
      </c>
      <c r="C598" s="19" t="s">
        <v>40</v>
      </c>
      <c r="J598" s="34" t="s">
        <v>0</v>
      </c>
      <c r="L598" s="62" t="s">
        <v>41</v>
      </c>
      <c r="M598" s="34">
        <v>25132</v>
      </c>
      <c r="N598" s="67" t="s">
        <v>42</v>
      </c>
    </row>
    <row r="599" spans="2:14" ht="48" x14ac:dyDescent="0.2">
      <c r="B599" s="143" t="s">
        <v>108</v>
      </c>
      <c r="C599" s="19" t="s">
        <v>40</v>
      </c>
      <c r="J599" s="34" t="s">
        <v>0</v>
      </c>
      <c r="L599" s="62" t="s">
        <v>41</v>
      </c>
      <c r="M599" s="34">
        <v>25132</v>
      </c>
      <c r="N599" s="67" t="s">
        <v>42</v>
      </c>
    </row>
    <row r="600" spans="2:14" ht="17" x14ac:dyDescent="0.2">
      <c r="B600" s="144" t="s">
        <v>96</v>
      </c>
      <c r="C600" s="19" t="s">
        <v>40</v>
      </c>
      <c r="J600" s="34" t="s">
        <v>0</v>
      </c>
      <c r="L600" s="62" t="s">
        <v>41</v>
      </c>
      <c r="M600" s="34">
        <v>25132</v>
      </c>
      <c r="N600" s="67" t="s">
        <v>42</v>
      </c>
    </row>
    <row r="601" spans="2:14" ht="32" x14ac:dyDescent="0.2">
      <c r="B601" s="143" t="s">
        <v>109</v>
      </c>
      <c r="C601" s="19" t="s">
        <v>40</v>
      </c>
      <c r="J601" s="34" t="s">
        <v>0</v>
      </c>
      <c r="L601" s="62" t="s">
        <v>41</v>
      </c>
      <c r="M601" s="34">
        <v>25132</v>
      </c>
      <c r="N601" s="67" t="s">
        <v>42</v>
      </c>
    </row>
    <row r="602" spans="2:14" ht="32" x14ac:dyDescent="0.2">
      <c r="B602" s="142" t="s">
        <v>110</v>
      </c>
      <c r="C602" s="19" t="s">
        <v>40</v>
      </c>
      <c r="J602" s="34" t="s">
        <v>0</v>
      </c>
      <c r="L602" s="62" t="s">
        <v>41</v>
      </c>
      <c r="M602" s="34">
        <v>25132</v>
      </c>
      <c r="N602" s="67" t="s">
        <v>42</v>
      </c>
    </row>
    <row r="603" spans="2:14" ht="17" x14ac:dyDescent="0.2">
      <c r="B603" s="144" t="s">
        <v>99</v>
      </c>
      <c r="C603" s="19" t="s">
        <v>40</v>
      </c>
      <c r="J603" s="34" t="s">
        <v>0</v>
      </c>
      <c r="L603" s="62" t="s">
        <v>41</v>
      </c>
      <c r="M603" s="34">
        <v>25132</v>
      </c>
      <c r="N603" s="67" t="s">
        <v>42</v>
      </c>
    </row>
    <row r="604" spans="2:14" ht="17" x14ac:dyDescent="0.2">
      <c r="B604" s="143" t="s">
        <v>111</v>
      </c>
      <c r="C604" s="19" t="s">
        <v>40</v>
      </c>
      <c r="L604" s="62" t="s">
        <v>41</v>
      </c>
      <c r="M604" s="34">
        <v>25132</v>
      </c>
      <c r="N604" s="67" t="s">
        <v>42</v>
      </c>
    </row>
    <row r="605" spans="2:14" ht="17" x14ac:dyDescent="0.2">
      <c r="B605" s="140" t="s">
        <v>112</v>
      </c>
      <c r="N605" s="67" t="s">
        <v>45</v>
      </c>
    </row>
    <row r="606" spans="2:14" ht="17" x14ac:dyDescent="0.2">
      <c r="B606" s="141" t="s">
        <v>87</v>
      </c>
      <c r="C606" s="19" t="s">
        <v>40</v>
      </c>
      <c r="J606" s="34" t="s">
        <v>0</v>
      </c>
      <c r="L606" s="62" t="s">
        <v>41</v>
      </c>
      <c r="M606" s="34">
        <v>25132</v>
      </c>
      <c r="N606" s="67" t="s">
        <v>42</v>
      </c>
    </row>
    <row r="607" spans="2:14" ht="32" x14ac:dyDescent="0.2">
      <c r="B607" s="142" t="s">
        <v>102</v>
      </c>
      <c r="C607" s="19" t="s">
        <v>40</v>
      </c>
      <c r="J607" s="34" t="s">
        <v>0</v>
      </c>
      <c r="L607" s="62" t="s">
        <v>41</v>
      </c>
      <c r="M607" s="34">
        <v>25132</v>
      </c>
      <c r="N607" s="67" t="s">
        <v>42</v>
      </c>
    </row>
    <row r="608" spans="2:14" ht="48" x14ac:dyDescent="0.2">
      <c r="B608" s="143" t="s">
        <v>113</v>
      </c>
      <c r="C608" s="19" t="s">
        <v>40</v>
      </c>
      <c r="J608" s="34" t="s">
        <v>0</v>
      </c>
      <c r="L608" s="62" t="s">
        <v>41</v>
      </c>
      <c r="M608" s="34">
        <v>25132</v>
      </c>
      <c r="N608" s="67" t="s">
        <v>42</v>
      </c>
    </row>
    <row r="609" spans="2:14" ht="17" x14ac:dyDescent="0.2">
      <c r="B609" s="144" t="s">
        <v>96</v>
      </c>
      <c r="C609" s="19" t="s">
        <v>40</v>
      </c>
      <c r="J609" s="34" t="s">
        <v>0</v>
      </c>
      <c r="L609" s="62" t="s">
        <v>41</v>
      </c>
      <c r="M609" s="34">
        <v>25132</v>
      </c>
      <c r="N609" s="67" t="s">
        <v>42</v>
      </c>
    </row>
    <row r="610" spans="2:14" ht="32" x14ac:dyDescent="0.2">
      <c r="B610" s="143" t="s">
        <v>97</v>
      </c>
      <c r="C610" s="19" t="s">
        <v>40</v>
      </c>
      <c r="J610" s="34" t="s">
        <v>0</v>
      </c>
      <c r="L610" s="62" t="s">
        <v>41</v>
      </c>
      <c r="M610" s="34">
        <v>25132</v>
      </c>
      <c r="N610" s="67" t="s">
        <v>42</v>
      </c>
    </row>
    <row r="611" spans="2:14" ht="32" x14ac:dyDescent="0.2">
      <c r="B611" s="142" t="s">
        <v>114</v>
      </c>
      <c r="C611" s="19" t="s">
        <v>40</v>
      </c>
      <c r="J611" s="34" t="s">
        <v>0</v>
      </c>
      <c r="L611" s="62" t="s">
        <v>41</v>
      </c>
      <c r="M611" s="34">
        <v>25132</v>
      </c>
      <c r="N611" s="67" t="s">
        <v>42</v>
      </c>
    </row>
    <row r="612" spans="2:14" ht="17" x14ac:dyDescent="0.2">
      <c r="B612" s="144" t="s">
        <v>99</v>
      </c>
      <c r="C612" s="19" t="s">
        <v>40</v>
      </c>
      <c r="J612" s="34" t="s">
        <v>0</v>
      </c>
      <c r="L612" s="62" t="s">
        <v>41</v>
      </c>
      <c r="M612" s="34">
        <v>25132</v>
      </c>
      <c r="N612" s="67" t="s">
        <v>42</v>
      </c>
    </row>
    <row r="613" spans="2:14" ht="17" x14ac:dyDescent="0.2">
      <c r="B613" s="143" t="s">
        <v>115</v>
      </c>
      <c r="C613" s="19" t="s">
        <v>40</v>
      </c>
      <c r="J613" s="34" t="s">
        <v>0</v>
      </c>
      <c r="L613" s="62" t="s">
        <v>41</v>
      </c>
      <c r="M613" s="34">
        <v>25132</v>
      </c>
      <c r="N613" s="67" t="s">
        <v>42</v>
      </c>
    </row>
    <row r="614" spans="2:14" ht="17" x14ac:dyDescent="0.2">
      <c r="B614" s="251" t="s">
        <v>206</v>
      </c>
      <c r="C614" s="252"/>
      <c r="N614" s="67" t="s">
        <v>45</v>
      </c>
    </row>
    <row r="615" spans="2:14" ht="17" x14ac:dyDescent="0.2">
      <c r="B615" s="213" t="s">
        <v>87</v>
      </c>
      <c r="C615" s="252" t="s">
        <v>40</v>
      </c>
      <c r="J615" s="34" t="s">
        <v>0</v>
      </c>
      <c r="L615" s="62" t="s">
        <v>41</v>
      </c>
      <c r="M615" s="34">
        <v>25132</v>
      </c>
      <c r="N615" s="67" t="s">
        <v>42</v>
      </c>
    </row>
    <row r="616" spans="2:14" ht="32" x14ac:dyDescent="0.2">
      <c r="B616" s="253" t="s">
        <v>102</v>
      </c>
      <c r="C616" s="252" t="s">
        <v>40</v>
      </c>
      <c r="J616" s="34" t="s">
        <v>0</v>
      </c>
      <c r="L616" s="62" t="s">
        <v>41</v>
      </c>
      <c r="M616" s="34">
        <v>25132</v>
      </c>
      <c r="N616" s="67" t="s">
        <v>42</v>
      </c>
    </row>
    <row r="617" spans="2:14" ht="48" x14ac:dyDescent="0.2">
      <c r="B617" s="238" t="s">
        <v>280</v>
      </c>
      <c r="C617" s="252" t="s">
        <v>40</v>
      </c>
      <c r="J617" s="34" t="s">
        <v>0</v>
      </c>
      <c r="L617" s="62" t="s">
        <v>41</v>
      </c>
      <c r="M617" s="34">
        <v>25132</v>
      </c>
      <c r="N617" s="67" t="s">
        <v>42</v>
      </c>
    </row>
    <row r="618" spans="2:14" ht="17" x14ac:dyDescent="0.2">
      <c r="B618" s="216" t="s">
        <v>96</v>
      </c>
      <c r="C618" s="252" t="s">
        <v>40</v>
      </c>
      <c r="J618" s="34" t="s">
        <v>0</v>
      </c>
      <c r="L618" s="62" t="s">
        <v>41</v>
      </c>
      <c r="M618" s="34">
        <v>25132</v>
      </c>
      <c r="N618" s="67" t="s">
        <v>42</v>
      </c>
    </row>
    <row r="619" spans="2:14" ht="32" x14ac:dyDescent="0.2">
      <c r="B619" s="238" t="s">
        <v>281</v>
      </c>
      <c r="C619" s="252" t="s">
        <v>40</v>
      </c>
      <c r="J619" s="34" t="s">
        <v>0</v>
      </c>
      <c r="L619" s="62" t="s">
        <v>41</v>
      </c>
      <c r="M619" s="34">
        <v>25132</v>
      </c>
      <c r="N619" s="67" t="s">
        <v>42</v>
      </c>
    </row>
    <row r="620" spans="2:14" ht="32" x14ac:dyDescent="0.2">
      <c r="B620" s="253" t="s">
        <v>282</v>
      </c>
      <c r="C620" s="252" t="s">
        <v>40</v>
      </c>
      <c r="J620" s="34" t="s">
        <v>0</v>
      </c>
      <c r="L620" s="62" t="s">
        <v>41</v>
      </c>
      <c r="M620" s="34">
        <v>25132</v>
      </c>
      <c r="N620" s="67" t="s">
        <v>42</v>
      </c>
    </row>
    <row r="621" spans="2:14" ht="17" x14ac:dyDescent="0.2">
      <c r="B621" s="215" t="s">
        <v>99</v>
      </c>
      <c r="C621" s="252" t="s">
        <v>40</v>
      </c>
      <c r="J621" s="34" t="s">
        <v>0</v>
      </c>
      <c r="L621" s="62" t="s">
        <v>41</v>
      </c>
      <c r="M621" s="34">
        <v>25132</v>
      </c>
      <c r="N621" s="67" t="s">
        <v>42</v>
      </c>
    </row>
    <row r="622" spans="2:14" ht="32" x14ac:dyDescent="0.2">
      <c r="B622" s="238" t="s">
        <v>358</v>
      </c>
      <c r="C622" s="252" t="s">
        <v>40</v>
      </c>
      <c r="J622" s="34" t="s">
        <v>0</v>
      </c>
      <c r="L622" s="62" t="s">
        <v>41</v>
      </c>
      <c r="M622" s="34">
        <v>25132</v>
      </c>
      <c r="N622" s="67" t="s">
        <v>42</v>
      </c>
    </row>
    <row r="623" spans="2:14" ht="17" x14ac:dyDescent="0.2">
      <c r="B623" s="251" t="s">
        <v>279</v>
      </c>
      <c r="C623" s="252"/>
      <c r="N623" s="67" t="s">
        <v>45</v>
      </c>
    </row>
    <row r="624" spans="2:14" ht="17" x14ac:dyDescent="0.2">
      <c r="B624" s="213" t="s">
        <v>87</v>
      </c>
      <c r="C624" s="252" t="s">
        <v>40</v>
      </c>
      <c r="J624" s="34" t="s">
        <v>0</v>
      </c>
      <c r="L624" s="62" t="s">
        <v>41</v>
      </c>
      <c r="M624" s="34">
        <v>25132</v>
      </c>
      <c r="N624" s="67" t="s">
        <v>42</v>
      </c>
    </row>
    <row r="625" spans="2:14" ht="32" x14ac:dyDescent="0.2">
      <c r="B625" s="253" t="s">
        <v>102</v>
      </c>
      <c r="C625" s="252" t="s">
        <v>40</v>
      </c>
      <c r="J625" s="34" t="s">
        <v>0</v>
      </c>
      <c r="L625" s="62" t="s">
        <v>41</v>
      </c>
      <c r="M625" s="34">
        <v>25132</v>
      </c>
      <c r="N625" s="67" t="s">
        <v>42</v>
      </c>
    </row>
    <row r="626" spans="2:14" ht="48" x14ac:dyDescent="0.2">
      <c r="B626" s="238" t="s">
        <v>323</v>
      </c>
      <c r="C626" s="252" t="s">
        <v>40</v>
      </c>
      <c r="J626" s="34" t="s">
        <v>0</v>
      </c>
      <c r="L626" s="62" t="s">
        <v>41</v>
      </c>
      <c r="M626" s="34">
        <v>25132</v>
      </c>
      <c r="N626" s="67" t="s">
        <v>42</v>
      </c>
    </row>
    <row r="627" spans="2:14" ht="17" x14ac:dyDescent="0.2">
      <c r="B627" s="216" t="s">
        <v>96</v>
      </c>
      <c r="C627" s="252" t="s">
        <v>40</v>
      </c>
      <c r="J627" s="34" t="s">
        <v>0</v>
      </c>
      <c r="L627" s="62" t="s">
        <v>41</v>
      </c>
      <c r="M627" s="34">
        <v>25132</v>
      </c>
      <c r="N627" s="67" t="s">
        <v>42</v>
      </c>
    </row>
    <row r="628" spans="2:14" ht="32" x14ac:dyDescent="0.2">
      <c r="B628" s="238" t="s">
        <v>97</v>
      </c>
      <c r="C628" s="252" t="s">
        <v>40</v>
      </c>
      <c r="J628" s="34" t="s">
        <v>0</v>
      </c>
      <c r="L628" s="62" t="s">
        <v>41</v>
      </c>
      <c r="M628" s="34">
        <v>25132</v>
      </c>
      <c r="N628" s="67" t="s">
        <v>42</v>
      </c>
    </row>
    <row r="629" spans="2:14" ht="32" x14ac:dyDescent="0.2">
      <c r="B629" s="253" t="s">
        <v>324</v>
      </c>
      <c r="C629" s="252" t="s">
        <v>40</v>
      </c>
      <c r="J629" s="34" t="s">
        <v>0</v>
      </c>
      <c r="L629" s="62" t="s">
        <v>41</v>
      </c>
      <c r="M629" s="34">
        <v>25132</v>
      </c>
      <c r="N629" s="67" t="s">
        <v>42</v>
      </c>
    </row>
    <row r="630" spans="2:14" ht="17" x14ac:dyDescent="0.2">
      <c r="B630" s="215" t="s">
        <v>99</v>
      </c>
      <c r="C630" s="252" t="s">
        <v>40</v>
      </c>
      <c r="J630" s="34" t="s">
        <v>0</v>
      </c>
      <c r="L630" s="62" t="s">
        <v>41</v>
      </c>
      <c r="M630" s="34">
        <v>25132</v>
      </c>
      <c r="N630" s="67" t="s">
        <v>42</v>
      </c>
    </row>
    <row r="631" spans="2:14" ht="32" x14ac:dyDescent="0.2">
      <c r="B631" s="238" t="s">
        <v>359</v>
      </c>
      <c r="C631" s="252" t="s">
        <v>40</v>
      </c>
      <c r="J631" s="34" t="s">
        <v>0</v>
      </c>
      <c r="L631" s="62" t="s">
        <v>41</v>
      </c>
      <c r="M631" s="34">
        <v>25132</v>
      </c>
      <c r="N631" s="67" t="s">
        <v>42</v>
      </c>
    </row>
    <row r="632" spans="2:14" ht="34" x14ac:dyDescent="0.2">
      <c r="B632" s="132" t="s">
        <v>116</v>
      </c>
      <c r="N632" s="67" t="s">
        <v>45</v>
      </c>
    </row>
    <row r="633" spans="2:14" ht="64" x14ac:dyDescent="0.2">
      <c r="B633" s="143" t="s">
        <v>117</v>
      </c>
      <c r="C633" s="19" t="s">
        <v>40</v>
      </c>
      <c r="J633" s="34" t="s">
        <v>92</v>
      </c>
      <c r="L633" s="62" t="s">
        <v>41</v>
      </c>
      <c r="M633" s="34">
        <v>25132</v>
      </c>
      <c r="N633" s="67" t="s">
        <v>42</v>
      </c>
    </row>
    <row r="634" spans="2:14" ht="64" x14ac:dyDescent="0.2">
      <c r="B634" s="143" t="s">
        <v>118</v>
      </c>
      <c r="C634" s="19" t="s">
        <v>40</v>
      </c>
      <c r="J634" s="34" t="s">
        <v>92</v>
      </c>
      <c r="L634" s="62" t="s">
        <v>41</v>
      </c>
      <c r="M634" s="34">
        <v>25132</v>
      </c>
      <c r="N634" s="67" t="s">
        <v>42</v>
      </c>
    </row>
    <row r="635" spans="2:14" ht="17" x14ac:dyDescent="0.2">
      <c r="B635" s="143" t="s">
        <v>119</v>
      </c>
      <c r="C635" s="19" t="s">
        <v>40</v>
      </c>
      <c r="J635" s="34" t="s">
        <v>92</v>
      </c>
      <c r="L635" s="62" t="s">
        <v>41</v>
      </c>
      <c r="M635" s="34">
        <v>25132</v>
      </c>
      <c r="N635" s="67" t="s">
        <v>42</v>
      </c>
    </row>
    <row r="636" spans="2:14" ht="32" x14ac:dyDescent="0.2">
      <c r="B636" s="143" t="s">
        <v>120</v>
      </c>
      <c r="C636" s="19" t="s">
        <v>40</v>
      </c>
      <c r="J636" s="34" t="s">
        <v>92</v>
      </c>
      <c r="L636" s="62" t="s">
        <v>41</v>
      </c>
      <c r="M636" s="34">
        <v>25132</v>
      </c>
      <c r="N636" s="67" t="s">
        <v>42</v>
      </c>
    </row>
    <row r="637" spans="2:14" ht="17" x14ac:dyDescent="0.2">
      <c r="B637" s="128" t="s">
        <v>121</v>
      </c>
      <c r="C637" s="19"/>
      <c r="N637" s="67" t="s">
        <v>45</v>
      </c>
    </row>
    <row r="638" spans="2:14" ht="17" x14ac:dyDescent="0.2">
      <c r="B638" s="145" t="s">
        <v>122</v>
      </c>
      <c r="C638" s="19" t="s">
        <v>40</v>
      </c>
      <c r="J638" s="34" t="s">
        <v>0</v>
      </c>
      <c r="L638" s="62" t="s">
        <v>41</v>
      </c>
      <c r="M638" s="34">
        <v>25132</v>
      </c>
      <c r="N638" s="67" t="s">
        <v>42</v>
      </c>
    </row>
    <row r="639" spans="2:14" ht="17" x14ac:dyDescent="0.2">
      <c r="B639" s="139" t="s">
        <v>123</v>
      </c>
      <c r="C639" s="19" t="s">
        <v>40</v>
      </c>
      <c r="J639" s="34" t="s">
        <v>0</v>
      </c>
      <c r="L639" s="62" t="s">
        <v>41</v>
      </c>
      <c r="M639" s="34">
        <v>25132</v>
      </c>
      <c r="N639" s="67" t="s">
        <v>42</v>
      </c>
    </row>
    <row r="640" spans="2:14" ht="29.25" customHeight="1" x14ac:dyDescent="0.2">
      <c r="B640" s="260" t="s">
        <v>360</v>
      </c>
      <c r="C640" s="19" t="s">
        <v>40</v>
      </c>
      <c r="J640" s="34" t="s">
        <v>0</v>
      </c>
      <c r="L640" s="62" t="s">
        <v>41</v>
      </c>
      <c r="M640" s="34">
        <v>25132</v>
      </c>
      <c r="N640" s="67" t="s">
        <v>42</v>
      </c>
    </row>
    <row r="641" spans="2:14" ht="17" x14ac:dyDescent="0.2">
      <c r="B641" s="139" t="s">
        <v>125</v>
      </c>
      <c r="C641" s="19" t="s">
        <v>40</v>
      </c>
      <c r="J641" s="34" t="s">
        <v>0</v>
      </c>
      <c r="L641" s="62" t="s">
        <v>41</v>
      </c>
      <c r="M641" s="34">
        <v>25132</v>
      </c>
      <c r="N641" s="67" t="s">
        <v>42</v>
      </c>
    </row>
    <row r="642" spans="2:14" ht="17" x14ac:dyDescent="0.2">
      <c r="B642" s="145" t="s">
        <v>126</v>
      </c>
      <c r="C642" s="19" t="s">
        <v>40</v>
      </c>
      <c r="J642" s="34" t="s">
        <v>0</v>
      </c>
      <c r="L642" s="62" t="s">
        <v>41</v>
      </c>
      <c r="M642" s="34">
        <v>25132</v>
      </c>
      <c r="N642" s="67" t="s">
        <v>42</v>
      </c>
    </row>
    <row r="643" spans="2:14" ht="17" x14ac:dyDescent="0.2">
      <c r="B643" s="138" t="s">
        <v>361</v>
      </c>
      <c r="C643" s="19" t="s">
        <v>40</v>
      </c>
      <c r="J643" s="34" t="s">
        <v>0</v>
      </c>
      <c r="L643" s="62" t="s">
        <v>41</v>
      </c>
      <c r="M643" s="34">
        <v>25132</v>
      </c>
      <c r="N643" s="67" t="s">
        <v>42</v>
      </c>
    </row>
    <row r="644" spans="2:14" ht="17" x14ac:dyDescent="0.2">
      <c r="B644" s="138" t="s">
        <v>362</v>
      </c>
      <c r="C644" s="19" t="s">
        <v>40</v>
      </c>
      <c r="J644" s="34" t="s">
        <v>0</v>
      </c>
      <c r="L644" s="62" t="s">
        <v>41</v>
      </c>
      <c r="M644" s="34">
        <v>25132</v>
      </c>
      <c r="N644" s="67" t="s">
        <v>42</v>
      </c>
    </row>
    <row r="645" spans="2:14" ht="17" x14ac:dyDescent="0.2">
      <c r="B645" s="220" t="s">
        <v>129</v>
      </c>
      <c r="C645" s="19" t="s">
        <v>40</v>
      </c>
      <c r="J645" s="34" t="s">
        <v>0</v>
      </c>
      <c r="L645" s="62" t="s">
        <v>41</v>
      </c>
      <c r="M645" s="34">
        <v>25132</v>
      </c>
      <c r="N645" s="67" t="s">
        <v>42</v>
      </c>
    </row>
    <row r="646" spans="2:14" ht="17" x14ac:dyDescent="0.2">
      <c r="B646" s="138" t="s">
        <v>130</v>
      </c>
      <c r="C646" s="19" t="s">
        <v>40</v>
      </c>
      <c r="J646" s="34" t="s">
        <v>0</v>
      </c>
      <c r="L646" s="62" t="s">
        <v>41</v>
      </c>
      <c r="M646" s="34">
        <v>25132</v>
      </c>
      <c r="N646" s="67" t="s">
        <v>42</v>
      </c>
    </row>
    <row r="647" spans="2:14" ht="17" x14ac:dyDescent="0.2">
      <c r="B647" s="147" t="s">
        <v>131</v>
      </c>
      <c r="C647" s="19" t="s">
        <v>40</v>
      </c>
      <c r="J647" s="34" t="s">
        <v>0</v>
      </c>
      <c r="L647" s="62" t="s">
        <v>41</v>
      </c>
      <c r="M647" s="34">
        <v>25132</v>
      </c>
      <c r="N647" s="67" t="s">
        <v>42</v>
      </c>
    </row>
    <row r="648" spans="2:14" ht="17" x14ac:dyDescent="0.2">
      <c r="B648" s="147" t="s">
        <v>132</v>
      </c>
      <c r="C648" s="19" t="s">
        <v>40</v>
      </c>
      <c r="J648" s="34" t="s">
        <v>0</v>
      </c>
      <c r="L648" s="62" t="s">
        <v>41</v>
      </c>
      <c r="M648" s="34">
        <v>25132</v>
      </c>
      <c r="N648" s="67" t="s">
        <v>42</v>
      </c>
    </row>
    <row r="649" spans="2:14" ht="17" x14ac:dyDescent="0.2">
      <c r="B649" s="147" t="s">
        <v>133</v>
      </c>
      <c r="C649" s="19" t="s">
        <v>40</v>
      </c>
      <c r="J649" s="34" t="s">
        <v>0</v>
      </c>
      <c r="L649" s="62" t="s">
        <v>41</v>
      </c>
      <c r="M649" s="34">
        <v>25132</v>
      </c>
      <c r="N649" s="67" t="s">
        <v>42</v>
      </c>
    </row>
    <row r="650" spans="2:14" ht="17" x14ac:dyDescent="0.2">
      <c r="B650" s="147" t="s">
        <v>134</v>
      </c>
      <c r="C650" s="19" t="s">
        <v>40</v>
      </c>
      <c r="J650" s="34" t="s">
        <v>0</v>
      </c>
      <c r="L650" s="62" t="s">
        <v>41</v>
      </c>
      <c r="M650" s="34">
        <v>25132</v>
      </c>
      <c r="N650" s="67" t="s">
        <v>42</v>
      </c>
    </row>
    <row r="651" spans="2:14" ht="17" x14ac:dyDescent="0.2">
      <c r="B651" s="147" t="s">
        <v>135</v>
      </c>
      <c r="C651" s="19" t="s">
        <v>40</v>
      </c>
      <c r="J651" s="34" t="s">
        <v>0</v>
      </c>
      <c r="L651" s="62" t="s">
        <v>41</v>
      </c>
      <c r="M651" s="34">
        <v>25132</v>
      </c>
      <c r="N651" s="67" t="s">
        <v>42</v>
      </c>
    </row>
    <row r="652" spans="2:14" ht="17" x14ac:dyDescent="0.2">
      <c r="B652" s="147" t="s">
        <v>136</v>
      </c>
      <c r="C652" s="19" t="s">
        <v>40</v>
      </c>
      <c r="N652" s="67" t="s">
        <v>42</v>
      </c>
    </row>
    <row r="653" spans="2:14" ht="20" x14ac:dyDescent="0.25">
      <c r="B653" s="230" t="s">
        <v>238</v>
      </c>
      <c r="C653" s="19"/>
      <c r="N653" s="67" t="s">
        <v>45</v>
      </c>
    </row>
    <row r="654" spans="2:14" ht="17" x14ac:dyDescent="0.2">
      <c r="B654" s="147" t="s">
        <v>239</v>
      </c>
      <c r="C654" s="19" t="s">
        <v>40</v>
      </c>
      <c r="J654" s="34" t="s">
        <v>0</v>
      </c>
      <c r="L654" s="62" t="s">
        <v>41</v>
      </c>
      <c r="M654" s="34">
        <v>25132</v>
      </c>
      <c r="N654" s="67" t="s">
        <v>42</v>
      </c>
    </row>
    <row r="655" spans="2:14" ht="23" x14ac:dyDescent="0.3">
      <c r="B655" s="148" t="s">
        <v>137</v>
      </c>
      <c r="C655" s="19"/>
      <c r="N655" s="67" t="s">
        <v>45</v>
      </c>
    </row>
    <row r="656" spans="2:14" ht="23" x14ac:dyDescent="0.3">
      <c r="B656" s="148" t="s">
        <v>138</v>
      </c>
      <c r="C656" s="19"/>
      <c r="N656" s="67" t="s">
        <v>45</v>
      </c>
    </row>
    <row r="657" spans="2:14" ht="17" x14ac:dyDescent="0.2">
      <c r="B657" s="147" t="s">
        <v>330</v>
      </c>
      <c r="C657" s="19" t="s">
        <v>40</v>
      </c>
      <c r="J657" s="34" t="s">
        <v>0</v>
      </c>
      <c r="L657" s="62" t="s">
        <v>41</v>
      </c>
      <c r="M657" s="34">
        <v>25132</v>
      </c>
      <c r="N657" s="67" t="s">
        <v>42</v>
      </c>
    </row>
    <row r="658" spans="2:14" ht="34" x14ac:dyDescent="0.2">
      <c r="B658" s="147" t="s">
        <v>331</v>
      </c>
      <c r="C658" s="19" t="s">
        <v>40</v>
      </c>
      <c r="J658" s="34" t="s">
        <v>0</v>
      </c>
      <c r="L658" s="62" t="s">
        <v>41</v>
      </c>
      <c r="M658" s="34">
        <v>25132</v>
      </c>
      <c r="N658" s="67" t="s">
        <v>42</v>
      </c>
    </row>
    <row r="659" spans="2:14" ht="17" x14ac:dyDescent="0.2">
      <c r="B659" s="147" t="s">
        <v>332</v>
      </c>
      <c r="C659" s="19" t="s">
        <v>40</v>
      </c>
      <c r="J659" s="34" t="s">
        <v>0</v>
      </c>
      <c r="L659" s="62" t="s">
        <v>41</v>
      </c>
      <c r="M659" s="34">
        <v>25132</v>
      </c>
      <c r="N659" s="67" t="s">
        <v>42</v>
      </c>
    </row>
    <row r="660" spans="2:14" ht="17" x14ac:dyDescent="0.2">
      <c r="B660" s="147" t="s">
        <v>333</v>
      </c>
      <c r="C660" s="19" t="s">
        <v>40</v>
      </c>
      <c r="J660" s="34" t="s">
        <v>0</v>
      </c>
      <c r="L660" s="62" t="s">
        <v>41</v>
      </c>
      <c r="M660" s="34">
        <v>25132</v>
      </c>
      <c r="N660" s="67" t="s">
        <v>42</v>
      </c>
    </row>
    <row r="661" spans="2:14" ht="17" x14ac:dyDescent="0.2">
      <c r="B661" s="147" t="s">
        <v>143</v>
      </c>
      <c r="C661" s="19" t="s">
        <v>40</v>
      </c>
      <c r="L661" s="62" t="s">
        <v>41</v>
      </c>
      <c r="M661" s="34">
        <v>25132</v>
      </c>
      <c r="N661" s="67" t="s">
        <v>42</v>
      </c>
    </row>
    <row r="662" spans="2:14" ht="23" x14ac:dyDescent="0.3">
      <c r="B662" s="148" t="s">
        <v>144</v>
      </c>
      <c r="C662" s="19"/>
      <c r="N662" s="67" t="s">
        <v>45</v>
      </c>
    </row>
    <row r="663" spans="2:14" ht="17" x14ac:dyDescent="0.2">
      <c r="B663" s="147" t="s">
        <v>145</v>
      </c>
      <c r="C663" s="19" t="s">
        <v>40</v>
      </c>
      <c r="J663" s="34" t="s">
        <v>0</v>
      </c>
      <c r="L663" s="62" t="s">
        <v>41</v>
      </c>
      <c r="M663" s="34">
        <v>25132</v>
      </c>
      <c r="N663" s="67" t="s">
        <v>42</v>
      </c>
    </row>
    <row r="664" spans="2:14" ht="17" x14ac:dyDescent="0.2">
      <c r="B664" s="147" t="s">
        <v>363</v>
      </c>
      <c r="C664" s="19" t="s">
        <v>40</v>
      </c>
      <c r="J664" s="34" t="s">
        <v>0</v>
      </c>
      <c r="L664" s="62" t="s">
        <v>41</v>
      </c>
      <c r="M664" s="34">
        <v>25132</v>
      </c>
      <c r="N664" s="67" t="s">
        <v>42</v>
      </c>
    </row>
    <row r="665" spans="2:14" ht="17" x14ac:dyDescent="0.2">
      <c r="B665" s="147" t="s">
        <v>364</v>
      </c>
      <c r="C665" s="19" t="s">
        <v>40</v>
      </c>
      <c r="J665" s="34" t="s">
        <v>0</v>
      </c>
      <c r="L665" s="62" t="s">
        <v>41</v>
      </c>
      <c r="M665" s="34">
        <v>25132</v>
      </c>
      <c r="N665" s="67" t="s">
        <v>42</v>
      </c>
    </row>
    <row r="666" spans="2:14" ht="17" x14ac:dyDescent="0.2">
      <c r="B666" s="147" t="s">
        <v>148</v>
      </c>
      <c r="C666" s="19" t="s">
        <v>40</v>
      </c>
      <c r="J666" s="34" t="s">
        <v>0</v>
      </c>
      <c r="L666" s="62" t="s">
        <v>41</v>
      </c>
      <c r="M666" s="34">
        <v>25132</v>
      </c>
      <c r="N666" s="67" t="s">
        <v>42</v>
      </c>
    </row>
    <row r="667" spans="2:14" ht="17" x14ac:dyDescent="0.2">
      <c r="B667" s="147" t="s">
        <v>149</v>
      </c>
      <c r="C667" s="19" t="s">
        <v>40</v>
      </c>
      <c r="J667" s="34" t="s">
        <v>0</v>
      </c>
      <c r="L667" s="62" t="s">
        <v>41</v>
      </c>
      <c r="M667" s="34">
        <v>25132</v>
      </c>
      <c r="N667" s="67" t="s">
        <v>42</v>
      </c>
    </row>
    <row r="668" spans="2:14" ht="20" x14ac:dyDescent="0.25">
      <c r="B668" s="149" t="s">
        <v>150</v>
      </c>
      <c r="C668" s="19"/>
      <c r="N668" s="67" t="s">
        <v>45</v>
      </c>
    </row>
    <row r="669" spans="2:14" ht="17" x14ac:dyDescent="0.2">
      <c r="B669" s="150" t="s">
        <v>151</v>
      </c>
      <c r="C669" s="19"/>
      <c r="N669" s="67" t="s">
        <v>45</v>
      </c>
    </row>
    <row r="670" spans="2:14" ht="17" x14ac:dyDescent="0.2">
      <c r="B670" s="151" t="s">
        <v>152</v>
      </c>
      <c r="C670" s="19" t="s">
        <v>40</v>
      </c>
      <c r="J670" s="34" t="s">
        <v>0</v>
      </c>
      <c r="L670" s="62" t="s">
        <v>41</v>
      </c>
      <c r="M670" s="34">
        <v>25132</v>
      </c>
      <c r="N670" s="67" t="s">
        <v>42</v>
      </c>
    </row>
    <row r="671" spans="2:14" ht="17" x14ac:dyDescent="0.2">
      <c r="B671" s="151" t="s">
        <v>153</v>
      </c>
      <c r="C671" s="19" t="s">
        <v>40</v>
      </c>
      <c r="J671" s="34" t="s">
        <v>0</v>
      </c>
      <c r="L671" s="62" t="s">
        <v>41</v>
      </c>
      <c r="M671" s="34">
        <v>25132</v>
      </c>
      <c r="N671" s="67" t="s">
        <v>42</v>
      </c>
    </row>
    <row r="672" spans="2:14" ht="17" x14ac:dyDescent="0.2">
      <c r="B672" s="152" t="s">
        <v>154</v>
      </c>
      <c r="C672" s="19" t="s">
        <v>40</v>
      </c>
      <c r="J672" s="34" t="s">
        <v>0</v>
      </c>
      <c r="L672" s="62" t="s">
        <v>41</v>
      </c>
      <c r="M672" s="34">
        <v>25132</v>
      </c>
      <c r="N672" s="67" t="s">
        <v>42</v>
      </c>
    </row>
    <row r="673" spans="2:14" ht="17" x14ac:dyDescent="0.2">
      <c r="B673" s="143" t="s">
        <v>155</v>
      </c>
      <c r="C673" s="19" t="s">
        <v>40</v>
      </c>
      <c r="J673" s="34" t="s">
        <v>0</v>
      </c>
      <c r="L673" s="62" t="s">
        <v>41</v>
      </c>
      <c r="M673" s="34">
        <v>25132</v>
      </c>
      <c r="N673" s="67" t="s">
        <v>42</v>
      </c>
    </row>
    <row r="674" spans="2:14" ht="17" x14ac:dyDescent="0.2">
      <c r="B674" s="153" t="s">
        <v>156</v>
      </c>
      <c r="N674" s="67" t="s">
        <v>45</v>
      </c>
    </row>
    <row r="675" spans="2:14" ht="17" x14ac:dyDescent="0.2">
      <c r="B675" s="153" t="s">
        <v>157</v>
      </c>
      <c r="C675" s="19"/>
      <c r="N675" s="67" t="s">
        <v>45</v>
      </c>
    </row>
    <row r="676" spans="2:14" ht="17" x14ac:dyDescent="0.2">
      <c r="B676" s="154" t="s">
        <v>158</v>
      </c>
      <c r="C676" s="19" t="s">
        <v>40</v>
      </c>
      <c r="J676" s="34" t="s">
        <v>0</v>
      </c>
      <c r="L676" s="62" t="s">
        <v>41</v>
      </c>
      <c r="M676" s="34">
        <v>25132</v>
      </c>
      <c r="N676" s="67" t="s">
        <v>42</v>
      </c>
    </row>
    <row r="677" spans="2:14" ht="17" x14ac:dyDescent="0.2">
      <c r="B677" s="155" t="s">
        <v>159</v>
      </c>
      <c r="C677" s="19" t="s">
        <v>40</v>
      </c>
      <c r="J677" s="34" t="s">
        <v>0</v>
      </c>
      <c r="L677" s="62" t="s">
        <v>41</v>
      </c>
      <c r="M677" s="34">
        <v>25132</v>
      </c>
      <c r="N677" s="67" t="s">
        <v>42</v>
      </c>
    </row>
    <row r="678" spans="2:14" ht="17" x14ac:dyDescent="0.2">
      <c r="B678" s="151" t="s">
        <v>160</v>
      </c>
      <c r="C678" s="19" t="s">
        <v>40</v>
      </c>
      <c r="J678" s="34" t="s">
        <v>0</v>
      </c>
      <c r="L678" s="62" t="s">
        <v>41</v>
      </c>
      <c r="M678" s="34">
        <v>25132</v>
      </c>
      <c r="N678" s="67" t="s">
        <v>42</v>
      </c>
    </row>
    <row r="679" spans="2:14" ht="17" x14ac:dyDescent="0.2">
      <c r="B679" s="153" t="s">
        <v>161</v>
      </c>
      <c r="C679" s="19"/>
      <c r="N679" s="67" t="s">
        <v>45</v>
      </c>
    </row>
    <row r="680" spans="2:14" ht="17" x14ac:dyDescent="0.2">
      <c r="B680" s="156" t="s">
        <v>162</v>
      </c>
      <c r="C680" s="19"/>
      <c r="N680" s="67" t="s">
        <v>45</v>
      </c>
    </row>
    <row r="681" spans="2:14" ht="48" x14ac:dyDescent="0.2">
      <c r="B681" s="151" t="s">
        <v>163</v>
      </c>
      <c r="C681" s="19" t="s">
        <v>40</v>
      </c>
      <c r="J681" s="34" t="s">
        <v>0</v>
      </c>
      <c r="L681" s="62" t="s">
        <v>41</v>
      </c>
      <c r="M681" s="34">
        <v>25132</v>
      </c>
      <c r="N681" s="67" t="s">
        <v>42</v>
      </c>
    </row>
    <row r="682" spans="2:14" ht="17" x14ac:dyDescent="0.2">
      <c r="B682" s="138" t="s">
        <v>164</v>
      </c>
      <c r="C682" s="19" t="s">
        <v>40</v>
      </c>
      <c r="J682" s="34" t="s">
        <v>0</v>
      </c>
      <c r="L682" s="62" t="s">
        <v>41</v>
      </c>
      <c r="M682" s="34">
        <v>25132</v>
      </c>
      <c r="N682" s="67" t="s">
        <v>42</v>
      </c>
    </row>
    <row r="683" spans="2:14" ht="17" x14ac:dyDescent="0.2">
      <c r="B683" s="156" t="s">
        <v>165</v>
      </c>
      <c r="C683" s="19"/>
      <c r="N683" s="67" t="s">
        <v>45</v>
      </c>
    </row>
    <row r="684" spans="2:14" ht="48" x14ac:dyDescent="0.2">
      <c r="B684" s="151" t="s">
        <v>166</v>
      </c>
      <c r="C684" s="19" t="s">
        <v>40</v>
      </c>
      <c r="J684" s="34" t="s">
        <v>0</v>
      </c>
      <c r="L684" s="62" t="s">
        <v>41</v>
      </c>
      <c r="M684" s="34">
        <v>25132</v>
      </c>
      <c r="N684" s="67" t="s">
        <v>42</v>
      </c>
    </row>
    <row r="685" spans="2:14" ht="17" x14ac:dyDescent="0.2">
      <c r="B685" s="138" t="s">
        <v>167</v>
      </c>
      <c r="C685" s="19" t="s">
        <v>40</v>
      </c>
      <c r="J685" s="34" t="s">
        <v>0</v>
      </c>
      <c r="L685" s="62" t="s">
        <v>41</v>
      </c>
      <c r="M685" s="34">
        <v>25132</v>
      </c>
      <c r="N685" s="67" t="s">
        <v>42</v>
      </c>
    </row>
    <row r="686" spans="2:14" ht="17" x14ac:dyDescent="0.2">
      <c r="B686" s="157" t="s">
        <v>168</v>
      </c>
      <c r="N686" s="67" t="s">
        <v>45</v>
      </c>
    </row>
    <row r="687" spans="2:14" ht="51" x14ac:dyDescent="0.2">
      <c r="B687" s="158" t="s">
        <v>169</v>
      </c>
      <c r="C687" s="19" t="s">
        <v>40</v>
      </c>
      <c r="J687" s="34" t="s">
        <v>0</v>
      </c>
      <c r="L687" s="62" t="s">
        <v>41</v>
      </c>
      <c r="M687" s="34">
        <v>25132</v>
      </c>
      <c r="N687" s="67" t="s">
        <v>42</v>
      </c>
    </row>
    <row r="688" spans="2:14" ht="17" x14ac:dyDescent="0.2">
      <c r="B688" s="159" t="s">
        <v>170</v>
      </c>
      <c r="C688" s="19" t="s">
        <v>40</v>
      </c>
      <c r="J688" s="34" t="s">
        <v>0</v>
      </c>
      <c r="L688" s="62" t="s">
        <v>41</v>
      </c>
      <c r="M688" s="34">
        <v>25132</v>
      </c>
      <c r="N688" s="67" t="s">
        <v>42</v>
      </c>
    </row>
    <row r="689" spans="2:14" ht="17" x14ac:dyDescent="0.2">
      <c r="B689" s="157" t="s">
        <v>171</v>
      </c>
      <c r="C689" s="19"/>
      <c r="N689" s="67" t="s">
        <v>45</v>
      </c>
    </row>
    <row r="690" spans="2:14" ht="48" x14ac:dyDescent="0.2">
      <c r="B690" s="144" t="s">
        <v>172</v>
      </c>
      <c r="C690" s="19" t="s">
        <v>40</v>
      </c>
      <c r="J690" s="34" t="s">
        <v>0</v>
      </c>
      <c r="L690" s="62" t="s">
        <v>41</v>
      </c>
      <c r="M690" s="34">
        <v>25132</v>
      </c>
      <c r="N690" s="67" t="s">
        <v>42</v>
      </c>
    </row>
    <row r="691" spans="2:14" ht="17" x14ac:dyDescent="0.2">
      <c r="B691" s="160" t="s">
        <v>173</v>
      </c>
      <c r="C691" s="19" t="s">
        <v>40</v>
      </c>
      <c r="J691" s="34" t="s">
        <v>0</v>
      </c>
      <c r="L691" s="62" t="s">
        <v>41</v>
      </c>
      <c r="M691" s="34">
        <v>25132</v>
      </c>
      <c r="N691" s="67" t="s">
        <v>42</v>
      </c>
    </row>
    <row r="692" spans="2:14" ht="17" x14ac:dyDescent="0.2">
      <c r="B692" s="161" t="s">
        <v>174</v>
      </c>
      <c r="N692" s="67" t="s">
        <v>45</v>
      </c>
    </row>
    <row r="693" spans="2:14" ht="51" x14ac:dyDescent="0.2">
      <c r="B693" s="161" t="s">
        <v>175</v>
      </c>
      <c r="C693" s="19"/>
      <c r="N693" s="67" t="s">
        <v>45</v>
      </c>
    </row>
    <row r="694" spans="2:14" ht="17" x14ac:dyDescent="0.2">
      <c r="B694" s="131" t="s">
        <v>176</v>
      </c>
      <c r="C694" s="19" t="s">
        <v>40</v>
      </c>
      <c r="J694" s="34" t="s">
        <v>0</v>
      </c>
      <c r="L694" s="62" t="s">
        <v>41</v>
      </c>
      <c r="M694" s="34">
        <v>25132</v>
      </c>
      <c r="N694" s="67" t="s">
        <v>42</v>
      </c>
    </row>
    <row r="695" spans="2:14" ht="17" x14ac:dyDescent="0.2">
      <c r="B695" s="160" t="s">
        <v>177</v>
      </c>
      <c r="C695" s="19" t="s">
        <v>40</v>
      </c>
      <c r="J695" s="34" t="s">
        <v>0</v>
      </c>
      <c r="L695" s="62" t="s">
        <v>41</v>
      </c>
      <c r="M695" s="34">
        <v>25132</v>
      </c>
      <c r="N695" s="67" t="s">
        <v>42</v>
      </c>
    </row>
    <row r="696" spans="2:14" ht="17" x14ac:dyDescent="0.2">
      <c r="B696" s="131" t="s">
        <v>178</v>
      </c>
      <c r="C696" s="19" t="s">
        <v>40</v>
      </c>
      <c r="J696" s="34" t="s">
        <v>0</v>
      </c>
      <c r="L696" s="62" t="s">
        <v>41</v>
      </c>
      <c r="M696" s="34">
        <v>25132</v>
      </c>
      <c r="N696" s="67" t="s">
        <v>42</v>
      </c>
    </row>
    <row r="697" spans="2:14" ht="68" x14ac:dyDescent="0.2">
      <c r="B697" s="131" t="s">
        <v>365</v>
      </c>
      <c r="C697" s="19" t="s">
        <v>40</v>
      </c>
      <c r="J697" s="34" t="s">
        <v>0</v>
      </c>
      <c r="L697" s="62" t="s">
        <v>41</v>
      </c>
      <c r="M697" s="34">
        <v>25132</v>
      </c>
      <c r="N697" s="67" t="s">
        <v>42</v>
      </c>
    </row>
    <row r="698" spans="2:14" ht="17" x14ac:dyDescent="0.2">
      <c r="B698" s="131" t="s">
        <v>180</v>
      </c>
      <c r="C698" s="19" t="s">
        <v>40</v>
      </c>
      <c r="J698" s="34" t="s">
        <v>0</v>
      </c>
      <c r="L698" s="62" t="s">
        <v>41</v>
      </c>
      <c r="M698" s="34">
        <v>25132</v>
      </c>
      <c r="N698" s="67" t="s">
        <v>42</v>
      </c>
    </row>
    <row r="699" spans="2:14" ht="68" x14ac:dyDescent="0.2">
      <c r="B699" s="131" t="s">
        <v>181</v>
      </c>
      <c r="C699" s="19" t="s">
        <v>40</v>
      </c>
      <c r="J699" s="34" t="s">
        <v>0</v>
      </c>
      <c r="L699" s="62" t="s">
        <v>41</v>
      </c>
      <c r="M699" s="34">
        <v>25132</v>
      </c>
      <c r="N699" s="67" t="s">
        <v>42</v>
      </c>
    </row>
    <row r="700" spans="2:14" ht="17" x14ac:dyDescent="0.2">
      <c r="B700" s="160" t="s">
        <v>182</v>
      </c>
      <c r="C700" s="19" t="s">
        <v>40</v>
      </c>
      <c r="J700" s="34" t="s">
        <v>0</v>
      </c>
      <c r="L700" s="62" t="s">
        <v>41</v>
      </c>
      <c r="M700" s="34">
        <v>25132</v>
      </c>
      <c r="N700" s="67" t="s">
        <v>42</v>
      </c>
    </row>
    <row r="701" spans="2:14" ht="68" x14ac:dyDescent="0.2">
      <c r="B701" s="160" t="s">
        <v>366</v>
      </c>
      <c r="C701" s="19" t="s">
        <v>40</v>
      </c>
      <c r="J701" s="34" t="s">
        <v>0</v>
      </c>
      <c r="L701" s="62" t="s">
        <v>41</v>
      </c>
      <c r="M701" s="34">
        <v>25132</v>
      </c>
      <c r="N701" s="67" t="s">
        <v>42</v>
      </c>
    </row>
    <row r="702" spans="2:14" ht="17" x14ac:dyDescent="0.2">
      <c r="B702" s="162" t="s">
        <v>184</v>
      </c>
      <c r="C702" s="19" t="s">
        <v>40</v>
      </c>
      <c r="J702" s="34" t="s">
        <v>0</v>
      </c>
      <c r="L702" s="62" t="s">
        <v>41</v>
      </c>
      <c r="M702" s="34">
        <v>25132</v>
      </c>
      <c r="N702" s="67" t="s">
        <v>42</v>
      </c>
    </row>
    <row r="703" spans="2:14" ht="17" x14ac:dyDescent="0.2">
      <c r="B703" s="162" t="s">
        <v>185</v>
      </c>
      <c r="C703" s="19" t="s">
        <v>40</v>
      </c>
      <c r="J703" s="34" t="s">
        <v>0</v>
      </c>
      <c r="L703" s="62" t="s">
        <v>41</v>
      </c>
      <c r="M703" s="34">
        <v>25132</v>
      </c>
      <c r="N703" s="67" t="s">
        <v>42</v>
      </c>
    </row>
    <row r="704" spans="2:14" ht="17" x14ac:dyDescent="0.2">
      <c r="N704" s="67" t="s">
        <v>45</v>
      </c>
    </row>
    <row r="705" spans="2:14" ht="17" x14ac:dyDescent="0.2">
      <c r="N705" s="67" t="s">
        <v>45</v>
      </c>
    </row>
    <row r="706" spans="2:14" ht="25" x14ac:dyDescent="0.3">
      <c r="B706" s="125" t="s">
        <v>367</v>
      </c>
      <c r="C706" s="59"/>
      <c r="N706" s="67" t="s">
        <v>45</v>
      </c>
    </row>
    <row r="707" spans="2:14" ht="69" x14ac:dyDescent="0.2">
      <c r="B707" s="126" t="s">
        <v>368</v>
      </c>
      <c r="C707" s="19"/>
      <c r="N707" s="67" t="s">
        <v>45</v>
      </c>
    </row>
    <row r="708" spans="2:14" ht="17" x14ac:dyDescent="0.2">
      <c r="B708" s="127" t="s">
        <v>31</v>
      </c>
      <c r="C708" s="19"/>
      <c r="N708" s="67" t="s">
        <v>45</v>
      </c>
    </row>
    <row r="709" spans="2:14" ht="17" x14ac:dyDescent="0.2">
      <c r="B709" s="127" t="s">
        <v>328</v>
      </c>
      <c r="N709" s="67" t="s">
        <v>45</v>
      </c>
    </row>
    <row r="710" spans="2:14" ht="17" x14ac:dyDescent="0.2">
      <c r="B710" s="128" t="s">
        <v>33</v>
      </c>
      <c r="N710" s="67" t="s">
        <v>45</v>
      </c>
    </row>
    <row r="711" spans="2:14" ht="17" x14ac:dyDescent="0.2">
      <c r="B711" s="127" t="s">
        <v>34</v>
      </c>
      <c r="C711" s="19"/>
      <c r="N711" s="67" t="s">
        <v>45</v>
      </c>
    </row>
    <row r="712" spans="2:14" ht="46" x14ac:dyDescent="0.2">
      <c r="B712" s="236" t="s">
        <v>369</v>
      </c>
      <c r="C712" s="19"/>
      <c r="N712" s="67" t="s">
        <v>45</v>
      </c>
    </row>
    <row r="713" spans="2:14" ht="51" x14ac:dyDescent="0.2">
      <c r="B713" s="127" t="s">
        <v>339</v>
      </c>
      <c r="C713" s="19"/>
      <c r="N713" s="67" t="s">
        <v>45</v>
      </c>
    </row>
    <row r="714" spans="2:14" ht="17" x14ac:dyDescent="0.2">
      <c r="B714" s="129" t="s">
        <v>36</v>
      </c>
      <c r="C714" s="19"/>
      <c r="N714" s="67" t="s">
        <v>45</v>
      </c>
    </row>
    <row r="715" spans="2:14" ht="17" x14ac:dyDescent="0.2">
      <c r="B715" s="129" t="s">
        <v>37</v>
      </c>
      <c r="C715" s="19"/>
      <c r="N715" s="67" t="s">
        <v>45</v>
      </c>
    </row>
    <row r="716" spans="2:14" ht="17" x14ac:dyDescent="0.2">
      <c r="B716" s="128" t="s">
        <v>38</v>
      </c>
      <c r="C716" s="19"/>
      <c r="N716" s="67" t="s">
        <v>45</v>
      </c>
    </row>
    <row r="717" spans="2:14" ht="52.5" customHeight="1" x14ac:dyDescent="0.2">
      <c r="B717" s="130" t="s">
        <v>340</v>
      </c>
      <c r="C717" s="172" t="s">
        <v>40</v>
      </c>
      <c r="D717" s="74"/>
      <c r="E717" s="34" t="s">
        <v>0</v>
      </c>
      <c r="F717" s="74"/>
      <c r="G717" s="62" t="s">
        <v>41</v>
      </c>
      <c r="H717" s="61">
        <v>18023</v>
      </c>
      <c r="N717" s="67" t="s">
        <v>42</v>
      </c>
    </row>
    <row r="718" spans="2:14" ht="32" x14ac:dyDescent="0.2">
      <c r="B718" s="130" t="s">
        <v>224</v>
      </c>
      <c r="C718" s="172" t="s">
        <v>40</v>
      </c>
      <c r="E718" s="34" t="s">
        <v>0</v>
      </c>
      <c r="F718" s="74"/>
      <c r="G718" s="62" t="s">
        <v>41</v>
      </c>
      <c r="H718" s="61">
        <v>18023</v>
      </c>
      <c r="N718" s="67" t="s">
        <v>42</v>
      </c>
    </row>
    <row r="719" spans="2:14" ht="17" x14ac:dyDescent="0.2">
      <c r="B719" s="128" t="s">
        <v>44</v>
      </c>
      <c r="C719" s="261"/>
      <c r="F719" s="74"/>
      <c r="G719" s="283"/>
      <c r="H719" s="280"/>
      <c r="N719" s="67" t="s">
        <v>45</v>
      </c>
    </row>
    <row r="720" spans="2:14" ht="17" x14ac:dyDescent="0.2">
      <c r="B720" s="130" t="s">
        <v>341</v>
      </c>
      <c r="C720" s="284" t="s">
        <v>40</v>
      </c>
      <c r="F720" s="74"/>
      <c r="G720" s="62" t="s">
        <v>41</v>
      </c>
      <c r="H720" s="61">
        <v>18023</v>
      </c>
      <c r="N720" s="67" t="s">
        <v>42</v>
      </c>
    </row>
    <row r="721" spans="2:14" ht="17" x14ac:dyDescent="0.2">
      <c r="B721" s="128" t="s">
        <v>47</v>
      </c>
      <c r="N721" s="67" t="s">
        <v>45</v>
      </c>
    </row>
    <row r="722" spans="2:14" ht="17" x14ac:dyDescent="0.2">
      <c r="B722" s="131" t="s">
        <v>48</v>
      </c>
      <c r="C722" s="19" t="s">
        <v>40</v>
      </c>
      <c r="E722" s="34" t="s">
        <v>0</v>
      </c>
      <c r="G722" s="62" t="s">
        <v>41</v>
      </c>
      <c r="H722" s="61">
        <v>18023</v>
      </c>
      <c r="N722" s="67" t="s">
        <v>42</v>
      </c>
    </row>
    <row r="723" spans="2:14" ht="17" x14ac:dyDescent="0.2">
      <c r="B723" s="131" t="s">
        <v>49</v>
      </c>
      <c r="C723" s="19" t="s">
        <v>40</v>
      </c>
      <c r="E723" s="34" t="s">
        <v>0</v>
      </c>
      <c r="G723" s="62" t="s">
        <v>41</v>
      </c>
      <c r="H723" s="61">
        <v>18023</v>
      </c>
      <c r="N723" s="67" t="s">
        <v>42</v>
      </c>
    </row>
    <row r="724" spans="2:14" ht="34" x14ac:dyDescent="0.2">
      <c r="B724" s="131" t="s">
        <v>50</v>
      </c>
      <c r="C724" s="19" t="s">
        <v>40</v>
      </c>
      <c r="E724" s="34" t="s">
        <v>0</v>
      </c>
      <c r="G724" s="62" t="s">
        <v>41</v>
      </c>
      <c r="H724" s="61">
        <v>18023</v>
      </c>
      <c r="N724" s="67" t="s">
        <v>42</v>
      </c>
    </row>
    <row r="725" spans="2:14" ht="17" x14ac:dyDescent="0.2">
      <c r="B725" s="128" t="s">
        <v>51</v>
      </c>
      <c r="C725" s="19"/>
      <c r="N725" s="67" t="s">
        <v>45</v>
      </c>
    </row>
    <row r="726" spans="2:14" ht="36" customHeight="1" x14ac:dyDescent="0.2">
      <c r="B726" s="165" t="s">
        <v>52</v>
      </c>
      <c r="C726" s="19" t="s">
        <v>40</v>
      </c>
      <c r="E726" s="34" t="s">
        <v>0</v>
      </c>
      <c r="G726" s="62" t="s">
        <v>41</v>
      </c>
      <c r="H726" s="61">
        <v>18023</v>
      </c>
      <c r="N726" s="67" t="s">
        <v>42</v>
      </c>
    </row>
    <row r="727" spans="2:14" ht="17" x14ac:dyDescent="0.2">
      <c r="B727" s="132" t="s">
        <v>53</v>
      </c>
      <c r="C727" s="19"/>
      <c r="N727" s="67" t="s">
        <v>45</v>
      </c>
    </row>
    <row r="728" spans="2:14" ht="51" x14ac:dyDescent="0.2">
      <c r="B728" s="263" t="s">
        <v>54</v>
      </c>
      <c r="C728" s="19" t="s">
        <v>40</v>
      </c>
      <c r="E728" s="34" t="s">
        <v>0</v>
      </c>
      <c r="G728" s="62" t="s">
        <v>41</v>
      </c>
      <c r="H728" s="61">
        <v>18023</v>
      </c>
      <c r="N728" s="67" t="s">
        <v>42</v>
      </c>
    </row>
    <row r="729" spans="2:14" ht="17" x14ac:dyDescent="0.2">
      <c r="B729" s="128" t="s">
        <v>55</v>
      </c>
      <c r="C729" s="19"/>
      <c r="N729" s="67" t="s">
        <v>45</v>
      </c>
    </row>
    <row r="730" spans="2:14" ht="51" x14ac:dyDescent="0.2">
      <c r="B730" s="134" t="s">
        <v>56</v>
      </c>
      <c r="C730" s="19" t="s">
        <v>57</v>
      </c>
      <c r="E730" s="34" t="s">
        <v>0</v>
      </c>
      <c r="G730" s="62" t="s">
        <v>41</v>
      </c>
      <c r="H730" s="61">
        <v>18023</v>
      </c>
      <c r="N730" s="67" t="s">
        <v>42</v>
      </c>
    </row>
    <row r="731" spans="2:14" ht="20" x14ac:dyDescent="0.2">
      <c r="B731" s="177" t="s">
        <v>51</v>
      </c>
      <c r="N731" s="67" t="s">
        <v>45</v>
      </c>
    </row>
    <row r="732" spans="2:14" ht="17" x14ac:dyDescent="0.2">
      <c r="B732" s="128" t="s">
        <v>342</v>
      </c>
      <c r="C732" s="261"/>
      <c r="G732" s="62"/>
      <c r="H732" s="61"/>
      <c r="N732" s="67" t="s">
        <v>45</v>
      </c>
    </row>
    <row r="733" spans="2:14" ht="17" x14ac:dyDescent="0.2">
      <c r="B733" s="231" t="s">
        <v>229</v>
      </c>
      <c r="N733" s="67" t="s">
        <v>45</v>
      </c>
    </row>
    <row r="734" spans="2:14" ht="17" x14ac:dyDescent="0.2">
      <c r="B734" s="233" t="s">
        <v>230</v>
      </c>
      <c r="C734" s="19" t="s">
        <v>40</v>
      </c>
      <c r="E734" s="34" t="s">
        <v>0</v>
      </c>
      <c r="G734" s="62" t="s">
        <v>41</v>
      </c>
      <c r="H734" s="61">
        <v>18023</v>
      </c>
      <c r="N734" s="67" t="s">
        <v>42</v>
      </c>
    </row>
    <row r="735" spans="2:14" ht="17" x14ac:dyDescent="0.2">
      <c r="B735" s="233" t="s">
        <v>231</v>
      </c>
      <c r="C735" s="19" t="s">
        <v>40</v>
      </c>
      <c r="E735" s="34" t="s">
        <v>0</v>
      </c>
      <c r="G735" s="62"/>
      <c r="H735" s="61"/>
      <c r="N735" s="67" t="s">
        <v>42</v>
      </c>
    </row>
    <row r="736" spans="2:14" ht="17" x14ac:dyDescent="0.2">
      <c r="B736" s="233" t="s">
        <v>232</v>
      </c>
      <c r="C736" s="232" t="s">
        <v>40</v>
      </c>
      <c r="E736" s="34" t="s">
        <v>0</v>
      </c>
      <c r="G736" s="62" t="s">
        <v>41</v>
      </c>
      <c r="H736" s="61">
        <v>18023</v>
      </c>
      <c r="N736" s="67" t="s">
        <v>42</v>
      </c>
    </row>
    <row r="737" spans="2:14" ht="17" x14ac:dyDescent="0.2">
      <c r="B737" s="233" t="s">
        <v>233</v>
      </c>
      <c r="C737" s="232" t="s">
        <v>40</v>
      </c>
      <c r="E737" s="34" t="s">
        <v>0</v>
      </c>
      <c r="G737" s="62" t="s">
        <v>41</v>
      </c>
      <c r="H737" s="61">
        <v>18023</v>
      </c>
      <c r="N737" s="67" t="s">
        <v>42</v>
      </c>
    </row>
    <row r="738" spans="2:14" ht="17" x14ac:dyDescent="0.2">
      <c r="B738" s="233" t="s">
        <v>236</v>
      </c>
      <c r="C738" s="232" t="s">
        <v>40</v>
      </c>
      <c r="E738" s="34" t="s">
        <v>0</v>
      </c>
      <c r="G738" s="62" t="s">
        <v>41</v>
      </c>
      <c r="H738" s="61">
        <v>18023</v>
      </c>
      <c r="N738" s="67" t="s">
        <v>42</v>
      </c>
    </row>
    <row r="739" spans="2:14" ht="17" x14ac:dyDescent="0.2">
      <c r="B739" s="128" t="s">
        <v>65</v>
      </c>
      <c r="N739" s="67" t="s">
        <v>45</v>
      </c>
    </row>
    <row r="740" spans="2:14" ht="17" x14ac:dyDescent="0.2">
      <c r="B740" s="174" t="s">
        <v>66</v>
      </c>
      <c r="C740" s="19" t="s">
        <v>40</v>
      </c>
      <c r="E740" s="34" t="s">
        <v>0</v>
      </c>
      <c r="G740" s="62" t="s">
        <v>41</v>
      </c>
      <c r="H740" s="61">
        <v>18023</v>
      </c>
      <c r="N740" s="67" t="s">
        <v>42</v>
      </c>
    </row>
    <row r="741" spans="2:14" ht="17" x14ac:dyDescent="0.2">
      <c r="B741" s="166" t="s">
        <v>67</v>
      </c>
      <c r="C741" s="19" t="s">
        <v>40</v>
      </c>
      <c r="E741" s="34" t="s">
        <v>0</v>
      </c>
      <c r="G741" s="62" t="s">
        <v>41</v>
      </c>
      <c r="H741" s="61">
        <v>18023</v>
      </c>
      <c r="N741" s="67" t="s">
        <v>42</v>
      </c>
    </row>
    <row r="742" spans="2:14" ht="17" x14ac:dyDescent="0.2">
      <c r="B742" s="166" t="s">
        <v>370</v>
      </c>
      <c r="C742" s="19" t="s">
        <v>40</v>
      </c>
      <c r="E742" s="34" t="s">
        <v>0</v>
      </c>
      <c r="G742" s="62" t="s">
        <v>41</v>
      </c>
      <c r="H742" s="61">
        <v>18023</v>
      </c>
      <c r="N742" s="67" t="s">
        <v>42</v>
      </c>
    </row>
    <row r="743" spans="2:14" ht="17" x14ac:dyDescent="0.2">
      <c r="B743" s="166" t="s">
        <v>69</v>
      </c>
      <c r="C743" s="19" t="s">
        <v>40</v>
      </c>
      <c r="E743" s="34" t="s">
        <v>0</v>
      </c>
      <c r="G743" s="62" t="s">
        <v>41</v>
      </c>
      <c r="H743" s="61">
        <v>18023</v>
      </c>
      <c r="N743" s="67" t="s">
        <v>42</v>
      </c>
    </row>
    <row r="744" spans="2:14" ht="17" x14ac:dyDescent="0.2">
      <c r="B744" s="138" t="s">
        <v>70</v>
      </c>
      <c r="C744" s="19" t="s">
        <v>40</v>
      </c>
      <c r="E744" s="34" t="s">
        <v>0</v>
      </c>
      <c r="G744" s="62" t="s">
        <v>41</v>
      </c>
      <c r="H744" s="61">
        <v>18023</v>
      </c>
      <c r="N744" s="67" t="s">
        <v>42</v>
      </c>
    </row>
    <row r="745" spans="2:14" ht="17" x14ac:dyDescent="0.2">
      <c r="B745" s="138" t="s">
        <v>71</v>
      </c>
      <c r="C745" s="19" t="s">
        <v>40</v>
      </c>
      <c r="E745" s="34" t="s">
        <v>0</v>
      </c>
      <c r="G745" s="62" t="s">
        <v>41</v>
      </c>
      <c r="H745" s="61">
        <v>18023</v>
      </c>
      <c r="N745" s="67" t="s">
        <v>42</v>
      </c>
    </row>
    <row r="746" spans="2:14" ht="17" x14ac:dyDescent="0.2">
      <c r="B746" s="139" t="s">
        <v>72</v>
      </c>
      <c r="C746" s="19" t="s">
        <v>40</v>
      </c>
      <c r="E746" s="34" t="s">
        <v>0</v>
      </c>
      <c r="G746" s="62" t="s">
        <v>41</v>
      </c>
      <c r="H746" s="61">
        <v>18023</v>
      </c>
      <c r="N746" s="67" t="s">
        <v>42</v>
      </c>
    </row>
    <row r="747" spans="2:14" ht="17" x14ac:dyDescent="0.2">
      <c r="B747" s="237" t="s">
        <v>73</v>
      </c>
      <c r="C747" s="19" t="s">
        <v>40</v>
      </c>
      <c r="E747" s="34" t="s">
        <v>0</v>
      </c>
      <c r="G747" s="62" t="s">
        <v>41</v>
      </c>
      <c r="H747" s="61">
        <v>18023</v>
      </c>
      <c r="N747" s="67" t="s">
        <v>42</v>
      </c>
    </row>
    <row r="748" spans="2:14" ht="17" x14ac:dyDescent="0.2">
      <c r="B748" s="139" t="s">
        <v>74</v>
      </c>
      <c r="C748" s="19" t="s">
        <v>40</v>
      </c>
      <c r="E748" s="34" t="s">
        <v>0</v>
      </c>
      <c r="G748" s="62" t="s">
        <v>41</v>
      </c>
      <c r="H748" s="61">
        <v>18023</v>
      </c>
      <c r="N748" s="67" t="s">
        <v>42</v>
      </c>
    </row>
    <row r="749" spans="2:14" ht="17" x14ac:dyDescent="0.2">
      <c r="B749" s="139" t="s">
        <v>75</v>
      </c>
      <c r="C749" s="19" t="s">
        <v>40</v>
      </c>
      <c r="E749" s="34" t="s">
        <v>0</v>
      </c>
      <c r="G749" s="62" t="s">
        <v>41</v>
      </c>
      <c r="H749" s="61">
        <v>18023</v>
      </c>
      <c r="N749" s="67" t="s">
        <v>42</v>
      </c>
    </row>
    <row r="750" spans="2:14" ht="17" x14ac:dyDescent="0.2">
      <c r="B750" s="138" t="s">
        <v>76</v>
      </c>
      <c r="C750" s="19" t="s">
        <v>40</v>
      </c>
      <c r="E750" s="34" t="s">
        <v>0</v>
      </c>
      <c r="G750" s="62" t="s">
        <v>41</v>
      </c>
      <c r="H750" s="61">
        <v>18023</v>
      </c>
      <c r="N750" s="67" t="s">
        <v>42</v>
      </c>
    </row>
    <row r="751" spans="2:14" ht="68" x14ac:dyDescent="0.2">
      <c r="B751" s="138" t="s">
        <v>204</v>
      </c>
      <c r="C751" s="19" t="s">
        <v>40</v>
      </c>
      <c r="E751" s="34" t="s">
        <v>0</v>
      </c>
      <c r="G751" s="62" t="s">
        <v>41</v>
      </c>
      <c r="H751" s="61">
        <v>18023</v>
      </c>
      <c r="N751" s="67" t="s">
        <v>42</v>
      </c>
    </row>
    <row r="752" spans="2:14" ht="17" x14ac:dyDescent="0.2">
      <c r="B752" s="166" t="s">
        <v>237</v>
      </c>
      <c r="C752" s="19" t="s">
        <v>40</v>
      </c>
      <c r="E752" s="34" t="s">
        <v>0</v>
      </c>
      <c r="G752" s="62" t="s">
        <v>41</v>
      </c>
      <c r="H752" s="61">
        <v>18023</v>
      </c>
      <c r="N752" s="67" t="s">
        <v>42</v>
      </c>
    </row>
    <row r="753" spans="2:14" ht="17" x14ac:dyDescent="0.2">
      <c r="B753" s="138" t="s">
        <v>79</v>
      </c>
      <c r="C753" s="19" t="s">
        <v>40</v>
      </c>
      <c r="E753" s="34" t="s">
        <v>0</v>
      </c>
      <c r="G753" s="62" t="s">
        <v>41</v>
      </c>
      <c r="H753" s="61">
        <v>18023</v>
      </c>
      <c r="N753" s="67" t="s">
        <v>42</v>
      </c>
    </row>
    <row r="754" spans="2:14" ht="17" x14ac:dyDescent="0.2">
      <c r="B754" s="138" t="s">
        <v>80</v>
      </c>
      <c r="C754" s="19" t="s">
        <v>40</v>
      </c>
      <c r="E754" s="34" t="s">
        <v>0</v>
      </c>
      <c r="G754" s="62" t="s">
        <v>41</v>
      </c>
      <c r="H754" s="61">
        <v>18023</v>
      </c>
      <c r="N754" s="67" t="s">
        <v>42</v>
      </c>
    </row>
    <row r="755" spans="2:14" ht="27" customHeight="1" x14ac:dyDescent="0.2">
      <c r="B755" s="138" t="s">
        <v>81</v>
      </c>
      <c r="C755" s="19" t="s">
        <v>40</v>
      </c>
      <c r="E755" s="34" t="s">
        <v>0</v>
      </c>
      <c r="G755" s="62" t="s">
        <v>41</v>
      </c>
      <c r="H755" s="61">
        <v>18023</v>
      </c>
      <c r="N755" s="67" t="s">
        <v>42</v>
      </c>
    </row>
    <row r="756" spans="2:14" ht="17" x14ac:dyDescent="0.2">
      <c r="B756" s="138" t="s">
        <v>371</v>
      </c>
      <c r="C756" s="19" t="s">
        <v>40</v>
      </c>
      <c r="E756" s="34" t="s">
        <v>0</v>
      </c>
      <c r="G756" s="62" t="s">
        <v>41</v>
      </c>
      <c r="H756" s="61">
        <v>18023</v>
      </c>
      <c r="N756" s="67" t="s">
        <v>42</v>
      </c>
    </row>
    <row r="757" spans="2:14" ht="17" x14ac:dyDescent="0.2">
      <c r="B757" s="138" t="s">
        <v>83</v>
      </c>
      <c r="C757" s="19" t="s">
        <v>40</v>
      </c>
      <c r="E757" s="34" t="s">
        <v>0</v>
      </c>
      <c r="G757" s="62" t="s">
        <v>41</v>
      </c>
      <c r="H757" s="61">
        <v>18023</v>
      </c>
      <c r="N757" s="67" t="s">
        <v>42</v>
      </c>
    </row>
    <row r="758" spans="2:14" ht="17" x14ac:dyDescent="0.2">
      <c r="B758" s="138" t="s">
        <v>84</v>
      </c>
      <c r="C758" s="19" t="s">
        <v>40</v>
      </c>
      <c r="E758" s="34" t="s">
        <v>0</v>
      </c>
      <c r="G758" s="62" t="s">
        <v>41</v>
      </c>
      <c r="H758" s="61">
        <v>18023</v>
      </c>
      <c r="N758" s="67" t="s">
        <v>42</v>
      </c>
    </row>
    <row r="759" spans="2:14" ht="17" x14ac:dyDescent="0.2">
      <c r="B759" s="139" t="s">
        <v>85</v>
      </c>
      <c r="C759" s="19" t="s">
        <v>40</v>
      </c>
      <c r="E759" s="34" t="s">
        <v>0</v>
      </c>
      <c r="G759" s="62" t="s">
        <v>41</v>
      </c>
      <c r="H759" s="61">
        <v>18023</v>
      </c>
      <c r="N759" s="67" t="s">
        <v>42</v>
      </c>
    </row>
    <row r="760" spans="2:14" ht="17" x14ac:dyDescent="0.2">
      <c r="B760" s="140" t="s">
        <v>86</v>
      </c>
      <c r="N760" s="67" t="s">
        <v>45</v>
      </c>
    </row>
    <row r="761" spans="2:14" ht="17" x14ac:dyDescent="0.2">
      <c r="B761" s="141" t="s">
        <v>87</v>
      </c>
      <c r="C761" s="19" t="s">
        <v>40</v>
      </c>
      <c r="E761" s="34" t="s">
        <v>0</v>
      </c>
      <c r="G761" s="62" t="s">
        <v>41</v>
      </c>
      <c r="H761" s="61">
        <v>18023</v>
      </c>
      <c r="N761" s="67" t="s">
        <v>42</v>
      </c>
    </row>
    <row r="762" spans="2:14" ht="32" x14ac:dyDescent="0.2">
      <c r="B762" s="140" t="s">
        <v>88</v>
      </c>
      <c r="C762" s="19"/>
      <c r="N762" s="67" t="s">
        <v>45</v>
      </c>
    </row>
    <row r="763" spans="2:14" ht="32" x14ac:dyDescent="0.2">
      <c r="B763" s="142" t="s">
        <v>89</v>
      </c>
      <c r="C763" s="19" t="s">
        <v>40</v>
      </c>
      <c r="E763" s="34" t="s">
        <v>0</v>
      </c>
      <c r="G763" s="62" t="s">
        <v>41</v>
      </c>
      <c r="H763" s="61">
        <v>18023</v>
      </c>
      <c r="N763" s="67" t="s">
        <v>42</v>
      </c>
    </row>
    <row r="764" spans="2:14" ht="17" x14ac:dyDescent="0.2">
      <c r="B764" s="140" t="s">
        <v>90</v>
      </c>
      <c r="C764" s="19"/>
      <c r="N764" s="67" t="s">
        <v>45</v>
      </c>
    </row>
    <row r="765" spans="2:14" ht="32" x14ac:dyDescent="0.2">
      <c r="B765" s="142" t="s">
        <v>91</v>
      </c>
      <c r="C765" s="19" t="s">
        <v>40</v>
      </c>
      <c r="E765" s="34" t="s">
        <v>92</v>
      </c>
      <c r="G765" s="62" t="s">
        <v>41</v>
      </c>
      <c r="H765" s="61">
        <v>18023</v>
      </c>
      <c r="N765" s="67" t="s">
        <v>42</v>
      </c>
    </row>
    <row r="766" spans="2:14" ht="17" x14ac:dyDescent="0.2">
      <c r="B766" s="140" t="s">
        <v>93</v>
      </c>
      <c r="C766" s="19"/>
      <c r="N766" s="67" t="s">
        <v>45</v>
      </c>
    </row>
    <row r="767" spans="2:14" ht="32" x14ac:dyDescent="0.2">
      <c r="B767" s="142" t="s">
        <v>94</v>
      </c>
      <c r="C767" s="19" t="s">
        <v>40</v>
      </c>
      <c r="E767" s="34" t="s">
        <v>92</v>
      </c>
      <c r="G767" s="62" t="s">
        <v>41</v>
      </c>
      <c r="H767" s="61">
        <v>18023</v>
      </c>
      <c r="N767" s="67" t="s">
        <v>42</v>
      </c>
    </row>
    <row r="768" spans="2:14" ht="48" x14ac:dyDescent="0.2">
      <c r="B768" s="143" t="s">
        <v>95</v>
      </c>
      <c r="C768" s="19" t="s">
        <v>40</v>
      </c>
      <c r="E768" s="34" t="s">
        <v>92</v>
      </c>
      <c r="G768" s="62" t="s">
        <v>41</v>
      </c>
      <c r="H768" s="61">
        <v>18023</v>
      </c>
      <c r="N768" s="67" t="s">
        <v>42</v>
      </c>
    </row>
    <row r="769" spans="2:14" ht="17" x14ac:dyDescent="0.2">
      <c r="B769" s="144" t="s">
        <v>96</v>
      </c>
      <c r="C769" s="19" t="s">
        <v>40</v>
      </c>
      <c r="E769" s="34" t="s">
        <v>92</v>
      </c>
      <c r="G769" s="62" t="s">
        <v>41</v>
      </c>
      <c r="H769" s="61">
        <v>18023</v>
      </c>
      <c r="N769" s="67" t="s">
        <v>42</v>
      </c>
    </row>
    <row r="770" spans="2:14" ht="32" x14ac:dyDescent="0.2">
      <c r="B770" s="143" t="s">
        <v>97</v>
      </c>
      <c r="C770" s="19" t="s">
        <v>40</v>
      </c>
      <c r="E770" s="34" t="s">
        <v>92</v>
      </c>
      <c r="G770" s="62" t="s">
        <v>41</v>
      </c>
      <c r="H770" s="61">
        <v>18023</v>
      </c>
      <c r="N770" s="67" t="s">
        <v>42</v>
      </c>
    </row>
    <row r="771" spans="2:14" ht="17" x14ac:dyDescent="0.2">
      <c r="B771" s="142" t="s">
        <v>98</v>
      </c>
      <c r="C771" s="19" t="s">
        <v>40</v>
      </c>
      <c r="E771" s="34" t="s">
        <v>92</v>
      </c>
      <c r="G771" s="62" t="s">
        <v>41</v>
      </c>
      <c r="H771" s="61">
        <v>18023</v>
      </c>
      <c r="N771" s="67" t="s">
        <v>42</v>
      </c>
    </row>
    <row r="772" spans="2:14" ht="17" x14ac:dyDescent="0.2">
      <c r="B772" s="144" t="s">
        <v>99</v>
      </c>
      <c r="C772" s="19" t="s">
        <v>40</v>
      </c>
      <c r="E772" s="34" t="s">
        <v>92</v>
      </c>
      <c r="G772" s="62" t="s">
        <v>41</v>
      </c>
      <c r="H772" s="61">
        <v>18023</v>
      </c>
      <c r="N772" s="67" t="s">
        <v>42</v>
      </c>
    </row>
    <row r="773" spans="2:14" ht="17" x14ac:dyDescent="0.2">
      <c r="B773" s="143" t="s">
        <v>100</v>
      </c>
      <c r="C773" s="19" t="s">
        <v>40</v>
      </c>
      <c r="E773" s="34" t="s">
        <v>92</v>
      </c>
      <c r="G773" s="62" t="s">
        <v>41</v>
      </c>
      <c r="H773" s="61">
        <v>18023</v>
      </c>
      <c r="N773" s="67" t="s">
        <v>42</v>
      </c>
    </row>
    <row r="774" spans="2:14" ht="17" x14ac:dyDescent="0.2">
      <c r="B774" s="140" t="s">
        <v>101</v>
      </c>
      <c r="N774" s="67" t="s">
        <v>45</v>
      </c>
    </row>
    <row r="775" spans="2:14" ht="17" x14ac:dyDescent="0.2">
      <c r="B775" s="141" t="s">
        <v>87</v>
      </c>
      <c r="C775" s="19" t="s">
        <v>40</v>
      </c>
      <c r="E775" s="34" t="s">
        <v>0</v>
      </c>
      <c r="G775" s="62" t="s">
        <v>41</v>
      </c>
      <c r="H775" s="61">
        <v>18023</v>
      </c>
      <c r="N775" s="67" t="s">
        <v>42</v>
      </c>
    </row>
    <row r="776" spans="2:14" ht="32" x14ac:dyDescent="0.2">
      <c r="B776" s="142" t="s">
        <v>102</v>
      </c>
      <c r="C776" s="19" t="s">
        <v>40</v>
      </c>
      <c r="E776" s="34" t="s">
        <v>0</v>
      </c>
      <c r="G776" s="62" t="s">
        <v>41</v>
      </c>
      <c r="H776" s="61">
        <v>18023</v>
      </c>
      <c r="N776" s="67" t="s">
        <v>42</v>
      </c>
    </row>
    <row r="777" spans="2:14" ht="48" x14ac:dyDescent="0.2">
      <c r="B777" s="143" t="s">
        <v>108</v>
      </c>
      <c r="C777" s="19" t="s">
        <v>40</v>
      </c>
      <c r="E777" s="34" t="s">
        <v>0</v>
      </c>
      <c r="G777" s="62" t="s">
        <v>41</v>
      </c>
      <c r="H777" s="61">
        <v>18023</v>
      </c>
      <c r="N777" s="67" t="s">
        <v>42</v>
      </c>
    </row>
    <row r="778" spans="2:14" ht="17" x14ac:dyDescent="0.2">
      <c r="B778" s="144" t="s">
        <v>96</v>
      </c>
      <c r="C778" s="19" t="s">
        <v>40</v>
      </c>
      <c r="E778" s="34" t="s">
        <v>0</v>
      </c>
      <c r="G778" s="62" t="s">
        <v>41</v>
      </c>
      <c r="H778" s="61">
        <v>18023</v>
      </c>
      <c r="N778" s="67" t="s">
        <v>42</v>
      </c>
    </row>
    <row r="779" spans="2:14" ht="32" x14ac:dyDescent="0.2">
      <c r="B779" s="143" t="s">
        <v>109</v>
      </c>
      <c r="C779" s="19" t="s">
        <v>40</v>
      </c>
      <c r="E779" s="34" t="s">
        <v>0</v>
      </c>
      <c r="G779" s="62" t="s">
        <v>41</v>
      </c>
      <c r="H779" s="61">
        <v>18023</v>
      </c>
      <c r="N779" s="67" t="s">
        <v>42</v>
      </c>
    </row>
    <row r="780" spans="2:14" ht="32" x14ac:dyDescent="0.2">
      <c r="B780" s="142" t="s">
        <v>110</v>
      </c>
      <c r="C780" s="19" t="s">
        <v>40</v>
      </c>
      <c r="E780" s="34" t="s">
        <v>0</v>
      </c>
      <c r="G780" s="62" t="s">
        <v>41</v>
      </c>
      <c r="H780" s="61">
        <v>18023</v>
      </c>
      <c r="N780" s="67" t="s">
        <v>42</v>
      </c>
    </row>
    <row r="781" spans="2:14" ht="17" x14ac:dyDescent="0.2">
      <c r="B781" s="144" t="s">
        <v>99</v>
      </c>
      <c r="C781" s="19" t="s">
        <v>40</v>
      </c>
      <c r="E781" s="34" t="s">
        <v>0</v>
      </c>
      <c r="G781" s="62" t="s">
        <v>41</v>
      </c>
      <c r="H781" s="61">
        <v>18023</v>
      </c>
      <c r="N781" s="67" t="s">
        <v>42</v>
      </c>
    </row>
    <row r="782" spans="2:14" ht="17" x14ac:dyDescent="0.2">
      <c r="B782" s="143" t="s">
        <v>111</v>
      </c>
      <c r="C782" s="19" t="s">
        <v>40</v>
      </c>
      <c r="E782" s="34" t="s">
        <v>0</v>
      </c>
      <c r="G782" s="62" t="s">
        <v>41</v>
      </c>
      <c r="H782" s="61">
        <v>18023</v>
      </c>
      <c r="N782" s="67" t="s">
        <v>42</v>
      </c>
    </row>
    <row r="783" spans="2:14" ht="17" x14ac:dyDescent="0.2">
      <c r="B783" s="140" t="s">
        <v>107</v>
      </c>
      <c r="N783" s="67" t="s">
        <v>45</v>
      </c>
    </row>
    <row r="784" spans="2:14" ht="17" x14ac:dyDescent="0.2">
      <c r="B784" s="141" t="s">
        <v>87</v>
      </c>
      <c r="C784" s="19" t="s">
        <v>40</v>
      </c>
      <c r="E784" s="34" t="s">
        <v>0</v>
      </c>
      <c r="G784" s="62" t="s">
        <v>41</v>
      </c>
      <c r="H784" s="61">
        <v>18023</v>
      </c>
      <c r="N784" s="67" t="s">
        <v>42</v>
      </c>
    </row>
    <row r="785" spans="2:14" ht="32" x14ac:dyDescent="0.2">
      <c r="B785" s="142" t="s">
        <v>102</v>
      </c>
      <c r="C785" s="19" t="s">
        <v>40</v>
      </c>
      <c r="E785" s="34" t="s">
        <v>0</v>
      </c>
      <c r="G785" s="62" t="s">
        <v>41</v>
      </c>
      <c r="H785" s="61">
        <v>18023</v>
      </c>
      <c r="N785" s="67" t="s">
        <v>42</v>
      </c>
    </row>
    <row r="786" spans="2:14" ht="48" x14ac:dyDescent="0.2">
      <c r="B786" s="143" t="s">
        <v>113</v>
      </c>
      <c r="C786" s="19" t="s">
        <v>40</v>
      </c>
      <c r="E786" s="34" t="s">
        <v>0</v>
      </c>
      <c r="G786" s="62" t="s">
        <v>41</v>
      </c>
      <c r="H786" s="61">
        <v>18023</v>
      </c>
      <c r="N786" s="67" t="s">
        <v>42</v>
      </c>
    </row>
    <row r="787" spans="2:14" ht="17" x14ac:dyDescent="0.2">
      <c r="B787" s="144" t="s">
        <v>96</v>
      </c>
      <c r="C787" s="19" t="s">
        <v>40</v>
      </c>
      <c r="E787" s="34" t="s">
        <v>0</v>
      </c>
      <c r="G787" s="62" t="s">
        <v>41</v>
      </c>
      <c r="H787" s="61">
        <v>18023</v>
      </c>
      <c r="N787" s="67" t="s">
        <v>42</v>
      </c>
    </row>
    <row r="788" spans="2:14" ht="32" x14ac:dyDescent="0.2">
      <c r="B788" s="143" t="s">
        <v>97</v>
      </c>
      <c r="C788" s="19" t="s">
        <v>40</v>
      </c>
      <c r="E788" s="34" t="s">
        <v>0</v>
      </c>
      <c r="G788" s="62" t="s">
        <v>41</v>
      </c>
      <c r="H788" s="61">
        <v>18023</v>
      </c>
      <c r="N788" s="67" t="s">
        <v>42</v>
      </c>
    </row>
    <row r="789" spans="2:14" ht="32" x14ac:dyDescent="0.2">
      <c r="B789" s="142" t="s">
        <v>114</v>
      </c>
      <c r="C789" s="19" t="s">
        <v>40</v>
      </c>
      <c r="E789" s="34" t="s">
        <v>0</v>
      </c>
      <c r="G789" s="62" t="s">
        <v>41</v>
      </c>
      <c r="H789" s="61">
        <v>18023</v>
      </c>
      <c r="N789" s="67" t="s">
        <v>42</v>
      </c>
    </row>
    <row r="790" spans="2:14" ht="17" x14ac:dyDescent="0.2">
      <c r="B790" s="144" t="s">
        <v>99</v>
      </c>
      <c r="C790" s="19" t="s">
        <v>40</v>
      </c>
      <c r="E790" s="34" t="s">
        <v>0</v>
      </c>
      <c r="G790" s="62" t="s">
        <v>41</v>
      </c>
      <c r="H790" s="61">
        <v>18023</v>
      </c>
      <c r="N790" s="67" t="s">
        <v>42</v>
      </c>
    </row>
    <row r="791" spans="2:14" ht="17" x14ac:dyDescent="0.2">
      <c r="B791" s="143" t="s">
        <v>115</v>
      </c>
      <c r="C791" s="19" t="s">
        <v>40</v>
      </c>
      <c r="E791" s="34" t="s">
        <v>0</v>
      </c>
      <c r="G791" s="62" t="s">
        <v>41</v>
      </c>
      <c r="H791" s="61">
        <v>18023</v>
      </c>
      <c r="N791" s="67" t="s">
        <v>42</v>
      </c>
    </row>
    <row r="792" spans="2:14" ht="34" x14ac:dyDescent="0.2">
      <c r="B792" s="132" t="s">
        <v>116</v>
      </c>
      <c r="N792" s="67" t="s">
        <v>45</v>
      </c>
    </row>
    <row r="793" spans="2:14" ht="64" x14ac:dyDescent="0.2">
      <c r="B793" s="143" t="s">
        <v>117</v>
      </c>
      <c r="C793" s="19" t="s">
        <v>40</v>
      </c>
      <c r="E793" s="34" t="s">
        <v>92</v>
      </c>
      <c r="G793" s="62" t="s">
        <v>41</v>
      </c>
      <c r="H793" s="61">
        <v>18023</v>
      </c>
      <c r="N793" s="67" t="s">
        <v>42</v>
      </c>
    </row>
    <row r="794" spans="2:14" ht="64" x14ac:dyDescent="0.2">
      <c r="B794" s="143" t="s">
        <v>118</v>
      </c>
      <c r="C794" s="19" t="s">
        <v>40</v>
      </c>
      <c r="E794" s="34" t="s">
        <v>92</v>
      </c>
      <c r="G794" s="62" t="s">
        <v>41</v>
      </c>
      <c r="H794" s="61">
        <v>18023</v>
      </c>
      <c r="N794" s="67" t="s">
        <v>42</v>
      </c>
    </row>
    <row r="795" spans="2:14" ht="17" x14ac:dyDescent="0.2">
      <c r="B795" s="143" t="s">
        <v>119</v>
      </c>
      <c r="C795" s="19" t="s">
        <v>40</v>
      </c>
      <c r="E795" s="210" t="s">
        <v>92</v>
      </c>
      <c r="G795" s="62" t="s">
        <v>41</v>
      </c>
      <c r="H795" s="61">
        <v>18023</v>
      </c>
      <c r="N795" s="67" t="s">
        <v>42</v>
      </c>
    </row>
    <row r="796" spans="2:14" ht="32" x14ac:dyDescent="0.2">
      <c r="B796" s="143" t="s">
        <v>120</v>
      </c>
      <c r="C796" s="19" t="s">
        <v>40</v>
      </c>
      <c r="E796" s="210" t="s">
        <v>92</v>
      </c>
      <c r="G796" s="62" t="s">
        <v>41</v>
      </c>
      <c r="H796" s="61">
        <v>18023</v>
      </c>
      <c r="N796" s="67" t="s">
        <v>42</v>
      </c>
    </row>
    <row r="797" spans="2:14" ht="17" x14ac:dyDescent="0.2">
      <c r="B797" s="128" t="s">
        <v>121</v>
      </c>
      <c r="C797" s="19"/>
      <c r="N797" s="67" t="s">
        <v>45</v>
      </c>
    </row>
    <row r="798" spans="2:14" ht="17" x14ac:dyDescent="0.2">
      <c r="B798" s="145" t="s">
        <v>122</v>
      </c>
      <c r="C798" s="19" t="s">
        <v>40</v>
      </c>
      <c r="E798" s="34" t="s">
        <v>0</v>
      </c>
      <c r="G798" s="62" t="s">
        <v>41</v>
      </c>
      <c r="H798" s="61">
        <v>18023</v>
      </c>
      <c r="N798" s="67" t="s">
        <v>42</v>
      </c>
    </row>
    <row r="799" spans="2:14" ht="17" x14ac:dyDescent="0.2">
      <c r="B799" s="139" t="s">
        <v>123</v>
      </c>
      <c r="C799" s="19" t="s">
        <v>40</v>
      </c>
      <c r="E799" s="34" t="s">
        <v>0</v>
      </c>
      <c r="G799" s="62" t="s">
        <v>41</v>
      </c>
      <c r="H799" s="61">
        <v>18023</v>
      </c>
      <c r="N799" s="67" t="s">
        <v>42</v>
      </c>
    </row>
    <row r="800" spans="2:14" ht="34" x14ac:dyDescent="0.2">
      <c r="B800" s="139" t="s">
        <v>345</v>
      </c>
      <c r="C800" s="19" t="s">
        <v>40</v>
      </c>
      <c r="E800" s="34" t="s">
        <v>0</v>
      </c>
      <c r="G800" s="62" t="s">
        <v>41</v>
      </c>
      <c r="H800" s="61">
        <v>18023</v>
      </c>
      <c r="N800" s="67" t="s">
        <v>42</v>
      </c>
    </row>
    <row r="801" spans="2:14" ht="17" x14ac:dyDescent="0.2">
      <c r="B801" s="139" t="s">
        <v>125</v>
      </c>
      <c r="C801" s="19" t="s">
        <v>40</v>
      </c>
      <c r="E801" s="34" t="s">
        <v>0</v>
      </c>
      <c r="G801" s="62" t="s">
        <v>41</v>
      </c>
      <c r="H801" s="61">
        <v>18023</v>
      </c>
      <c r="N801" s="67" t="s">
        <v>42</v>
      </c>
    </row>
    <row r="802" spans="2:14" ht="17" x14ac:dyDescent="0.2">
      <c r="B802" s="145" t="s">
        <v>126</v>
      </c>
      <c r="C802" s="19" t="s">
        <v>40</v>
      </c>
      <c r="E802" s="34" t="s">
        <v>0</v>
      </c>
      <c r="G802" s="62" t="s">
        <v>41</v>
      </c>
      <c r="H802" s="61">
        <v>18023</v>
      </c>
      <c r="N802" s="67" t="s">
        <v>42</v>
      </c>
    </row>
    <row r="803" spans="2:14" ht="17" x14ac:dyDescent="0.2">
      <c r="B803" s="138" t="s">
        <v>127</v>
      </c>
      <c r="C803" s="19" t="s">
        <v>40</v>
      </c>
      <c r="E803" s="34" t="s">
        <v>0</v>
      </c>
      <c r="G803" s="62" t="s">
        <v>41</v>
      </c>
      <c r="H803" s="61">
        <v>18023</v>
      </c>
      <c r="N803" s="67" t="s">
        <v>42</v>
      </c>
    </row>
    <row r="804" spans="2:14" ht="17" x14ac:dyDescent="0.2">
      <c r="B804" s="138" t="s">
        <v>128</v>
      </c>
      <c r="C804" s="19" t="s">
        <v>40</v>
      </c>
      <c r="E804" s="34" t="s">
        <v>0</v>
      </c>
      <c r="G804" s="62" t="s">
        <v>41</v>
      </c>
      <c r="H804" s="61">
        <v>18023</v>
      </c>
      <c r="N804" s="67" t="s">
        <v>42</v>
      </c>
    </row>
    <row r="805" spans="2:14" ht="17" x14ac:dyDescent="0.2">
      <c r="B805" s="146" t="s">
        <v>129</v>
      </c>
      <c r="C805" s="19" t="s">
        <v>40</v>
      </c>
      <c r="E805" s="34" t="s">
        <v>0</v>
      </c>
      <c r="G805" s="62" t="s">
        <v>41</v>
      </c>
      <c r="H805" s="61">
        <v>18023</v>
      </c>
      <c r="N805" s="67" t="s">
        <v>42</v>
      </c>
    </row>
    <row r="806" spans="2:14" ht="17" x14ac:dyDescent="0.2">
      <c r="B806" s="138" t="s">
        <v>372</v>
      </c>
      <c r="C806" s="19" t="s">
        <v>40</v>
      </c>
      <c r="E806" s="34" t="s">
        <v>0</v>
      </c>
      <c r="G806" s="62" t="s">
        <v>41</v>
      </c>
      <c r="H806" s="61">
        <v>18023</v>
      </c>
      <c r="N806" s="67" t="s">
        <v>42</v>
      </c>
    </row>
    <row r="807" spans="2:14" ht="17" x14ac:dyDescent="0.2">
      <c r="B807" s="147" t="s">
        <v>131</v>
      </c>
      <c r="C807" s="19" t="s">
        <v>40</v>
      </c>
      <c r="E807" s="34" t="s">
        <v>0</v>
      </c>
      <c r="G807" s="62" t="s">
        <v>41</v>
      </c>
      <c r="H807" s="61">
        <v>18023</v>
      </c>
      <c r="N807" s="67" t="s">
        <v>42</v>
      </c>
    </row>
    <row r="808" spans="2:14" ht="17" x14ac:dyDescent="0.2">
      <c r="B808" s="147" t="s">
        <v>132</v>
      </c>
      <c r="C808" s="19" t="s">
        <v>40</v>
      </c>
      <c r="E808" s="34" t="s">
        <v>0</v>
      </c>
      <c r="G808" s="62" t="s">
        <v>41</v>
      </c>
      <c r="H808" s="61">
        <v>18023</v>
      </c>
      <c r="N808" s="67" t="s">
        <v>42</v>
      </c>
    </row>
    <row r="809" spans="2:14" ht="17" x14ac:dyDescent="0.2">
      <c r="B809" s="147" t="s">
        <v>134</v>
      </c>
      <c r="C809" s="19" t="s">
        <v>40</v>
      </c>
      <c r="E809" s="34" t="s">
        <v>0</v>
      </c>
      <c r="G809" s="62" t="s">
        <v>41</v>
      </c>
      <c r="H809" s="61">
        <v>18023</v>
      </c>
      <c r="N809" s="67" t="s">
        <v>42</v>
      </c>
    </row>
    <row r="810" spans="2:14" ht="17" x14ac:dyDescent="0.2">
      <c r="B810" s="147" t="s">
        <v>136</v>
      </c>
      <c r="C810" s="19" t="s">
        <v>40</v>
      </c>
      <c r="G810" s="62" t="s">
        <v>41</v>
      </c>
      <c r="H810" s="61">
        <v>18023</v>
      </c>
      <c r="N810" s="67" t="s">
        <v>42</v>
      </c>
    </row>
    <row r="811" spans="2:14" ht="20" x14ac:dyDescent="0.25">
      <c r="B811" s="230" t="s">
        <v>238</v>
      </c>
      <c r="C811" s="19"/>
      <c r="N811" s="67" t="s">
        <v>45</v>
      </c>
    </row>
    <row r="812" spans="2:14" ht="17" x14ac:dyDescent="0.2">
      <c r="B812" s="147" t="s">
        <v>346</v>
      </c>
      <c r="C812" s="19" t="s">
        <v>40</v>
      </c>
      <c r="E812" s="34" t="s">
        <v>0</v>
      </c>
      <c r="G812" s="62" t="s">
        <v>41</v>
      </c>
      <c r="H812" s="61">
        <v>18023</v>
      </c>
      <c r="N812" s="67" t="s">
        <v>42</v>
      </c>
    </row>
    <row r="813" spans="2:14" ht="17" x14ac:dyDescent="0.2">
      <c r="B813" s="138" t="s">
        <v>373</v>
      </c>
      <c r="C813" s="19" t="s">
        <v>40</v>
      </c>
      <c r="E813" s="34" t="s">
        <v>0</v>
      </c>
      <c r="G813" s="62" t="s">
        <v>41</v>
      </c>
      <c r="H813" s="61">
        <v>18023</v>
      </c>
      <c r="N813" s="67" t="s">
        <v>42</v>
      </c>
    </row>
    <row r="814" spans="2:14" ht="17" x14ac:dyDescent="0.2">
      <c r="B814" s="138" t="s">
        <v>348</v>
      </c>
      <c r="C814" s="19" t="s">
        <v>40</v>
      </c>
      <c r="E814" s="34" t="s">
        <v>0</v>
      </c>
      <c r="G814" s="62" t="s">
        <v>41</v>
      </c>
      <c r="H814" s="61">
        <v>18023</v>
      </c>
      <c r="N814" s="67" t="s">
        <v>42</v>
      </c>
    </row>
    <row r="815" spans="2:14" ht="17" x14ac:dyDescent="0.2">
      <c r="B815" s="138" t="s">
        <v>349</v>
      </c>
      <c r="C815" s="19" t="s">
        <v>40</v>
      </c>
      <c r="E815" s="34" t="s">
        <v>0</v>
      </c>
      <c r="G815" s="62" t="s">
        <v>41</v>
      </c>
      <c r="H815" s="61">
        <v>18023</v>
      </c>
      <c r="N815" s="67" t="s">
        <v>42</v>
      </c>
    </row>
    <row r="816" spans="2:14" ht="17" x14ac:dyDescent="0.2">
      <c r="B816" s="138" t="s">
        <v>350</v>
      </c>
      <c r="C816" s="19" t="s">
        <v>40</v>
      </c>
      <c r="E816" s="34" t="s">
        <v>0</v>
      </c>
      <c r="G816" s="62" t="s">
        <v>41</v>
      </c>
      <c r="H816" s="61">
        <v>18023</v>
      </c>
      <c r="N816" s="67" t="s">
        <v>42</v>
      </c>
    </row>
    <row r="817" spans="2:14" ht="23" x14ac:dyDescent="0.3">
      <c r="B817" s="148" t="s">
        <v>137</v>
      </c>
      <c r="C817" s="19"/>
      <c r="N817" s="67" t="s">
        <v>45</v>
      </c>
    </row>
    <row r="818" spans="2:14" ht="23" x14ac:dyDescent="0.3">
      <c r="B818" s="148" t="s">
        <v>138</v>
      </c>
      <c r="C818" s="19"/>
      <c r="N818" s="67" t="s">
        <v>45</v>
      </c>
    </row>
    <row r="819" spans="2:14" ht="17" x14ac:dyDescent="0.2">
      <c r="B819" s="147" t="s">
        <v>330</v>
      </c>
      <c r="C819" s="19" t="s">
        <v>40</v>
      </c>
      <c r="E819" s="34" t="s">
        <v>0</v>
      </c>
      <c r="G819" s="62" t="s">
        <v>41</v>
      </c>
      <c r="H819" s="61">
        <v>18023</v>
      </c>
      <c r="N819" s="67" t="s">
        <v>42</v>
      </c>
    </row>
    <row r="820" spans="2:14" ht="34" x14ac:dyDescent="0.2">
      <c r="B820" s="147" t="s">
        <v>331</v>
      </c>
      <c r="C820" s="19" t="s">
        <v>40</v>
      </c>
      <c r="E820" s="34" t="s">
        <v>0</v>
      </c>
      <c r="G820" s="62" t="s">
        <v>41</v>
      </c>
      <c r="H820" s="61">
        <v>18023</v>
      </c>
      <c r="N820" s="67" t="s">
        <v>42</v>
      </c>
    </row>
    <row r="821" spans="2:14" ht="17" x14ac:dyDescent="0.2">
      <c r="B821" s="147" t="s">
        <v>332</v>
      </c>
      <c r="C821" s="19" t="s">
        <v>40</v>
      </c>
      <c r="E821" s="34" t="s">
        <v>0</v>
      </c>
      <c r="G821" s="62" t="s">
        <v>41</v>
      </c>
      <c r="H821" s="61">
        <v>18023</v>
      </c>
      <c r="N821" s="67" t="s">
        <v>42</v>
      </c>
    </row>
    <row r="822" spans="2:14" ht="17" x14ac:dyDescent="0.2">
      <c r="B822" s="147" t="s">
        <v>333</v>
      </c>
      <c r="C822" s="19" t="s">
        <v>40</v>
      </c>
      <c r="E822" s="34" t="s">
        <v>0</v>
      </c>
      <c r="G822" s="62" t="s">
        <v>41</v>
      </c>
      <c r="H822" s="61">
        <v>18023</v>
      </c>
      <c r="N822" s="67" t="s">
        <v>42</v>
      </c>
    </row>
    <row r="823" spans="2:14" ht="17" x14ac:dyDescent="0.2">
      <c r="B823" s="147" t="s">
        <v>374</v>
      </c>
      <c r="C823" s="19" t="s">
        <v>40</v>
      </c>
      <c r="E823" s="34" t="s">
        <v>0</v>
      </c>
      <c r="G823" s="62" t="s">
        <v>41</v>
      </c>
      <c r="H823" s="61">
        <v>18023</v>
      </c>
      <c r="N823" s="67" t="s">
        <v>42</v>
      </c>
    </row>
    <row r="824" spans="2:14" ht="23" x14ac:dyDescent="0.3">
      <c r="B824" s="148" t="s">
        <v>144</v>
      </c>
      <c r="C824" s="19"/>
      <c r="N824" s="67" t="s">
        <v>45</v>
      </c>
    </row>
    <row r="825" spans="2:14" ht="17" x14ac:dyDescent="0.2">
      <c r="B825" s="147" t="s">
        <v>145</v>
      </c>
      <c r="C825" s="19" t="s">
        <v>40</v>
      </c>
      <c r="E825" s="34" t="s">
        <v>0</v>
      </c>
      <c r="G825" s="62" t="s">
        <v>41</v>
      </c>
      <c r="H825" s="61">
        <v>18023</v>
      </c>
      <c r="N825" s="67" t="s">
        <v>42</v>
      </c>
    </row>
    <row r="826" spans="2:14" ht="17" x14ac:dyDescent="0.2">
      <c r="B826" s="147" t="s">
        <v>146</v>
      </c>
      <c r="C826" s="19" t="s">
        <v>40</v>
      </c>
      <c r="E826" s="34" t="s">
        <v>0</v>
      </c>
      <c r="G826" s="62" t="s">
        <v>41</v>
      </c>
      <c r="H826" s="61">
        <v>18023</v>
      </c>
      <c r="N826" s="67" t="s">
        <v>42</v>
      </c>
    </row>
    <row r="827" spans="2:14" ht="17" x14ac:dyDescent="0.2">
      <c r="B827" s="147" t="s">
        <v>147</v>
      </c>
      <c r="C827" s="19" t="s">
        <v>40</v>
      </c>
      <c r="E827" s="34" t="s">
        <v>0</v>
      </c>
      <c r="G827" s="62" t="s">
        <v>41</v>
      </c>
      <c r="H827" s="61">
        <v>18023</v>
      </c>
      <c r="N827" s="67" t="s">
        <v>42</v>
      </c>
    </row>
    <row r="828" spans="2:14" ht="17" x14ac:dyDescent="0.2">
      <c r="B828" s="147" t="s">
        <v>148</v>
      </c>
      <c r="C828" s="19" t="s">
        <v>40</v>
      </c>
      <c r="E828" s="34" t="s">
        <v>0</v>
      </c>
      <c r="G828" s="62" t="s">
        <v>41</v>
      </c>
      <c r="H828" s="61">
        <v>18023</v>
      </c>
      <c r="N828" s="67" t="s">
        <v>42</v>
      </c>
    </row>
    <row r="829" spans="2:14" ht="17" x14ac:dyDescent="0.2">
      <c r="B829" s="147" t="s">
        <v>375</v>
      </c>
      <c r="C829" s="19" t="s">
        <v>40</v>
      </c>
      <c r="E829" s="34" t="s">
        <v>0</v>
      </c>
      <c r="G829" s="62" t="s">
        <v>41</v>
      </c>
      <c r="H829" s="61">
        <v>18023</v>
      </c>
      <c r="N829" s="67" t="s">
        <v>42</v>
      </c>
    </row>
    <row r="830" spans="2:14" ht="20" x14ac:dyDescent="0.25">
      <c r="B830" s="149" t="s">
        <v>150</v>
      </c>
      <c r="C830" s="19"/>
      <c r="N830" s="67" t="s">
        <v>45</v>
      </c>
    </row>
    <row r="831" spans="2:14" ht="17" x14ac:dyDescent="0.2">
      <c r="B831" s="150" t="s">
        <v>151</v>
      </c>
      <c r="C831" s="19"/>
      <c r="N831" s="67" t="s">
        <v>45</v>
      </c>
    </row>
    <row r="832" spans="2:14" ht="17" x14ac:dyDescent="0.2">
      <c r="B832" s="151" t="s">
        <v>152</v>
      </c>
      <c r="C832" s="19" t="s">
        <v>40</v>
      </c>
      <c r="E832" s="34" t="s">
        <v>0</v>
      </c>
      <c r="G832" s="62" t="s">
        <v>41</v>
      </c>
      <c r="H832" s="61">
        <v>18023</v>
      </c>
      <c r="N832" s="67" t="s">
        <v>42</v>
      </c>
    </row>
    <row r="833" spans="2:14" ht="17" x14ac:dyDescent="0.2">
      <c r="B833" s="151" t="s">
        <v>153</v>
      </c>
      <c r="C833" s="19" t="s">
        <v>40</v>
      </c>
      <c r="E833" s="34" t="s">
        <v>0</v>
      </c>
      <c r="G833" s="62" t="s">
        <v>41</v>
      </c>
      <c r="H833" s="61">
        <v>18023</v>
      </c>
      <c r="N833" s="67" t="s">
        <v>42</v>
      </c>
    </row>
    <row r="834" spans="2:14" ht="17" x14ac:dyDescent="0.2">
      <c r="B834" s="152" t="s">
        <v>154</v>
      </c>
      <c r="C834" s="19" t="s">
        <v>40</v>
      </c>
      <c r="E834" s="34" t="s">
        <v>0</v>
      </c>
      <c r="G834" s="62" t="s">
        <v>41</v>
      </c>
      <c r="H834" s="61">
        <v>18023</v>
      </c>
      <c r="N834" s="67" t="s">
        <v>42</v>
      </c>
    </row>
    <row r="835" spans="2:14" ht="17" x14ac:dyDescent="0.2">
      <c r="B835" s="143" t="s">
        <v>155</v>
      </c>
      <c r="C835" s="19" t="s">
        <v>40</v>
      </c>
      <c r="E835" s="34" t="s">
        <v>0</v>
      </c>
      <c r="G835" s="62" t="s">
        <v>41</v>
      </c>
      <c r="H835" s="61">
        <v>18023</v>
      </c>
      <c r="N835" s="67" t="s">
        <v>42</v>
      </c>
    </row>
    <row r="836" spans="2:14" ht="17" x14ac:dyDescent="0.2">
      <c r="B836" s="153" t="s">
        <v>156</v>
      </c>
      <c r="N836" s="67" t="s">
        <v>45</v>
      </c>
    </row>
    <row r="837" spans="2:14" ht="17" x14ac:dyDescent="0.2">
      <c r="B837" s="153" t="s">
        <v>157</v>
      </c>
      <c r="C837" s="19"/>
      <c r="N837" s="67" t="s">
        <v>45</v>
      </c>
    </row>
    <row r="838" spans="2:14" ht="17" x14ac:dyDescent="0.2">
      <c r="B838" s="154" t="s">
        <v>158</v>
      </c>
      <c r="C838" s="19" t="s">
        <v>40</v>
      </c>
      <c r="E838" s="34" t="s">
        <v>0</v>
      </c>
      <c r="G838" s="62" t="s">
        <v>41</v>
      </c>
      <c r="H838" s="61">
        <v>18023</v>
      </c>
      <c r="N838" s="67" t="s">
        <v>42</v>
      </c>
    </row>
    <row r="839" spans="2:14" ht="17" x14ac:dyDescent="0.2">
      <c r="B839" s="155" t="s">
        <v>159</v>
      </c>
      <c r="C839" s="19" t="s">
        <v>40</v>
      </c>
      <c r="E839" s="34" t="s">
        <v>0</v>
      </c>
      <c r="G839" s="62" t="s">
        <v>41</v>
      </c>
      <c r="H839" s="61">
        <v>18023</v>
      </c>
      <c r="N839" s="67" t="s">
        <v>42</v>
      </c>
    </row>
    <row r="840" spans="2:14" ht="17" x14ac:dyDescent="0.2">
      <c r="B840" s="151" t="s">
        <v>160</v>
      </c>
      <c r="C840" s="19" t="s">
        <v>40</v>
      </c>
      <c r="E840" s="34" t="s">
        <v>0</v>
      </c>
      <c r="G840" s="62" t="s">
        <v>41</v>
      </c>
      <c r="H840" s="61">
        <v>18023</v>
      </c>
      <c r="N840" s="67" t="s">
        <v>42</v>
      </c>
    </row>
    <row r="841" spans="2:14" ht="17" x14ac:dyDescent="0.2">
      <c r="B841" s="153" t="s">
        <v>161</v>
      </c>
      <c r="C841" s="19"/>
      <c r="N841" s="67" t="s">
        <v>45</v>
      </c>
    </row>
    <row r="842" spans="2:14" ht="17" x14ac:dyDescent="0.2">
      <c r="B842" s="156" t="s">
        <v>162</v>
      </c>
      <c r="C842" s="19"/>
      <c r="N842" s="67" t="s">
        <v>45</v>
      </c>
    </row>
    <row r="843" spans="2:14" ht="48" x14ac:dyDescent="0.2">
      <c r="B843" s="151" t="s">
        <v>163</v>
      </c>
      <c r="C843" s="19" t="s">
        <v>40</v>
      </c>
      <c r="E843" s="34" t="s">
        <v>0</v>
      </c>
      <c r="G843" s="62" t="s">
        <v>41</v>
      </c>
      <c r="H843" s="61">
        <v>18023</v>
      </c>
      <c r="N843" s="67" t="s">
        <v>42</v>
      </c>
    </row>
    <row r="844" spans="2:14" ht="17" x14ac:dyDescent="0.2">
      <c r="B844" s="138" t="s">
        <v>164</v>
      </c>
      <c r="C844" s="19" t="s">
        <v>40</v>
      </c>
      <c r="E844" s="34" t="s">
        <v>0</v>
      </c>
      <c r="G844" s="62" t="s">
        <v>41</v>
      </c>
      <c r="H844" s="61">
        <v>18023</v>
      </c>
      <c r="N844" s="67" t="s">
        <v>42</v>
      </c>
    </row>
    <row r="845" spans="2:14" ht="17" x14ac:dyDescent="0.2">
      <c r="B845" s="157" t="s">
        <v>168</v>
      </c>
      <c r="N845" s="67" t="s">
        <v>45</v>
      </c>
    </row>
    <row r="846" spans="2:14" ht="51" x14ac:dyDescent="0.2">
      <c r="B846" s="158" t="s">
        <v>169</v>
      </c>
      <c r="C846" s="19" t="s">
        <v>40</v>
      </c>
      <c r="E846" s="34" t="s">
        <v>0</v>
      </c>
      <c r="G846" s="62" t="s">
        <v>41</v>
      </c>
      <c r="H846" s="61">
        <v>18023</v>
      </c>
      <c r="N846" s="67" t="s">
        <v>42</v>
      </c>
    </row>
    <row r="847" spans="2:14" ht="17" x14ac:dyDescent="0.2">
      <c r="B847" s="159" t="s">
        <v>170</v>
      </c>
      <c r="C847" s="19" t="s">
        <v>40</v>
      </c>
      <c r="E847" s="34" t="s">
        <v>0</v>
      </c>
      <c r="G847" s="62" t="s">
        <v>41</v>
      </c>
      <c r="H847" s="61">
        <v>18023</v>
      </c>
      <c r="N847" s="67" t="s">
        <v>42</v>
      </c>
    </row>
    <row r="848" spans="2:14" ht="17" x14ac:dyDescent="0.2">
      <c r="B848" s="157" t="s">
        <v>171</v>
      </c>
      <c r="C848" s="19"/>
      <c r="N848" s="67" t="s">
        <v>45</v>
      </c>
    </row>
    <row r="849" spans="2:14" ht="48" x14ac:dyDescent="0.2">
      <c r="B849" s="144" t="s">
        <v>172</v>
      </c>
      <c r="C849" s="19" t="s">
        <v>40</v>
      </c>
      <c r="E849" s="34" t="s">
        <v>0</v>
      </c>
      <c r="G849" s="62" t="s">
        <v>41</v>
      </c>
      <c r="H849" s="61">
        <v>18023</v>
      </c>
      <c r="N849" s="67" t="s">
        <v>42</v>
      </c>
    </row>
    <row r="850" spans="2:14" ht="17" x14ac:dyDescent="0.2">
      <c r="B850" s="160" t="s">
        <v>173</v>
      </c>
      <c r="C850" s="19" t="s">
        <v>40</v>
      </c>
      <c r="E850" s="34" t="s">
        <v>0</v>
      </c>
      <c r="G850" s="62" t="s">
        <v>41</v>
      </c>
      <c r="H850" s="61">
        <v>18023</v>
      </c>
      <c r="N850" s="67" t="s">
        <v>42</v>
      </c>
    </row>
    <row r="851" spans="2:14" ht="17" x14ac:dyDescent="0.2">
      <c r="B851" s="161" t="s">
        <v>174</v>
      </c>
      <c r="N851" s="67" t="s">
        <v>45</v>
      </c>
    </row>
    <row r="852" spans="2:14" ht="51" x14ac:dyDescent="0.2">
      <c r="B852" s="161" t="s">
        <v>175</v>
      </c>
      <c r="C852" s="19"/>
      <c r="N852" s="67" t="s">
        <v>45</v>
      </c>
    </row>
    <row r="853" spans="2:14" ht="17" x14ac:dyDescent="0.2">
      <c r="B853" s="131" t="s">
        <v>176</v>
      </c>
      <c r="C853" s="19" t="s">
        <v>40</v>
      </c>
      <c r="E853" s="34" t="s">
        <v>0</v>
      </c>
      <c r="F853" s="62"/>
      <c r="G853" s="62" t="s">
        <v>41</v>
      </c>
      <c r="H853" s="61">
        <v>18023</v>
      </c>
      <c r="N853" s="67" t="s">
        <v>42</v>
      </c>
    </row>
    <row r="854" spans="2:14" ht="17" x14ac:dyDescent="0.2">
      <c r="B854" s="160" t="s">
        <v>177</v>
      </c>
      <c r="C854" s="19" t="s">
        <v>40</v>
      </c>
      <c r="E854" s="34" t="s">
        <v>0</v>
      </c>
      <c r="F854" s="62"/>
      <c r="G854" s="62" t="s">
        <v>41</v>
      </c>
      <c r="H854" s="61">
        <v>18023</v>
      </c>
      <c r="N854" s="67" t="s">
        <v>42</v>
      </c>
    </row>
    <row r="855" spans="2:14" ht="17" x14ac:dyDescent="0.2">
      <c r="B855" s="131" t="s">
        <v>178</v>
      </c>
      <c r="C855" s="19" t="s">
        <v>40</v>
      </c>
      <c r="E855" s="34" t="s">
        <v>0</v>
      </c>
      <c r="F855" s="62"/>
      <c r="G855" s="62" t="s">
        <v>41</v>
      </c>
      <c r="H855" s="61">
        <v>18023</v>
      </c>
      <c r="N855" s="67" t="s">
        <v>42</v>
      </c>
    </row>
    <row r="856" spans="2:14" ht="68" x14ac:dyDescent="0.2">
      <c r="B856" s="131" t="s">
        <v>179</v>
      </c>
      <c r="C856" s="19" t="s">
        <v>40</v>
      </c>
      <c r="E856" s="34" t="s">
        <v>0</v>
      </c>
      <c r="F856" s="62"/>
      <c r="G856" s="62" t="s">
        <v>41</v>
      </c>
      <c r="H856" s="61">
        <v>18023</v>
      </c>
      <c r="N856" s="67" t="s">
        <v>42</v>
      </c>
    </row>
    <row r="857" spans="2:14" ht="17" x14ac:dyDescent="0.2">
      <c r="B857" s="160" t="s">
        <v>182</v>
      </c>
      <c r="C857" s="19" t="s">
        <v>40</v>
      </c>
      <c r="E857" s="34" t="s">
        <v>0</v>
      </c>
      <c r="F857" s="62"/>
      <c r="G857" s="62" t="s">
        <v>41</v>
      </c>
      <c r="H857" s="61">
        <v>18023</v>
      </c>
      <c r="N857" s="67" t="s">
        <v>42</v>
      </c>
    </row>
    <row r="858" spans="2:14" ht="68" x14ac:dyDescent="0.2">
      <c r="B858" s="160" t="s">
        <v>183</v>
      </c>
      <c r="C858" s="19" t="s">
        <v>40</v>
      </c>
      <c r="E858" s="34" t="s">
        <v>0</v>
      </c>
      <c r="F858" s="62"/>
      <c r="G858" s="62" t="s">
        <v>41</v>
      </c>
      <c r="H858" s="61">
        <v>18023</v>
      </c>
      <c r="N858" s="67" t="s">
        <v>42</v>
      </c>
    </row>
    <row r="859" spans="2:14" ht="17" x14ac:dyDescent="0.2">
      <c r="B859" s="162" t="s">
        <v>184</v>
      </c>
      <c r="C859" s="19" t="s">
        <v>40</v>
      </c>
      <c r="E859" s="34" t="s">
        <v>0</v>
      </c>
      <c r="F859" s="62"/>
      <c r="G859" s="62" t="s">
        <v>41</v>
      </c>
      <c r="H859" s="61">
        <v>18023</v>
      </c>
      <c r="N859" s="67" t="s">
        <v>42</v>
      </c>
    </row>
    <row r="860" spans="2:14" ht="17" x14ac:dyDescent="0.2">
      <c r="B860" s="162" t="s">
        <v>185</v>
      </c>
      <c r="C860" s="19" t="s">
        <v>40</v>
      </c>
      <c r="E860" s="34" t="s">
        <v>0</v>
      </c>
      <c r="F860" s="62"/>
      <c r="G860" s="62" t="s">
        <v>41</v>
      </c>
      <c r="H860" s="61">
        <v>18023</v>
      </c>
      <c r="N860" s="67" t="s">
        <v>42</v>
      </c>
    </row>
    <row r="861" spans="2:14" ht="17" x14ac:dyDescent="0.2">
      <c r="N861" s="67" t="s">
        <v>45</v>
      </c>
    </row>
    <row r="862" spans="2:14" ht="25" x14ac:dyDescent="0.3">
      <c r="B862" s="125" t="s">
        <v>376</v>
      </c>
      <c r="C862" s="59"/>
      <c r="N862" s="67" t="s">
        <v>45</v>
      </c>
    </row>
    <row r="863" spans="2:14" ht="69" x14ac:dyDescent="0.2">
      <c r="B863" s="170" t="s">
        <v>377</v>
      </c>
      <c r="C863" s="19"/>
      <c r="N863" s="67" t="s">
        <v>45</v>
      </c>
    </row>
    <row r="864" spans="2:14" ht="17" x14ac:dyDescent="0.2">
      <c r="B864" s="127" t="s">
        <v>31</v>
      </c>
      <c r="C864" s="19"/>
      <c r="N864" s="67" t="s">
        <v>45</v>
      </c>
    </row>
    <row r="865" spans="2:14" ht="17" x14ac:dyDescent="0.2">
      <c r="B865" s="127" t="s">
        <v>328</v>
      </c>
      <c r="N865" s="67" t="s">
        <v>45</v>
      </c>
    </row>
    <row r="866" spans="2:14" ht="17" x14ac:dyDescent="0.2">
      <c r="B866" s="128" t="s">
        <v>33</v>
      </c>
      <c r="N866" s="67" t="s">
        <v>45</v>
      </c>
    </row>
    <row r="867" spans="2:14" ht="17" x14ac:dyDescent="0.2">
      <c r="B867" s="127" t="s">
        <v>34</v>
      </c>
      <c r="C867" s="19"/>
      <c r="N867" s="67" t="s">
        <v>45</v>
      </c>
    </row>
    <row r="868" spans="2:14" ht="69" x14ac:dyDescent="0.2">
      <c r="B868" s="236" t="s">
        <v>378</v>
      </c>
      <c r="C868" s="19"/>
      <c r="N868" s="67" t="s">
        <v>45</v>
      </c>
    </row>
    <row r="869" spans="2:14" ht="51" x14ac:dyDescent="0.2">
      <c r="B869" s="127" t="s">
        <v>339</v>
      </c>
      <c r="C869" s="19"/>
      <c r="N869" s="67" t="s">
        <v>45</v>
      </c>
    </row>
    <row r="870" spans="2:14" ht="17" x14ac:dyDescent="0.2">
      <c r="B870" s="129" t="s">
        <v>36</v>
      </c>
      <c r="C870" s="19"/>
      <c r="N870" s="67" t="s">
        <v>45</v>
      </c>
    </row>
    <row r="871" spans="2:14" ht="17" x14ac:dyDescent="0.2">
      <c r="B871" s="129" t="s">
        <v>37</v>
      </c>
      <c r="C871" s="19"/>
      <c r="N871" s="67" t="s">
        <v>45</v>
      </c>
    </row>
    <row r="872" spans="2:14" ht="17" x14ac:dyDescent="0.2">
      <c r="B872" s="128" t="s">
        <v>38</v>
      </c>
      <c r="C872" s="19"/>
      <c r="N872" s="67" t="s">
        <v>45</v>
      </c>
    </row>
    <row r="873" spans="2:14" ht="53.25" customHeight="1" x14ac:dyDescent="0.2">
      <c r="B873" s="130" t="s">
        <v>340</v>
      </c>
      <c r="C873" s="19" t="s">
        <v>40</v>
      </c>
      <c r="J873" s="34" t="s">
        <v>0</v>
      </c>
      <c r="L873" s="62" t="s">
        <v>41</v>
      </c>
      <c r="M873" s="34">
        <v>25132</v>
      </c>
      <c r="N873" s="67" t="s">
        <v>42</v>
      </c>
    </row>
    <row r="874" spans="2:14" ht="32" x14ac:dyDescent="0.2">
      <c r="B874" s="130" t="s">
        <v>224</v>
      </c>
      <c r="C874" s="19" t="s">
        <v>40</v>
      </c>
      <c r="J874" s="34" t="s">
        <v>0</v>
      </c>
      <c r="L874" s="62" t="s">
        <v>41</v>
      </c>
      <c r="M874" s="34">
        <v>25132</v>
      </c>
      <c r="N874" s="67" t="s">
        <v>42</v>
      </c>
    </row>
    <row r="875" spans="2:14" ht="17" x14ac:dyDescent="0.2">
      <c r="B875" s="128" t="s">
        <v>44</v>
      </c>
      <c r="C875" s="19"/>
      <c r="N875" s="67" t="s">
        <v>45</v>
      </c>
    </row>
    <row r="876" spans="2:14" ht="17" x14ac:dyDescent="0.2">
      <c r="B876" s="130" t="s">
        <v>341</v>
      </c>
      <c r="C876" s="19" t="s">
        <v>40</v>
      </c>
      <c r="L876" s="62" t="s">
        <v>41</v>
      </c>
      <c r="M876" s="34">
        <v>25132</v>
      </c>
      <c r="N876" s="67" t="s">
        <v>42</v>
      </c>
    </row>
    <row r="877" spans="2:14" ht="17" x14ac:dyDescent="0.2">
      <c r="B877" s="128" t="s">
        <v>47</v>
      </c>
      <c r="N877" s="67" t="s">
        <v>45</v>
      </c>
    </row>
    <row r="878" spans="2:14" ht="17" x14ac:dyDescent="0.2">
      <c r="B878" s="131" t="s">
        <v>48</v>
      </c>
      <c r="C878" s="19" t="s">
        <v>40</v>
      </c>
      <c r="J878" s="34" t="s">
        <v>0</v>
      </c>
      <c r="L878" s="62" t="s">
        <v>41</v>
      </c>
      <c r="M878" s="34">
        <v>25132</v>
      </c>
      <c r="N878" s="67" t="s">
        <v>42</v>
      </c>
    </row>
    <row r="879" spans="2:14" ht="17" x14ac:dyDescent="0.2">
      <c r="B879" s="131" t="s">
        <v>49</v>
      </c>
      <c r="C879" s="19" t="s">
        <v>40</v>
      </c>
      <c r="J879" s="34" t="s">
        <v>0</v>
      </c>
      <c r="L879" s="62" t="s">
        <v>41</v>
      </c>
      <c r="M879" s="34">
        <v>25132</v>
      </c>
      <c r="N879" s="67" t="s">
        <v>42</v>
      </c>
    </row>
    <row r="880" spans="2:14" ht="34" x14ac:dyDescent="0.2">
      <c r="B880" s="131" t="s">
        <v>50</v>
      </c>
      <c r="C880" s="19" t="s">
        <v>40</v>
      </c>
      <c r="J880" s="34" t="s">
        <v>0</v>
      </c>
      <c r="L880" s="62" t="s">
        <v>41</v>
      </c>
      <c r="M880" s="34">
        <v>25132</v>
      </c>
      <c r="N880" s="67" t="s">
        <v>42</v>
      </c>
    </row>
    <row r="881" spans="2:14" ht="17" x14ac:dyDescent="0.2">
      <c r="B881" s="128" t="s">
        <v>51</v>
      </c>
      <c r="C881" s="19"/>
      <c r="N881" s="67" t="s">
        <v>45</v>
      </c>
    </row>
    <row r="882" spans="2:14" ht="34.5" customHeight="1" x14ac:dyDescent="0.2">
      <c r="B882" s="165" t="s">
        <v>52</v>
      </c>
      <c r="C882" s="19" t="s">
        <v>40</v>
      </c>
      <c r="J882" s="34" t="s">
        <v>0</v>
      </c>
      <c r="L882" s="62" t="s">
        <v>41</v>
      </c>
      <c r="M882" s="34">
        <v>25132</v>
      </c>
      <c r="N882" s="67" t="s">
        <v>42</v>
      </c>
    </row>
    <row r="883" spans="2:14" ht="17" x14ac:dyDescent="0.2">
      <c r="B883" s="132" t="s">
        <v>53</v>
      </c>
      <c r="C883" s="19"/>
      <c r="N883" s="67" t="s">
        <v>45</v>
      </c>
    </row>
    <row r="884" spans="2:14" ht="51" x14ac:dyDescent="0.2">
      <c r="B884" s="263" t="s">
        <v>54</v>
      </c>
      <c r="C884" s="19" t="s">
        <v>40</v>
      </c>
      <c r="J884" s="34" t="s">
        <v>0</v>
      </c>
      <c r="L884" s="62" t="s">
        <v>41</v>
      </c>
      <c r="M884" s="34">
        <v>25132</v>
      </c>
      <c r="N884" s="67" t="s">
        <v>42</v>
      </c>
    </row>
    <row r="885" spans="2:14" ht="17" x14ac:dyDescent="0.2">
      <c r="B885" s="128" t="s">
        <v>55</v>
      </c>
      <c r="C885" s="19"/>
      <c r="N885" s="67" t="s">
        <v>45</v>
      </c>
    </row>
    <row r="886" spans="2:14" ht="51" x14ac:dyDescent="0.2">
      <c r="B886" s="134" t="s">
        <v>56</v>
      </c>
      <c r="C886" s="19" t="s">
        <v>57</v>
      </c>
      <c r="J886" s="34" t="s">
        <v>0</v>
      </c>
      <c r="L886" s="62" t="s">
        <v>41</v>
      </c>
      <c r="M886" s="34">
        <v>25132</v>
      </c>
      <c r="N886" s="67" t="s">
        <v>42</v>
      </c>
    </row>
    <row r="887" spans="2:14" ht="20" x14ac:dyDescent="0.2">
      <c r="B887" s="177" t="s">
        <v>51</v>
      </c>
      <c r="N887" s="67" t="s">
        <v>45</v>
      </c>
    </row>
    <row r="888" spans="2:14" ht="17" x14ac:dyDescent="0.2">
      <c r="B888" s="128" t="s">
        <v>342</v>
      </c>
      <c r="C888" s="261"/>
      <c r="L888" s="62"/>
      <c r="N888" s="67" t="s">
        <v>45</v>
      </c>
    </row>
    <row r="889" spans="2:14" ht="17" x14ac:dyDescent="0.2">
      <c r="B889" s="231" t="s">
        <v>229</v>
      </c>
      <c r="N889" s="67" t="s">
        <v>45</v>
      </c>
    </row>
    <row r="890" spans="2:14" ht="17" x14ac:dyDescent="0.2">
      <c r="B890" s="233" t="s">
        <v>230</v>
      </c>
      <c r="C890" s="19" t="s">
        <v>40</v>
      </c>
      <c r="J890" s="34" t="s">
        <v>0</v>
      </c>
      <c r="L890" s="62" t="s">
        <v>41</v>
      </c>
      <c r="M890" s="34">
        <v>25132</v>
      </c>
      <c r="N890" s="67" t="s">
        <v>42</v>
      </c>
    </row>
    <row r="891" spans="2:14" ht="17" x14ac:dyDescent="0.2">
      <c r="B891" s="233" t="s">
        <v>231</v>
      </c>
      <c r="C891" s="232"/>
      <c r="J891" s="34" t="s">
        <v>0</v>
      </c>
      <c r="L891" s="62" t="s">
        <v>41</v>
      </c>
      <c r="M891" s="34">
        <v>25132</v>
      </c>
      <c r="N891" s="67" t="s">
        <v>45</v>
      </c>
    </row>
    <row r="892" spans="2:14" ht="17" x14ac:dyDescent="0.2">
      <c r="B892" s="233" t="s">
        <v>232</v>
      </c>
      <c r="C892" s="232" t="s">
        <v>40</v>
      </c>
      <c r="J892" s="34" t="s">
        <v>0</v>
      </c>
      <c r="L892" s="62" t="s">
        <v>41</v>
      </c>
      <c r="M892" s="34">
        <v>25132</v>
      </c>
      <c r="N892" s="67" t="s">
        <v>42</v>
      </c>
    </row>
    <row r="893" spans="2:14" ht="17" x14ac:dyDescent="0.2">
      <c r="B893" s="233" t="s">
        <v>233</v>
      </c>
      <c r="C893" s="232" t="s">
        <v>40</v>
      </c>
      <c r="J893" s="34" t="s">
        <v>0</v>
      </c>
      <c r="L893" s="62" t="s">
        <v>41</v>
      </c>
      <c r="M893" s="34">
        <v>25132</v>
      </c>
      <c r="N893" s="67" t="s">
        <v>42</v>
      </c>
    </row>
    <row r="894" spans="2:14" ht="17" x14ac:dyDescent="0.2">
      <c r="B894" s="233" t="s">
        <v>236</v>
      </c>
      <c r="C894" s="232" t="s">
        <v>40</v>
      </c>
      <c r="J894" s="34" t="s">
        <v>0</v>
      </c>
      <c r="L894" s="62" t="s">
        <v>41</v>
      </c>
      <c r="M894" s="34">
        <v>25132</v>
      </c>
      <c r="N894" s="67" t="s">
        <v>42</v>
      </c>
    </row>
    <row r="895" spans="2:14" ht="17" x14ac:dyDescent="0.2">
      <c r="B895" s="128" t="s">
        <v>65</v>
      </c>
      <c r="N895" s="67" t="s">
        <v>45</v>
      </c>
    </row>
    <row r="896" spans="2:14" ht="17" x14ac:dyDescent="0.2">
      <c r="B896" s="174" t="s">
        <v>66</v>
      </c>
      <c r="C896" s="19" t="s">
        <v>40</v>
      </c>
      <c r="J896" s="34" t="s">
        <v>0</v>
      </c>
      <c r="L896" s="62" t="s">
        <v>41</v>
      </c>
      <c r="M896" s="34">
        <v>25132</v>
      </c>
      <c r="N896" s="67" t="s">
        <v>42</v>
      </c>
    </row>
    <row r="897" spans="2:14" ht="17" x14ac:dyDescent="0.2">
      <c r="B897" s="138" t="s">
        <v>67</v>
      </c>
      <c r="C897" s="19" t="s">
        <v>40</v>
      </c>
      <c r="J897" s="34" t="s">
        <v>0</v>
      </c>
      <c r="L897" s="62" t="s">
        <v>41</v>
      </c>
      <c r="M897" s="34">
        <v>25132</v>
      </c>
      <c r="N897" s="67" t="s">
        <v>42</v>
      </c>
    </row>
    <row r="898" spans="2:14" ht="17" x14ac:dyDescent="0.2">
      <c r="B898" s="166" t="s">
        <v>370</v>
      </c>
      <c r="C898" s="19" t="s">
        <v>40</v>
      </c>
      <c r="J898" s="34" t="s">
        <v>0</v>
      </c>
      <c r="L898" s="62" t="s">
        <v>41</v>
      </c>
      <c r="M898" s="34">
        <v>25132</v>
      </c>
      <c r="N898" s="67" t="s">
        <v>42</v>
      </c>
    </row>
    <row r="899" spans="2:14" ht="17" x14ac:dyDescent="0.2">
      <c r="B899" s="166" t="s">
        <v>379</v>
      </c>
      <c r="C899" s="19" t="s">
        <v>40</v>
      </c>
      <c r="J899" s="34" t="s">
        <v>0</v>
      </c>
      <c r="L899" s="62" t="s">
        <v>41</v>
      </c>
      <c r="M899" s="34">
        <v>25132</v>
      </c>
      <c r="N899" s="67" t="s">
        <v>42</v>
      </c>
    </row>
    <row r="900" spans="2:14" ht="17" x14ac:dyDescent="0.2">
      <c r="B900" s="166" t="s">
        <v>70</v>
      </c>
      <c r="C900" s="19" t="s">
        <v>40</v>
      </c>
      <c r="J900" s="34" t="s">
        <v>0</v>
      </c>
      <c r="L900" s="62" t="s">
        <v>41</v>
      </c>
      <c r="M900" s="34">
        <v>25132</v>
      </c>
      <c r="N900" s="67" t="s">
        <v>42</v>
      </c>
    </row>
    <row r="901" spans="2:14" ht="17" x14ac:dyDescent="0.2">
      <c r="B901" s="166" t="s">
        <v>71</v>
      </c>
      <c r="C901" s="19" t="s">
        <v>40</v>
      </c>
      <c r="J901" s="34" t="s">
        <v>0</v>
      </c>
      <c r="L901" s="62" t="s">
        <v>41</v>
      </c>
      <c r="M901" s="34">
        <v>25132</v>
      </c>
      <c r="N901" s="67" t="s">
        <v>42</v>
      </c>
    </row>
    <row r="902" spans="2:14" ht="17" x14ac:dyDescent="0.2">
      <c r="B902" s="139" t="s">
        <v>72</v>
      </c>
      <c r="C902" s="19" t="s">
        <v>40</v>
      </c>
      <c r="J902" s="34" t="s">
        <v>0</v>
      </c>
      <c r="L902" s="62" t="s">
        <v>41</v>
      </c>
      <c r="M902" s="34">
        <v>25132</v>
      </c>
      <c r="N902" s="67" t="s">
        <v>42</v>
      </c>
    </row>
    <row r="903" spans="2:14" ht="17" x14ac:dyDescent="0.2">
      <c r="B903" s="237" t="s">
        <v>73</v>
      </c>
      <c r="C903" s="19" t="s">
        <v>40</v>
      </c>
      <c r="J903" s="34" t="s">
        <v>0</v>
      </c>
      <c r="L903" s="62" t="s">
        <v>41</v>
      </c>
      <c r="M903" s="34">
        <v>25132</v>
      </c>
      <c r="N903" s="67" t="s">
        <v>42</v>
      </c>
    </row>
    <row r="904" spans="2:14" ht="17" x14ac:dyDescent="0.2">
      <c r="B904" s="139" t="s">
        <v>74</v>
      </c>
      <c r="C904" s="19" t="s">
        <v>40</v>
      </c>
      <c r="J904" s="34" t="s">
        <v>0</v>
      </c>
      <c r="L904" s="62" t="s">
        <v>41</v>
      </c>
      <c r="M904" s="34">
        <v>25132</v>
      </c>
      <c r="N904" s="67" t="s">
        <v>42</v>
      </c>
    </row>
    <row r="905" spans="2:14" ht="17" x14ac:dyDescent="0.2">
      <c r="B905" s="139" t="s">
        <v>75</v>
      </c>
      <c r="C905" s="19" t="s">
        <v>40</v>
      </c>
      <c r="J905" s="34" t="s">
        <v>0</v>
      </c>
      <c r="L905" s="62" t="s">
        <v>41</v>
      </c>
      <c r="M905" s="34">
        <v>25132</v>
      </c>
      <c r="N905" s="67" t="s">
        <v>42</v>
      </c>
    </row>
    <row r="906" spans="2:14" ht="17" x14ac:dyDescent="0.2">
      <c r="B906" s="138" t="s">
        <v>76</v>
      </c>
      <c r="C906" s="19" t="s">
        <v>40</v>
      </c>
      <c r="J906" s="34" t="s">
        <v>0</v>
      </c>
      <c r="L906" s="62" t="s">
        <v>41</v>
      </c>
      <c r="M906" s="34">
        <v>25132</v>
      </c>
      <c r="N906" s="67" t="s">
        <v>42</v>
      </c>
    </row>
    <row r="907" spans="2:14" ht="68" x14ac:dyDescent="0.2">
      <c r="B907" s="138" t="s">
        <v>204</v>
      </c>
      <c r="C907" s="19" t="s">
        <v>40</v>
      </c>
      <c r="J907" s="34" t="s">
        <v>0</v>
      </c>
      <c r="L907" s="62" t="s">
        <v>41</v>
      </c>
      <c r="M907" s="34">
        <v>25132</v>
      </c>
      <c r="N907" s="67" t="s">
        <v>42</v>
      </c>
    </row>
    <row r="908" spans="2:14" ht="17" x14ac:dyDescent="0.2">
      <c r="B908" s="166" t="s">
        <v>237</v>
      </c>
      <c r="C908" s="19" t="s">
        <v>40</v>
      </c>
      <c r="J908" s="34" t="s">
        <v>0</v>
      </c>
      <c r="L908" s="62" t="s">
        <v>41</v>
      </c>
      <c r="M908" s="34">
        <v>25132</v>
      </c>
      <c r="N908" s="67" t="s">
        <v>42</v>
      </c>
    </row>
    <row r="909" spans="2:14" ht="17" x14ac:dyDescent="0.2">
      <c r="B909" s="138" t="s">
        <v>79</v>
      </c>
      <c r="C909" s="19" t="s">
        <v>40</v>
      </c>
      <c r="J909" s="34" t="s">
        <v>0</v>
      </c>
      <c r="L909" s="62" t="s">
        <v>41</v>
      </c>
      <c r="M909" s="34">
        <v>25132</v>
      </c>
      <c r="N909" s="67" t="s">
        <v>42</v>
      </c>
    </row>
    <row r="910" spans="2:14" ht="17" x14ac:dyDescent="0.2">
      <c r="B910" s="166" t="s">
        <v>380</v>
      </c>
      <c r="C910" s="19" t="s">
        <v>40</v>
      </c>
      <c r="J910" s="34" t="s">
        <v>0</v>
      </c>
      <c r="L910" s="62" t="s">
        <v>41</v>
      </c>
      <c r="M910" s="34">
        <v>25132</v>
      </c>
      <c r="N910" s="67" t="s">
        <v>42</v>
      </c>
    </row>
    <row r="911" spans="2:14" ht="17" x14ac:dyDescent="0.2">
      <c r="B911" s="138" t="s">
        <v>81</v>
      </c>
      <c r="C911" s="19" t="s">
        <v>40</v>
      </c>
      <c r="J911" s="34" t="s">
        <v>0</v>
      </c>
      <c r="L911" s="62" t="s">
        <v>41</v>
      </c>
      <c r="M911" s="34">
        <v>25132</v>
      </c>
      <c r="N911" s="67" t="s">
        <v>42</v>
      </c>
    </row>
    <row r="912" spans="2:14" ht="17" x14ac:dyDescent="0.2">
      <c r="B912" s="166" t="s">
        <v>371</v>
      </c>
      <c r="C912" s="19" t="s">
        <v>40</v>
      </c>
      <c r="J912" s="34" t="s">
        <v>0</v>
      </c>
      <c r="L912" s="62" t="s">
        <v>41</v>
      </c>
      <c r="M912" s="34">
        <v>25132</v>
      </c>
      <c r="N912" s="67" t="s">
        <v>42</v>
      </c>
    </row>
    <row r="913" spans="2:14" ht="17" x14ac:dyDescent="0.2">
      <c r="B913" s="166" t="s">
        <v>381</v>
      </c>
      <c r="C913" s="19" t="s">
        <v>40</v>
      </c>
      <c r="J913" s="34" t="s">
        <v>0</v>
      </c>
      <c r="L913" s="62" t="s">
        <v>41</v>
      </c>
      <c r="M913" s="34">
        <v>25132</v>
      </c>
      <c r="N913" s="67" t="s">
        <v>42</v>
      </c>
    </row>
    <row r="914" spans="2:14" ht="17" x14ac:dyDescent="0.2">
      <c r="B914" s="138" t="s">
        <v>84</v>
      </c>
      <c r="C914" s="19" t="s">
        <v>40</v>
      </c>
      <c r="J914" s="34" t="s">
        <v>0</v>
      </c>
      <c r="L914" s="62" t="s">
        <v>41</v>
      </c>
      <c r="M914" s="34">
        <v>25132</v>
      </c>
      <c r="N914" s="67" t="s">
        <v>42</v>
      </c>
    </row>
    <row r="915" spans="2:14" ht="17" x14ac:dyDescent="0.2">
      <c r="B915" s="139" t="s">
        <v>85</v>
      </c>
      <c r="C915" s="19" t="s">
        <v>40</v>
      </c>
      <c r="J915" s="34" t="s">
        <v>0</v>
      </c>
      <c r="L915" s="62" t="s">
        <v>41</v>
      </c>
      <c r="M915" s="34">
        <v>25132</v>
      </c>
      <c r="N915" s="67" t="s">
        <v>42</v>
      </c>
    </row>
    <row r="916" spans="2:14" ht="17" x14ac:dyDescent="0.2">
      <c r="B916" s="140" t="s">
        <v>86</v>
      </c>
      <c r="N916" s="67" t="s">
        <v>45</v>
      </c>
    </row>
    <row r="917" spans="2:14" ht="17" x14ac:dyDescent="0.2">
      <c r="B917" s="141" t="s">
        <v>87</v>
      </c>
      <c r="C917" s="19" t="s">
        <v>40</v>
      </c>
      <c r="L917" s="62" t="s">
        <v>41</v>
      </c>
      <c r="M917" s="34">
        <v>25132</v>
      </c>
      <c r="N917" s="67" t="s">
        <v>42</v>
      </c>
    </row>
    <row r="918" spans="2:14" ht="32" x14ac:dyDescent="0.2">
      <c r="B918" s="140" t="s">
        <v>88</v>
      </c>
      <c r="C918" s="19"/>
      <c r="N918" s="67" t="s">
        <v>45</v>
      </c>
    </row>
    <row r="919" spans="2:14" ht="32" x14ac:dyDescent="0.2">
      <c r="B919" s="142" t="s">
        <v>89</v>
      </c>
      <c r="C919" s="19" t="s">
        <v>40</v>
      </c>
      <c r="L919" s="62" t="s">
        <v>41</v>
      </c>
      <c r="M919" s="34">
        <v>25132</v>
      </c>
      <c r="N919" s="67" t="s">
        <v>42</v>
      </c>
    </row>
    <row r="920" spans="2:14" ht="17" x14ac:dyDescent="0.2">
      <c r="B920" s="140" t="s">
        <v>90</v>
      </c>
      <c r="C920" s="19"/>
      <c r="N920" s="67" t="s">
        <v>45</v>
      </c>
    </row>
    <row r="921" spans="2:14" ht="32" x14ac:dyDescent="0.2">
      <c r="B921" s="142" t="s">
        <v>91</v>
      </c>
      <c r="C921" s="19" t="s">
        <v>40</v>
      </c>
      <c r="J921" s="34" t="s">
        <v>92</v>
      </c>
      <c r="L921" s="62" t="s">
        <v>41</v>
      </c>
      <c r="M921" s="34">
        <v>25132</v>
      </c>
      <c r="N921" s="67" t="s">
        <v>42</v>
      </c>
    </row>
    <row r="922" spans="2:14" ht="17" x14ac:dyDescent="0.2">
      <c r="B922" s="140" t="s">
        <v>93</v>
      </c>
      <c r="C922" s="19"/>
      <c r="N922" s="67" t="s">
        <v>45</v>
      </c>
    </row>
    <row r="923" spans="2:14" ht="32" x14ac:dyDescent="0.2">
      <c r="B923" s="142" t="s">
        <v>94</v>
      </c>
      <c r="C923" s="19" t="s">
        <v>40</v>
      </c>
      <c r="J923" s="34" t="s">
        <v>92</v>
      </c>
      <c r="L923" s="62" t="s">
        <v>41</v>
      </c>
      <c r="M923" s="34">
        <v>25132</v>
      </c>
      <c r="N923" s="67" t="s">
        <v>42</v>
      </c>
    </row>
    <row r="924" spans="2:14" ht="48" x14ac:dyDescent="0.2">
      <c r="B924" s="143" t="s">
        <v>95</v>
      </c>
      <c r="C924" s="19" t="s">
        <v>40</v>
      </c>
      <c r="J924" s="34" t="s">
        <v>92</v>
      </c>
      <c r="L924" s="62" t="s">
        <v>41</v>
      </c>
      <c r="M924" s="34">
        <v>25132</v>
      </c>
      <c r="N924" s="67" t="s">
        <v>42</v>
      </c>
    </row>
    <row r="925" spans="2:14" ht="17" x14ac:dyDescent="0.2">
      <c r="B925" s="144" t="s">
        <v>96</v>
      </c>
      <c r="C925" s="19" t="s">
        <v>40</v>
      </c>
      <c r="J925" s="34" t="s">
        <v>92</v>
      </c>
      <c r="L925" s="62" t="s">
        <v>41</v>
      </c>
      <c r="M925" s="34">
        <v>25132</v>
      </c>
      <c r="N925" s="67" t="s">
        <v>42</v>
      </c>
    </row>
    <row r="926" spans="2:14" ht="32" x14ac:dyDescent="0.2">
      <c r="B926" s="143" t="s">
        <v>97</v>
      </c>
      <c r="C926" s="19" t="s">
        <v>40</v>
      </c>
      <c r="J926" s="34" t="s">
        <v>92</v>
      </c>
      <c r="L926" s="62" t="s">
        <v>41</v>
      </c>
      <c r="M926" s="34">
        <v>25132</v>
      </c>
      <c r="N926" s="67" t="s">
        <v>42</v>
      </c>
    </row>
    <row r="927" spans="2:14" ht="17" x14ac:dyDescent="0.2">
      <c r="B927" s="142" t="s">
        <v>98</v>
      </c>
      <c r="C927" s="19" t="s">
        <v>40</v>
      </c>
      <c r="J927" s="34" t="s">
        <v>92</v>
      </c>
      <c r="L927" s="62" t="s">
        <v>41</v>
      </c>
      <c r="M927" s="34">
        <v>25132</v>
      </c>
      <c r="N927" s="67" t="s">
        <v>42</v>
      </c>
    </row>
    <row r="928" spans="2:14" ht="17" x14ac:dyDescent="0.2">
      <c r="B928" s="144" t="s">
        <v>99</v>
      </c>
      <c r="C928" s="19" t="s">
        <v>40</v>
      </c>
      <c r="J928" s="34" t="s">
        <v>92</v>
      </c>
      <c r="L928" s="62" t="s">
        <v>41</v>
      </c>
      <c r="M928" s="34">
        <v>25132</v>
      </c>
      <c r="N928" s="67" t="s">
        <v>42</v>
      </c>
    </row>
    <row r="929" spans="2:14" ht="17" x14ac:dyDescent="0.2">
      <c r="B929" s="143" t="s">
        <v>100</v>
      </c>
      <c r="C929" s="19" t="s">
        <v>40</v>
      </c>
      <c r="J929" s="34" t="s">
        <v>92</v>
      </c>
      <c r="L929" s="62" t="s">
        <v>41</v>
      </c>
      <c r="M929" s="34">
        <v>25132</v>
      </c>
      <c r="N929" s="67" t="s">
        <v>42</v>
      </c>
    </row>
    <row r="930" spans="2:14" ht="17" x14ac:dyDescent="0.2">
      <c r="B930" s="140" t="s">
        <v>101</v>
      </c>
      <c r="N930" s="67" t="s">
        <v>45</v>
      </c>
    </row>
    <row r="931" spans="2:14" ht="17" x14ac:dyDescent="0.2">
      <c r="B931" s="141" t="s">
        <v>87</v>
      </c>
      <c r="C931" s="19" t="s">
        <v>40</v>
      </c>
      <c r="J931" s="34" t="s">
        <v>0</v>
      </c>
      <c r="L931" s="62" t="s">
        <v>41</v>
      </c>
      <c r="M931" s="34">
        <v>25132</v>
      </c>
      <c r="N931" s="67" t="s">
        <v>42</v>
      </c>
    </row>
    <row r="932" spans="2:14" ht="32" x14ac:dyDescent="0.2">
      <c r="B932" s="142" t="s">
        <v>102</v>
      </c>
      <c r="C932" s="19" t="s">
        <v>40</v>
      </c>
      <c r="J932" s="34" t="s">
        <v>0</v>
      </c>
      <c r="L932" s="62" t="s">
        <v>41</v>
      </c>
      <c r="M932" s="34">
        <v>25132</v>
      </c>
      <c r="N932" s="67" t="s">
        <v>42</v>
      </c>
    </row>
    <row r="933" spans="2:14" ht="48" x14ac:dyDescent="0.2">
      <c r="B933" s="143" t="s">
        <v>113</v>
      </c>
      <c r="C933" s="19" t="s">
        <v>40</v>
      </c>
      <c r="J933" s="34" t="s">
        <v>0</v>
      </c>
      <c r="L933" s="62" t="s">
        <v>41</v>
      </c>
      <c r="M933" s="34">
        <v>25132</v>
      </c>
      <c r="N933" s="67" t="s">
        <v>42</v>
      </c>
    </row>
    <row r="934" spans="2:14" ht="17" x14ac:dyDescent="0.2">
      <c r="B934" s="144" t="s">
        <v>96</v>
      </c>
      <c r="C934" s="19" t="s">
        <v>40</v>
      </c>
      <c r="J934" s="34" t="s">
        <v>0</v>
      </c>
      <c r="L934" s="62" t="s">
        <v>41</v>
      </c>
      <c r="M934" s="34">
        <v>25132</v>
      </c>
      <c r="N934" s="67" t="s">
        <v>42</v>
      </c>
    </row>
    <row r="935" spans="2:14" ht="32" x14ac:dyDescent="0.2">
      <c r="B935" s="143" t="s">
        <v>97</v>
      </c>
      <c r="C935" s="19" t="s">
        <v>40</v>
      </c>
      <c r="J935" s="34" t="s">
        <v>0</v>
      </c>
      <c r="L935" s="62" t="s">
        <v>41</v>
      </c>
      <c r="M935" s="34">
        <v>25132</v>
      </c>
      <c r="N935" s="67" t="s">
        <v>42</v>
      </c>
    </row>
    <row r="936" spans="2:14" ht="32" x14ac:dyDescent="0.2">
      <c r="B936" s="142" t="s">
        <v>114</v>
      </c>
      <c r="C936" s="19" t="s">
        <v>40</v>
      </c>
      <c r="J936" s="34" t="s">
        <v>0</v>
      </c>
      <c r="L936" s="62" t="s">
        <v>41</v>
      </c>
      <c r="M936" s="34">
        <v>25132</v>
      </c>
      <c r="N936" s="67" t="s">
        <v>42</v>
      </c>
    </row>
    <row r="937" spans="2:14" ht="17" x14ac:dyDescent="0.2">
      <c r="B937" s="144" t="s">
        <v>99</v>
      </c>
      <c r="C937" s="19" t="s">
        <v>40</v>
      </c>
      <c r="J937" s="34" t="s">
        <v>0</v>
      </c>
      <c r="L937" s="62" t="s">
        <v>41</v>
      </c>
      <c r="M937" s="34">
        <v>25132</v>
      </c>
      <c r="N937" s="67" t="s">
        <v>42</v>
      </c>
    </row>
    <row r="938" spans="2:14" ht="17" x14ac:dyDescent="0.2">
      <c r="B938" s="143" t="s">
        <v>115</v>
      </c>
      <c r="C938" s="19" t="s">
        <v>40</v>
      </c>
      <c r="J938" s="34" t="s">
        <v>0</v>
      </c>
      <c r="L938" s="62" t="s">
        <v>41</v>
      </c>
      <c r="M938" s="34">
        <v>25132</v>
      </c>
      <c r="N938" s="67" t="s">
        <v>42</v>
      </c>
    </row>
    <row r="939" spans="2:14" ht="34" x14ac:dyDescent="0.2">
      <c r="B939" s="132" t="s">
        <v>116</v>
      </c>
      <c r="N939" s="67" t="s">
        <v>45</v>
      </c>
    </row>
    <row r="940" spans="2:14" ht="64" x14ac:dyDescent="0.2">
      <c r="B940" s="143" t="s">
        <v>117</v>
      </c>
      <c r="C940" s="19" t="s">
        <v>40</v>
      </c>
      <c r="J940" s="34" t="s">
        <v>92</v>
      </c>
      <c r="L940" s="62" t="s">
        <v>41</v>
      </c>
      <c r="M940" s="34">
        <v>25132</v>
      </c>
      <c r="N940" s="67" t="s">
        <v>42</v>
      </c>
    </row>
    <row r="941" spans="2:14" ht="64" x14ac:dyDescent="0.2">
      <c r="B941" s="143" t="s">
        <v>118</v>
      </c>
      <c r="C941" s="19" t="s">
        <v>40</v>
      </c>
      <c r="J941" s="34" t="s">
        <v>92</v>
      </c>
      <c r="L941" s="62" t="s">
        <v>41</v>
      </c>
      <c r="M941" s="34">
        <v>25132</v>
      </c>
      <c r="N941" s="67" t="s">
        <v>42</v>
      </c>
    </row>
    <row r="942" spans="2:14" ht="17" x14ac:dyDescent="0.2">
      <c r="B942" s="143" t="s">
        <v>119</v>
      </c>
      <c r="C942" s="19" t="s">
        <v>40</v>
      </c>
      <c r="J942" s="34" t="s">
        <v>92</v>
      </c>
      <c r="L942" s="62" t="s">
        <v>41</v>
      </c>
      <c r="M942" s="34">
        <v>25132</v>
      </c>
      <c r="N942" s="67" t="s">
        <v>42</v>
      </c>
    </row>
    <row r="943" spans="2:14" ht="32" x14ac:dyDescent="0.2">
      <c r="B943" s="143" t="s">
        <v>120</v>
      </c>
      <c r="C943" s="19" t="s">
        <v>40</v>
      </c>
      <c r="J943" s="34" t="s">
        <v>92</v>
      </c>
      <c r="L943" s="62" t="s">
        <v>41</v>
      </c>
      <c r="M943" s="34">
        <v>25132</v>
      </c>
      <c r="N943" s="67" t="s">
        <v>42</v>
      </c>
    </row>
    <row r="944" spans="2:14" ht="17" x14ac:dyDescent="0.2">
      <c r="B944" s="128" t="s">
        <v>121</v>
      </c>
      <c r="C944" s="19"/>
      <c r="N944" s="67" t="s">
        <v>45</v>
      </c>
    </row>
    <row r="945" spans="2:14" ht="17" x14ac:dyDescent="0.2">
      <c r="B945" s="145" t="s">
        <v>122</v>
      </c>
      <c r="C945" s="19" t="s">
        <v>40</v>
      </c>
      <c r="J945" s="34" t="s">
        <v>0</v>
      </c>
      <c r="L945" s="62" t="s">
        <v>41</v>
      </c>
      <c r="M945" s="34">
        <v>25132</v>
      </c>
      <c r="N945" s="67" t="s">
        <v>42</v>
      </c>
    </row>
    <row r="946" spans="2:14" ht="17" x14ac:dyDescent="0.2">
      <c r="B946" s="167" t="s">
        <v>123</v>
      </c>
      <c r="C946" s="19" t="s">
        <v>40</v>
      </c>
      <c r="J946" s="34" t="s">
        <v>0</v>
      </c>
      <c r="L946" s="62" t="s">
        <v>41</v>
      </c>
      <c r="M946" s="34">
        <v>25132</v>
      </c>
      <c r="N946" s="67" t="s">
        <v>42</v>
      </c>
    </row>
    <row r="947" spans="2:14" ht="34" x14ac:dyDescent="0.2">
      <c r="B947" s="167" t="s">
        <v>345</v>
      </c>
      <c r="C947" s="19" t="s">
        <v>40</v>
      </c>
      <c r="J947" s="34" t="s">
        <v>0</v>
      </c>
      <c r="L947" s="62" t="s">
        <v>41</v>
      </c>
      <c r="M947" s="34">
        <v>25132</v>
      </c>
      <c r="N947" s="67" t="s">
        <v>42</v>
      </c>
    </row>
    <row r="948" spans="2:14" ht="17" x14ac:dyDescent="0.2">
      <c r="B948" s="139" t="s">
        <v>125</v>
      </c>
      <c r="C948" s="19" t="s">
        <v>40</v>
      </c>
      <c r="J948" s="34" t="s">
        <v>0</v>
      </c>
      <c r="L948" s="62" t="s">
        <v>41</v>
      </c>
      <c r="M948" s="34">
        <v>25132</v>
      </c>
      <c r="N948" s="67" t="s">
        <v>42</v>
      </c>
    </row>
    <row r="949" spans="2:14" ht="17" x14ac:dyDescent="0.2">
      <c r="B949" s="145" t="s">
        <v>126</v>
      </c>
      <c r="C949" s="19" t="s">
        <v>40</v>
      </c>
      <c r="J949" s="34" t="s">
        <v>0</v>
      </c>
      <c r="L949" s="62" t="s">
        <v>41</v>
      </c>
      <c r="M949" s="34">
        <v>25132</v>
      </c>
      <c r="N949" s="67" t="s">
        <v>42</v>
      </c>
    </row>
    <row r="950" spans="2:14" ht="17" x14ac:dyDescent="0.2">
      <c r="B950" s="138" t="s">
        <v>127</v>
      </c>
      <c r="C950" s="19" t="s">
        <v>40</v>
      </c>
      <c r="J950" s="34" t="s">
        <v>0</v>
      </c>
      <c r="L950" s="62" t="s">
        <v>41</v>
      </c>
      <c r="M950" s="34">
        <v>25132</v>
      </c>
      <c r="N950" s="67" t="s">
        <v>42</v>
      </c>
    </row>
    <row r="951" spans="2:14" ht="17" x14ac:dyDescent="0.2">
      <c r="B951" s="166" t="s">
        <v>382</v>
      </c>
      <c r="C951" s="19" t="s">
        <v>40</v>
      </c>
      <c r="J951" s="34" t="s">
        <v>0</v>
      </c>
      <c r="L951" s="62" t="s">
        <v>41</v>
      </c>
      <c r="M951" s="34">
        <v>25132</v>
      </c>
      <c r="N951" s="67" t="s">
        <v>42</v>
      </c>
    </row>
    <row r="952" spans="2:14" ht="17" x14ac:dyDescent="0.2">
      <c r="B952" s="220" t="s">
        <v>129</v>
      </c>
      <c r="C952" s="19" t="s">
        <v>40</v>
      </c>
      <c r="J952" s="34" t="s">
        <v>0</v>
      </c>
      <c r="L952" s="62" t="s">
        <v>41</v>
      </c>
      <c r="M952" s="34">
        <v>25132</v>
      </c>
      <c r="N952" s="67" t="s">
        <v>42</v>
      </c>
    </row>
    <row r="953" spans="2:14" ht="17" x14ac:dyDescent="0.2">
      <c r="B953" s="166" t="s">
        <v>372</v>
      </c>
      <c r="C953" s="19" t="s">
        <v>40</v>
      </c>
      <c r="J953" s="34" t="s">
        <v>0</v>
      </c>
      <c r="L953" s="62" t="s">
        <v>41</v>
      </c>
      <c r="M953" s="34">
        <v>25132</v>
      </c>
      <c r="N953" s="67" t="s">
        <v>42</v>
      </c>
    </row>
    <row r="954" spans="2:14" ht="17" x14ac:dyDescent="0.2">
      <c r="B954" s="147" t="s">
        <v>131</v>
      </c>
      <c r="C954" s="19" t="s">
        <v>40</v>
      </c>
      <c r="J954" s="34" t="s">
        <v>0</v>
      </c>
      <c r="L954" s="62" t="s">
        <v>41</v>
      </c>
      <c r="M954" s="34">
        <v>25132</v>
      </c>
      <c r="N954" s="67" t="s">
        <v>42</v>
      </c>
    </row>
    <row r="955" spans="2:14" ht="17" x14ac:dyDescent="0.2">
      <c r="B955" s="147" t="s">
        <v>132</v>
      </c>
      <c r="C955" s="19" t="s">
        <v>40</v>
      </c>
      <c r="J955" s="34" t="s">
        <v>0</v>
      </c>
      <c r="L955" s="62" t="s">
        <v>41</v>
      </c>
      <c r="M955" s="34">
        <v>25132</v>
      </c>
      <c r="N955" s="67" t="s">
        <v>42</v>
      </c>
    </row>
    <row r="956" spans="2:14" ht="17" x14ac:dyDescent="0.2">
      <c r="B956" s="147" t="s">
        <v>134</v>
      </c>
      <c r="C956" s="19" t="s">
        <v>40</v>
      </c>
      <c r="J956" s="34" t="s">
        <v>0</v>
      </c>
      <c r="L956" s="62" t="s">
        <v>41</v>
      </c>
      <c r="M956" s="34">
        <v>25132</v>
      </c>
      <c r="N956" s="67" t="s">
        <v>42</v>
      </c>
    </row>
    <row r="957" spans="2:14" ht="17" x14ac:dyDescent="0.2">
      <c r="B957" s="147" t="s">
        <v>136</v>
      </c>
      <c r="C957" s="19" t="s">
        <v>40</v>
      </c>
      <c r="J957" s="34" t="s">
        <v>0</v>
      </c>
      <c r="L957" s="62" t="s">
        <v>41</v>
      </c>
      <c r="M957" s="34">
        <v>25132</v>
      </c>
      <c r="N957" s="67" t="s">
        <v>42</v>
      </c>
    </row>
    <row r="958" spans="2:14" ht="20" x14ac:dyDescent="0.25">
      <c r="B958" s="230" t="s">
        <v>238</v>
      </c>
      <c r="C958" s="19"/>
      <c r="N958" s="67" t="s">
        <v>45</v>
      </c>
    </row>
    <row r="959" spans="2:14" ht="17" x14ac:dyDescent="0.2">
      <c r="B959" s="147" t="s">
        <v>346</v>
      </c>
      <c r="C959" s="19" t="s">
        <v>40</v>
      </c>
      <c r="J959" s="34" t="s">
        <v>0</v>
      </c>
      <c r="L959" s="62" t="s">
        <v>41</v>
      </c>
      <c r="M959" s="34">
        <v>25132</v>
      </c>
      <c r="N959" s="67" t="s">
        <v>42</v>
      </c>
    </row>
    <row r="960" spans="2:14" ht="17" x14ac:dyDescent="0.2">
      <c r="B960" s="166" t="s">
        <v>373</v>
      </c>
      <c r="C960" s="19" t="s">
        <v>40</v>
      </c>
      <c r="J960" s="34" t="s">
        <v>0</v>
      </c>
      <c r="L960" s="62" t="s">
        <v>41</v>
      </c>
      <c r="M960" s="34">
        <v>25132</v>
      </c>
      <c r="N960" s="67" t="s">
        <v>42</v>
      </c>
    </row>
    <row r="961" spans="2:14" ht="17" x14ac:dyDescent="0.2">
      <c r="B961" s="166" t="s">
        <v>383</v>
      </c>
      <c r="C961" s="19" t="s">
        <v>40</v>
      </c>
      <c r="J961" s="34" t="s">
        <v>0</v>
      </c>
      <c r="L961" s="62" t="s">
        <v>41</v>
      </c>
      <c r="M961" s="34">
        <v>25132</v>
      </c>
      <c r="N961" s="67" t="s">
        <v>42</v>
      </c>
    </row>
    <row r="962" spans="2:14" ht="17" x14ac:dyDescent="0.2">
      <c r="B962" s="166" t="s">
        <v>384</v>
      </c>
      <c r="C962" s="19" t="s">
        <v>40</v>
      </c>
      <c r="J962" s="34" t="s">
        <v>0</v>
      </c>
      <c r="L962" s="62" t="s">
        <v>41</v>
      </c>
      <c r="M962" s="34">
        <v>25132</v>
      </c>
      <c r="N962" s="67" t="s">
        <v>42</v>
      </c>
    </row>
    <row r="963" spans="2:14" ht="17" x14ac:dyDescent="0.2">
      <c r="B963" s="166" t="s">
        <v>350</v>
      </c>
      <c r="C963" s="19" t="s">
        <v>40</v>
      </c>
      <c r="J963" s="34" t="s">
        <v>0</v>
      </c>
      <c r="L963" s="62" t="s">
        <v>41</v>
      </c>
      <c r="M963" s="34">
        <v>25132</v>
      </c>
      <c r="N963" s="67" t="s">
        <v>42</v>
      </c>
    </row>
    <row r="964" spans="2:14" ht="23" x14ac:dyDescent="0.3">
      <c r="B964" s="148" t="s">
        <v>137</v>
      </c>
      <c r="C964" s="19"/>
      <c r="L964" s="62" t="s">
        <v>41</v>
      </c>
      <c r="M964" s="34">
        <v>25132</v>
      </c>
      <c r="N964" s="67" t="s">
        <v>45</v>
      </c>
    </row>
    <row r="965" spans="2:14" ht="23" x14ac:dyDescent="0.3">
      <c r="B965" s="148" t="s">
        <v>138</v>
      </c>
      <c r="C965" s="19"/>
      <c r="N965" s="67" t="s">
        <v>45</v>
      </c>
    </row>
    <row r="966" spans="2:14" ht="17" x14ac:dyDescent="0.2">
      <c r="B966" s="147" t="s">
        <v>330</v>
      </c>
      <c r="C966" s="19" t="s">
        <v>40</v>
      </c>
      <c r="J966" s="34" t="s">
        <v>0</v>
      </c>
      <c r="L966" s="62" t="s">
        <v>41</v>
      </c>
      <c r="M966" s="34">
        <v>25132</v>
      </c>
      <c r="N966" s="67" t="s">
        <v>42</v>
      </c>
    </row>
    <row r="967" spans="2:14" ht="34" x14ac:dyDescent="0.2">
      <c r="B967" s="147" t="s">
        <v>331</v>
      </c>
      <c r="C967" s="19" t="s">
        <v>40</v>
      </c>
      <c r="J967" s="34" t="s">
        <v>0</v>
      </c>
      <c r="L967" s="62" t="s">
        <v>41</v>
      </c>
      <c r="M967" s="34">
        <v>25132</v>
      </c>
      <c r="N967" s="67" t="s">
        <v>42</v>
      </c>
    </row>
    <row r="968" spans="2:14" ht="17" x14ac:dyDescent="0.2">
      <c r="B968" s="147" t="s">
        <v>332</v>
      </c>
      <c r="C968" s="19" t="s">
        <v>40</v>
      </c>
      <c r="J968" s="34" t="s">
        <v>0</v>
      </c>
      <c r="L968" s="62" t="s">
        <v>41</v>
      </c>
      <c r="M968" s="34">
        <v>25132</v>
      </c>
      <c r="N968" s="67" t="s">
        <v>42</v>
      </c>
    </row>
    <row r="969" spans="2:14" ht="17" x14ac:dyDescent="0.2">
      <c r="B969" s="147" t="s">
        <v>333</v>
      </c>
      <c r="C969" s="19" t="s">
        <v>40</v>
      </c>
      <c r="J969" s="34" t="s">
        <v>0</v>
      </c>
      <c r="L969" s="62" t="s">
        <v>41</v>
      </c>
      <c r="M969" s="34">
        <v>25132</v>
      </c>
      <c r="N969" s="67" t="s">
        <v>42</v>
      </c>
    </row>
    <row r="970" spans="2:14" ht="17" x14ac:dyDescent="0.2">
      <c r="B970" s="147" t="s">
        <v>374</v>
      </c>
      <c r="C970" s="19" t="s">
        <v>40</v>
      </c>
      <c r="J970" s="34" t="s">
        <v>0</v>
      </c>
      <c r="L970" s="62" t="s">
        <v>41</v>
      </c>
      <c r="M970" s="34">
        <v>25132</v>
      </c>
      <c r="N970" s="67" t="s">
        <v>42</v>
      </c>
    </row>
    <row r="971" spans="2:14" ht="23" x14ac:dyDescent="0.3">
      <c r="B971" s="148" t="s">
        <v>144</v>
      </c>
      <c r="C971" s="19"/>
      <c r="N971" s="67" t="s">
        <v>45</v>
      </c>
    </row>
    <row r="972" spans="2:14" ht="17" x14ac:dyDescent="0.2">
      <c r="B972" s="147" t="s">
        <v>145</v>
      </c>
      <c r="C972" s="19" t="s">
        <v>40</v>
      </c>
      <c r="J972" s="34" t="s">
        <v>0</v>
      </c>
      <c r="L972" s="62" t="s">
        <v>41</v>
      </c>
      <c r="M972" s="34">
        <v>25132</v>
      </c>
      <c r="N972" s="67" t="s">
        <v>42</v>
      </c>
    </row>
    <row r="973" spans="2:14" ht="17" x14ac:dyDescent="0.2">
      <c r="B973" s="168" t="s">
        <v>146</v>
      </c>
      <c r="C973" s="19" t="s">
        <v>40</v>
      </c>
      <c r="J973" s="34" t="s">
        <v>0</v>
      </c>
      <c r="L973" s="62" t="s">
        <v>41</v>
      </c>
      <c r="M973" s="34">
        <v>25132</v>
      </c>
      <c r="N973" s="67" t="s">
        <v>42</v>
      </c>
    </row>
    <row r="974" spans="2:14" ht="17" x14ac:dyDescent="0.2">
      <c r="B974" s="168" t="s">
        <v>385</v>
      </c>
      <c r="C974" s="19" t="s">
        <v>40</v>
      </c>
      <c r="J974" s="34" t="s">
        <v>0</v>
      </c>
      <c r="L974" s="62" t="s">
        <v>41</v>
      </c>
      <c r="M974" s="34">
        <v>25132</v>
      </c>
      <c r="N974" s="67" t="s">
        <v>42</v>
      </c>
    </row>
    <row r="975" spans="2:14" ht="17" x14ac:dyDescent="0.2">
      <c r="B975" s="168" t="s">
        <v>148</v>
      </c>
      <c r="C975" s="19" t="s">
        <v>40</v>
      </c>
      <c r="J975" s="34" t="s">
        <v>0</v>
      </c>
      <c r="L975" s="62" t="s">
        <v>41</v>
      </c>
      <c r="M975" s="34">
        <v>25132</v>
      </c>
      <c r="N975" s="67" t="s">
        <v>42</v>
      </c>
    </row>
    <row r="976" spans="2:14" ht="17" x14ac:dyDescent="0.2">
      <c r="B976" s="168" t="s">
        <v>375</v>
      </c>
      <c r="C976" s="19" t="s">
        <v>40</v>
      </c>
      <c r="J976" s="34" t="s">
        <v>0</v>
      </c>
      <c r="L976" s="62" t="s">
        <v>41</v>
      </c>
      <c r="M976" s="34">
        <v>25132</v>
      </c>
      <c r="N976" s="67" t="s">
        <v>42</v>
      </c>
    </row>
    <row r="977" spans="2:14" ht="20" x14ac:dyDescent="0.25">
      <c r="B977" s="149" t="s">
        <v>150</v>
      </c>
      <c r="C977" s="19"/>
      <c r="N977" s="67" t="s">
        <v>45</v>
      </c>
    </row>
    <row r="978" spans="2:14" ht="17" x14ac:dyDescent="0.2">
      <c r="B978" s="150" t="s">
        <v>151</v>
      </c>
      <c r="C978" s="19"/>
      <c r="N978" s="67" t="s">
        <v>45</v>
      </c>
    </row>
    <row r="979" spans="2:14" ht="17" x14ac:dyDescent="0.2">
      <c r="B979" s="151" t="s">
        <v>152</v>
      </c>
      <c r="C979" s="19" t="s">
        <v>40</v>
      </c>
      <c r="J979" s="34" t="s">
        <v>0</v>
      </c>
      <c r="L979" s="62" t="s">
        <v>41</v>
      </c>
      <c r="M979" s="34">
        <v>25132</v>
      </c>
      <c r="N979" s="67" t="s">
        <v>42</v>
      </c>
    </row>
    <row r="980" spans="2:14" ht="17" x14ac:dyDescent="0.2">
      <c r="B980" s="151" t="s">
        <v>153</v>
      </c>
      <c r="C980" s="19" t="s">
        <v>40</v>
      </c>
      <c r="J980" s="34" t="s">
        <v>0</v>
      </c>
      <c r="L980" s="62" t="s">
        <v>41</v>
      </c>
      <c r="M980" s="34">
        <v>25132</v>
      </c>
      <c r="N980" s="67" t="s">
        <v>42</v>
      </c>
    </row>
    <row r="981" spans="2:14" ht="17" x14ac:dyDescent="0.2">
      <c r="B981" s="152" t="s">
        <v>154</v>
      </c>
      <c r="C981" s="19" t="s">
        <v>40</v>
      </c>
      <c r="J981" s="34" t="s">
        <v>0</v>
      </c>
      <c r="L981" s="62" t="s">
        <v>41</v>
      </c>
      <c r="M981" s="34">
        <v>25132</v>
      </c>
      <c r="N981" s="67" t="s">
        <v>42</v>
      </c>
    </row>
    <row r="982" spans="2:14" ht="17" x14ac:dyDescent="0.2">
      <c r="B982" s="143" t="s">
        <v>155</v>
      </c>
      <c r="C982" s="19" t="s">
        <v>40</v>
      </c>
      <c r="J982" s="34" t="s">
        <v>0</v>
      </c>
      <c r="L982" s="62" t="s">
        <v>41</v>
      </c>
      <c r="M982" s="34">
        <v>25132</v>
      </c>
      <c r="N982" s="67" t="s">
        <v>42</v>
      </c>
    </row>
    <row r="983" spans="2:14" ht="17" x14ac:dyDescent="0.2">
      <c r="B983" s="153" t="s">
        <v>156</v>
      </c>
      <c r="N983" s="67" t="s">
        <v>45</v>
      </c>
    </row>
    <row r="984" spans="2:14" ht="17" x14ac:dyDescent="0.2">
      <c r="B984" s="153" t="s">
        <v>157</v>
      </c>
      <c r="C984" s="19"/>
      <c r="N984" s="67" t="s">
        <v>45</v>
      </c>
    </row>
    <row r="985" spans="2:14" ht="17" x14ac:dyDescent="0.2">
      <c r="B985" s="154" t="s">
        <v>158</v>
      </c>
      <c r="C985" s="19" t="s">
        <v>40</v>
      </c>
      <c r="J985" s="34" t="s">
        <v>0</v>
      </c>
      <c r="L985" s="62" t="s">
        <v>41</v>
      </c>
      <c r="M985" s="34">
        <v>25132</v>
      </c>
      <c r="N985" s="67" t="s">
        <v>42</v>
      </c>
    </row>
    <row r="986" spans="2:14" ht="17" x14ac:dyDescent="0.2">
      <c r="B986" s="155" t="s">
        <v>159</v>
      </c>
      <c r="C986" s="19" t="s">
        <v>40</v>
      </c>
      <c r="J986" s="34" t="s">
        <v>0</v>
      </c>
      <c r="L986" s="62" t="s">
        <v>41</v>
      </c>
      <c r="M986" s="34">
        <v>25132</v>
      </c>
      <c r="N986" s="67" t="s">
        <v>42</v>
      </c>
    </row>
    <row r="987" spans="2:14" ht="17" x14ac:dyDescent="0.2">
      <c r="B987" s="151" t="s">
        <v>160</v>
      </c>
      <c r="C987" s="19" t="s">
        <v>40</v>
      </c>
      <c r="J987" s="34" t="s">
        <v>0</v>
      </c>
      <c r="L987" s="62" t="s">
        <v>41</v>
      </c>
      <c r="M987" s="34">
        <v>25132</v>
      </c>
      <c r="N987" s="67" t="s">
        <v>42</v>
      </c>
    </row>
    <row r="988" spans="2:14" ht="17" x14ac:dyDescent="0.2">
      <c r="B988" s="153" t="s">
        <v>161</v>
      </c>
      <c r="C988" s="19"/>
      <c r="N988" s="67" t="s">
        <v>45</v>
      </c>
    </row>
    <row r="989" spans="2:14" ht="17" x14ac:dyDescent="0.2">
      <c r="B989" s="157" t="s">
        <v>168</v>
      </c>
      <c r="N989" s="67" t="s">
        <v>45</v>
      </c>
    </row>
    <row r="990" spans="2:14" ht="51" x14ac:dyDescent="0.2">
      <c r="B990" s="158" t="s">
        <v>169</v>
      </c>
      <c r="C990" s="19" t="s">
        <v>40</v>
      </c>
      <c r="J990" s="34" t="s">
        <v>0</v>
      </c>
      <c r="L990" s="62" t="s">
        <v>41</v>
      </c>
      <c r="M990" s="34">
        <v>25132</v>
      </c>
      <c r="N990" s="67" t="s">
        <v>42</v>
      </c>
    </row>
    <row r="991" spans="2:14" ht="17" x14ac:dyDescent="0.2">
      <c r="B991" s="159" t="s">
        <v>170</v>
      </c>
      <c r="C991" s="19" t="s">
        <v>40</v>
      </c>
      <c r="J991" s="34" t="s">
        <v>0</v>
      </c>
      <c r="L991" s="62" t="s">
        <v>41</v>
      </c>
      <c r="M991" s="34">
        <v>25132</v>
      </c>
      <c r="N991" s="67" t="s">
        <v>42</v>
      </c>
    </row>
    <row r="992" spans="2:14" ht="17" x14ac:dyDescent="0.2">
      <c r="B992" s="157" t="s">
        <v>171</v>
      </c>
      <c r="C992" s="19"/>
      <c r="N992" s="67" t="s">
        <v>45</v>
      </c>
    </row>
    <row r="993" spans="2:14" ht="48" x14ac:dyDescent="0.2">
      <c r="B993" s="144" t="s">
        <v>172</v>
      </c>
      <c r="C993" s="19" t="s">
        <v>40</v>
      </c>
      <c r="J993" s="34" t="s">
        <v>0</v>
      </c>
      <c r="L993" s="62" t="s">
        <v>41</v>
      </c>
      <c r="M993" s="34">
        <v>25132</v>
      </c>
      <c r="N993" s="67" t="s">
        <v>42</v>
      </c>
    </row>
    <row r="994" spans="2:14" ht="17" x14ac:dyDescent="0.2">
      <c r="B994" s="160" t="s">
        <v>173</v>
      </c>
      <c r="C994" s="19" t="s">
        <v>40</v>
      </c>
      <c r="J994" s="34" t="s">
        <v>0</v>
      </c>
      <c r="L994" s="62" t="s">
        <v>41</v>
      </c>
      <c r="M994" s="34">
        <v>25132</v>
      </c>
      <c r="N994" s="67" t="s">
        <v>42</v>
      </c>
    </row>
    <row r="995" spans="2:14" ht="17" x14ac:dyDescent="0.2">
      <c r="B995" s="161" t="s">
        <v>174</v>
      </c>
      <c r="N995" s="67" t="s">
        <v>45</v>
      </c>
    </row>
    <row r="996" spans="2:14" ht="51" x14ac:dyDescent="0.2">
      <c r="B996" s="161" t="s">
        <v>175</v>
      </c>
      <c r="C996" s="19"/>
      <c r="N996" s="67" t="s">
        <v>45</v>
      </c>
    </row>
    <row r="997" spans="2:14" ht="17" x14ac:dyDescent="0.2">
      <c r="B997" s="131" t="s">
        <v>176</v>
      </c>
      <c r="C997" s="19" t="s">
        <v>40</v>
      </c>
      <c r="N997" s="67" t="s">
        <v>42</v>
      </c>
    </row>
    <row r="998" spans="2:14" ht="17" x14ac:dyDescent="0.2">
      <c r="B998" s="160" t="s">
        <v>177</v>
      </c>
      <c r="C998" s="19" t="s">
        <v>40</v>
      </c>
      <c r="J998" s="34" t="s">
        <v>0</v>
      </c>
      <c r="L998" s="62" t="s">
        <v>41</v>
      </c>
      <c r="M998" s="34">
        <v>25132</v>
      </c>
      <c r="N998" s="67" t="s">
        <v>42</v>
      </c>
    </row>
    <row r="999" spans="2:14" ht="17" x14ac:dyDescent="0.2">
      <c r="B999" s="160" t="s">
        <v>182</v>
      </c>
      <c r="C999" s="19" t="s">
        <v>40</v>
      </c>
      <c r="J999" s="34" t="s">
        <v>0</v>
      </c>
      <c r="L999" s="62" t="s">
        <v>41</v>
      </c>
      <c r="M999" s="34">
        <v>25132</v>
      </c>
      <c r="N999" s="67" t="s">
        <v>42</v>
      </c>
    </row>
    <row r="1000" spans="2:14" ht="68" x14ac:dyDescent="0.2">
      <c r="B1000" s="160" t="s">
        <v>183</v>
      </c>
      <c r="C1000" s="19" t="s">
        <v>40</v>
      </c>
      <c r="J1000" s="34" t="s">
        <v>0</v>
      </c>
      <c r="L1000" s="62" t="s">
        <v>41</v>
      </c>
      <c r="M1000" s="34">
        <v>25132</v>
      </c>
      <c r="N1000" s="67" t="s">
        <v>42</v>
      </c>
    </row>
    <row r="1001" spans="2:14" ht="17" x14ac:dyDescent="0.2">
      <c r="B1001" s="162" t="s">
        <v>184</v>
      </c>
      <c r="C1001" s="19" t="s">
        <v>40</v>
      </c>
      <c r="J1001" s="34" t="s">
        <v>0</v>
      </c>
      <c r="L1001" s="62" t="s">
        <v>41</v>
      </c>
      <c r="M1001" s="34">
        <v>25132</v>
      </c>
      <c r="N1001" s="67" t="s">
        <v>42</v>
      </c>
    </row>
    <row r="1002" spans="2:14" ht="17" x14ac:dyDescent="0.2">
      <c r="B1002" s="162" t="s">
        <v>185</v>
      </c>
      <c r="C1002" s="19" t="s">
        <v>40</v>
      </c>
      <c r="J1002" s="34" t="s">
        <v>0</v>
      </c>
      <c r="L1002" s="62" t="s">
        <v>41</v>
      </c>
      <c r="M1002" s="34">
        <v>25132</v>
      </c>
      <c r="N1002" s="67" t="s">
        <v>42</v>
      </c>
    </row>
    <row r="1003" spans="2:14" ht="17" x14ac:dyDescent="0.2">
      <c r="N1003" s="67" t="s">
        <v>45</v>
      </c>
    </row>
    <row r="1004" spans="2:14" ht="17" x14ac:dyDescent="0.2">
      <c r="N1004" s="67" t="s">
        <v>45</v>
      </c>
    </row>
    <row r="1005" spans="2:14" ht="25" x14ac:dyDescent="0.3">
      <c r="B1005" s="125" t="s">
        <v>386</v>
      </c>
      <c r="C1005" s="59"/>
      <c r="N1005" s="67" t="s">
        <v>45</v>
      </c>
    </row>
    <row r="1006" spans="2:14" ht="69" x14ac:dyDescent="0.2">
      <c r="B1006" s="170" t="s">
        <v>387</v>
      </c>
      <c r="C1006" s="19"/>
      <c r="N1006" s="67" t="s">
        <v>45</v>
      </c>
    </row>
    <row r="1007" spans="2:14" ht="17" x14ac:dyDescent="0.2">
      <c r="B1007" s="127" t="s">
        <v>31</v>
      </c>
      <c r="C1007" s="19"/>
      <c r="N1007" s="67" t="s">
        <v>45</v>
      </c>
    </row>
    <row r="1008" spans="2:14" ht="17" x14ac:dyDescent="0.2">
      <c r="B1008" s="127" t="s">
        <v>328</v>
      </c>
      <c r="N1008" s="67" t="s">
        <v>45</v>
      </c>
    </row>
    <row r="1009" spans="2:14" ht="17" x14ac:dyDescent="0.2">
      <c r="B1009" s="128" t="s">
        <v>33</v>
      </c>
      <c r="N1009" s="67" t="s">
        <v>45</v>
      </c>
    </row>
    <row r="1010" spans="2:14" ht="17" x14ac:dyDescent="0.2">
      <c r="B1010" s="127" t="s">
        <v>34</v>
      </c>
      <c r="C1010" s="19"/>
      <c r="N1010" s="67" t="s">
        <v>45</v>
      </c>
    </row>
    <row r="1011" spans="2:14" ht="46" x14ac:dyDescent="0.2">
      <c r="B1011" s="236" t="s">
        <v>388</v>
      </c>
      <c r="C1011" s="19"/>
      <c r="N1011" s="67" t="s">
        <v>45</v>
      </c>
    </row>
    <row r="1012" spans="2:14" ht="51" x14ac:dyDescent="0.2">
      <c r="B1012" s="163" t="s">
        <v>339</v>
      </c>
      <c r="C1012" s="19"/>
      <c r="N1012" s="67" t="s">
        <v>45</v>
      </c>
    </row>
    <row r="1013" spans="2:14" ht="17" x14ac:dyDescent="0.2">
      <c r="B1013" s="129" t="s">
        <v>36</v>
      </c>
      <c r="C1013" s="19"/>
      <c r="N1013" s="67" t="s">
        <v>45</v>
      </c>
    </row>
    <row r="1014" spans="2:14" ht="17" x14ac:dyDescent="0.2">
      <c r="B1014" s="129" t="s">
        <v>37</v>
      </c>
      <c r="C1014" s="19"/>
      <c r="N1014" s="67" t="s">
        <v>45</v>
      </c>
    </row>
    <row r="1015" spans="2:14" ht="17" x14ac:dyDescent="0.2">
      <c r="B1015" s="128" t="s">
        <v>38</v>
      </c>
      <c r="C1015" s="19"/>
      <c r="N1015" s="67" t="s">
        <v>45</v>
      </c>
    </row>
    <row r="1016" spans="2:14" ht="48" x14ac:dyDescent="0.2">
      <c r="B1016" s="164" t="s">
        <v>340</v>
      </c>
      <c r="C1016" s="19" t="s">
        <v>40</v>
      </c>
      <c r="F1016" s="34" t="s">
        <v>0</v>
      </c>
      <c r="G1016" s="62" t="s">
        <v>41</v>
      </c>
      <c r="H1016" s="61">
        <v>18023</v>
      </c>
      <c r="N1016" s="67" t="s">
        <v>42</v>
      </c>
    </row>
    <row r="1017" spans="2:14" ht="32" x14ac:dyDescent="0.2">
      <c r="B1017" s="164" t="s">
        <v>224</v>
      </c>
      <c r="C1017" s="19" t="s">
        <v>40</v>
      </c>
      <c r="F1017" s="34" t="s">
        <v>0</v>
      </c>
      <c r="G1017" s="62" t="s">
        <v>41</v>
      </c>
      <c r="H1017" s="61">
        <v>18023</v>
      </c>
      <c r="N1017" s="67" t="s">
        <v>42</v>
      </c>
    </row>
    <row r="1018" spans="2:14" ht="17" x14ac:dyDescent="0.2">
      <c r="B1018" s="128" t="s">
        <v>44</v>
      </c>
      <c r="C1018" s="19"/>
      <c r="N1018" s="67" t="s">
        <v>45</v>
      </c>
    </row>
    <row r="1019" spans="2:14" ht="17" x14ac:dyDescent="0.2">
      <c r="B1019" s="164" t="s">
        <v>341</v>
      </c>
      <c r="C1019" s="19" t="s">
        <v>40</v>
      </c>
      <c r="F1019" s="34" t="s">
        <v>0</v>
      </c>
      <c r="G1019" s="62" t="s">
        <v>41</v>
      </c>
      <c r="H1019" s="61">
        <v>18023</v>
      </c>
      <c r="N1019" s="67" t="s">
        <v>42</v>
      </c>
    </row>
    <row r="1020" spans="2:14" ht="17" x14ac:dyDescent="0.2">
      <c r="B1020" s="128" t="s">
        <v>47</v>
      </c>
      <c r="N1020" s="67" t="s">
        <v>45</v>
      </c>
    </row>
    <row r="1021" spans="2:14" ht="17" x14ac:dyDescent="0.2">
      <c r="B1021" s="131" t="s">
        <v>48</v>
      </c>
      <c r="C1021" s="19" t="s">
        <v>40</v>
      </c>
      <c r="F1021" s="34" t="s">
        <v>0</v>
      </c>
      <c r="G1021" s="62" t="s">
        <v>41</v>
      </c>
      <c r="H1021" s="61">
        <v>18023</v>
      </c>
      <c r="N1021" s="67" t="s">
        <v>42</v>
      </c>
    </row>
    <row r="1022" spans="2:14" ht="17" x14ac:dyDescent="0.2">
      <c r="B1022" s="131" t="s">
        <v>49</v>
      </c>
      <c r="C1022" s="19" t="s">
        <v>40</v>
      </c>
      <c r="F1022" s="34" t="s">
        <v>0</v>
      </c>
      <c r="G1022" s="62" t="s">
        <v>41</v>
      </c>
      <c r="H1022" s="61">
        <v>18023</v>
      </c>
      <c r="N1022" s="67" t="s">
        <v>42</v>
      </c>
    </row>
    <row r="1023" spans="2:14" ht="34" x14ac:dyDescent="0.2">
      <c r="B1023" s="131" t="s">
        <v>50</v>
      </c>
      <c r="C1023" s="19" t="s">
        <v>40</v>
      </c>
      <c r="F1023" s="34" t="s">
        <v>92</v>
      </c>
      <c r="G1023" s="62" t="s">
        <v>41</v>
      </c>
      <c r="H1023" s="61">
        <v>18023</v>
      </c>
      <c r="N1023" s="67" t="s">
        <v>42</v>
      </c>
    </row>
    <row r="1024" spans="2:14" ht="17" x14ac:dyDescent="0.2">
      <c r="B1024" s="128" t="s">
        <v>51</v>
      </c>
      <c r="C1024" s="19"/>
      <c r="N1024" s="67" t="s">
        <v>45</v>
      </c>
    </row>
    <row r="1025" spans="2:14" ht="30.75" customHeight="1" x14ac:dyDescent="0.2">
      <c r="B1025" s="165" t="s">
        <v>52</v>
      </c>
      <c r="C1025" s="19" t="s">
        <v>40</v>
      </c>
      <c r="G1025" s="62" t="s">
        <v>41</v>
      </c>
      <c r="H1025" s="61">
        <v>18023</v>
      </c>
      <c r="N1025" s="67" t="s">
        <v>42</v>
      </c>
    </row>
    <row r="1026" spans="2:14" ht="17" x14ac:dyDescent="0.2">
      <c r="B1026" s="132" t="s">
        <v>53</v>
      </c>
      <c r="C1026" s="19"/>
      <c r="N1026" s="67" t="s">
        <v>45</v>
      </c>
    </row>
    <row r="1027" spans="2:14" ht="51" x14ac:dyDescent="0.2">
      <c r="B1027" s="263" t="s">
        <v>54</v>
      </c>
      <c r="C1027" s="19" t="s">
        <v>40</v>
      </c>
      <c r="F1027" s="34" t="s">
        <v>0</v>
      </c>
      <c r="G1027" s="62" t="s">
        <v>41</v>
      </c>
      <c r="H1027" s="61">
        <v>18023</v>
      </c>
      <c r="N1027" s="67" t="s">
        <v>42</v>
      </c>
    </row>
    <row r="1028" spans="2:14" ht="17" x14ac:dyDescent="0.2">
      <c r="B1028" s="128" t="s">
        <v>55</v>
      </c>
      <c r="C1028" s="19"/>
      <c r="N1028" s="67" t="s">
        <v>45</v>
      </c>
    </row>
    <row r="1029" spans="2:14" ht="51" x14ac:dyDescent="0.2">
      <c r="B1029" s="134" t="s">
        <v>56</v>
      </c>
      <c r="C1029" s="19" t="s">
        <v>57</v>
      </c>
      <c r="F1029" s="34" t="s">
        <v>0</v>
      </c>
      <c r="G1029" s="62" t="s">
        <v>41</v>
      </c>
      <c r="H1029" s="61">
        <v>18023</v>
      </c>
      <c r="N1029" s="67" t="s">
        <v>42</v>
      </c>
    </row>
    <row r="1030" spans="2:14" ht="20" x14ac:dyDescent="0.2">
      <c r="B1030" s="177" t="s">
        <v>51</v>
      </c>
      <c r="N1030" s="67" t="s">
        <v>45</v>
      </c>
    </row>
    <row r="1031" spans="2:14" ht="17" x14ac:dyDescent="0.2">
      <c r="B1031" s="128" t="s">
        <v>342</v>
      </c>
      <c r="C1031" s="19"/>
      <c r="G1031" s="62"/>
      <c r="H1031" s="61"/>
      <c r="N1031" s="67" t="s">
        <v>45</v>
      </c>
    </row>
    <row r="1032" spans="2:14" ht="17" x14ac:dyDescent="0.2">
      <c r="B1032" s="231" t="s">
        <v>229</v>
      </c>
      <c r="N1032" s="67" t="s">
        <v>45</v>
      </c>
    </row>
    <row r="1033" spans="2:14" ht="17" x14ac:dyDescent="0.2">
      <c r="B1033" s="233" t="s">
        <v>230</v>
      </c>
      <c r="C1033" s="19" t="s">
        <v>40</v>
      </c>
      <c r="F1033" s="34" t="s">
        <v>0</v>
      </c>
      <c r="G1033" s="62" t="s">
        <v>41</v>
      </c>
      <c r="H1033" s="61">
        <v>18023</v>
      </c>
      <c r="N1033" s="67" t="s">
        <v>42</v>
      </c>
    </row>
    <row r="1034" spans="2:14" ht="17" x14ac:dyDescent="0.2">
      <c r="B1034" s="233" t="s">
        <v>231</v>
      </c>
      <c r="C1034" s="19" t="s">
        <v>40</v>
      </c>
      <c r="F1034" s="34" t="s">
        <v>0</v>
      </c>
      <c r="G1034" s="62" t="s">
        <v>41</v>
      </c>
      <c r="H1034" s="61">
        <v>18023</v>
      </c>
      <c r="N1034" s="67" t="s">
        <v>42</v>
      </c>
    </row>
    <row r="1035" spans="2:14" ht="17" x14ac:dyDescent="0.2">
      <c r="B1035" s="233" t="s">
        <v>232</v>
      </c>
      <c r="C1035" s="232" t="s">
        <v>40</v>
      </c>
      <c r="F1035" s="34" t="s">
        <v>0</v>
      </c>
      <c r="G1035" s="62" t="s">
        <v>41</v>
      </c>
      <c r="H1035" s="61">
        <v>18023</v>
      </c>
      <c r="N1035" s="67" t="s">
        <v>42</v>
      </c>
    </row>
    <row r="1036" spans="2:14" ht="17" x14ac:dyDescent="0.2">
      <c r="B1036" s="233" t="s">
        <v>233</v>
      </c>
      <c r="C1036" s="232" t="s">
        <v>40</v>
      </c>
      <c r="F1036" s="34" t="s">
        <v>0</v>
      </c>
      <c r="G1036" s="62" t="s">
        <v>41</v>
      </c>
      <c r="H1036" s="61">
        <v>18023</v>
      </c>
      <c r="N1036" s="67" t="s">
        <v>42</v>
      </c>
    </row>
    <row r="1037" spans="2:14" ht="17" x14ac:dyDescent="0.2">
      <c r="B1037" s="233" t="s">
        <v>236</v>
      </c>
      <c r="C1037" s="232" t="s">
        <v>40</v>
      </c>
      <c r="F1037" s="34" t="s">
        <v>0</v>
      </c>
      <c r="G1037" s="62" t="s">
        <v>41</v>
      </c>
      <c r="H1037" s="61">
        <v>18023</v>
      </c>
      <c r="N1037" s="67" t="s">
        <v>42</v>
      </c>
    </row>
    <row r="1038" spans="2:14" ht="17" x14ac:dyDescent="0.2">
      <c r="B1038" s="128" t="s">
        <v>65</v>
      </c>
      <c r="N1038" s="67" t="s">
        <v>45</v>
      </c>
    </row>
    <row r="1039" spans="2:14" ht="17" x14ac:dyDescent="0.2">
      <c r="B1039" s="174" t="s">
        <v>66</v>
      </c>
      <c r="C1039" s="19" t="s">
        <v>40</v>
      </c>
      <c r="F1039" s="34" t="s">
        <v>0</v>
      </c>
      <c r="G1039" s="62" t="s">
        <v>41</v>
      </c>
      <c r="H1039" s="61">
        <v>18023</v>
      </c>
      <c r="N1039" s="67" t="s">
        <v>42</v>
      </c>
    </row>
    <row r="1040" spans="2:14" ht="17" x14ac:dyDescent="0.2">
      <c r="B1040" s="166" t="s">
        <v>343</v>
      </c>
      <c r="C1040" s="19" t="s">
        <v>40</v>
      </c>
      <c r="F1040" s="34" t="s">
        <v>0</v>
      </c>
      <c r="G1040" s="62" t="s">
        <v>41</v>
      </c>
      <c r="H1040" s="61">
        <v>18023</v>
      </c>
      <c r="N1040" s="67" t="s">
        <v>42</v>
      </c>
    </row>
    <row r="1041" spans="2:14" ht="17" x14ac:dyDescent="0.2">
      <c r="B1041" s="166" t="s">
        <v>68</v>
      </c>
      <c r="C1041" s="19" t="s">
        <v>40</v>
      </c>
      <c r="F1041" s="34" t="s">
        <v>0</v>
      </c>
      <c r="G1041" s="62" t="s">
        <v>41</v>
      </c>
      <c r="H1041" s="61">
        <v>18023</v>
      </c>
      <c r="N1041" s="67" t="s">
        <v>42</v>
      </c>
    </row>
    <row r="1042" spans="2:14" ht="17" x14ac:dyDescent="0.2">
      <c r="B1042" s="166" t="s">
        <v>379</v>
      </c>
      <c r="C1042" s="19" t="s">
        <v>40</v>
      </c>
      <c r="F1042" s="34" t="s">
        <v>0</v>
      </c>
      <c r="G1042" s="62" t="s">
        <v>41</v>
      </c>
      <c r="H1042" s="61">
        <v>18023</v>
      </c>
      <c r="N1042" s="67" t="s">
        <v>42</v>
      </c>
    </row>
    <row r="1043" spans="2:14" ht="17" x14ac:dyDescent="0.2">
      <c r="B1043" s="166" t="s">
        <v>70</v>
      </c>
      <c r="C1043" s="19" t="s">
        <v>40</v>
      </c>
      <c r="F1043" s="34" t="s">
        <v>0</v>
      </c>
      <c r="G1043" s="62" t="s">
        <v>41</v>
      </c>
      <c r="H1043" s="61">
        <v>18023</v>
      </c>
      <c r="N1043" s="67" t="s">
        <v>42</v>
      </c>
    </row>
    <row r="1044" spans="2:14" ht="17" x14ac:dyDescent="0.2">
      <c r="B1044" s="166" t="s">
        <v>71</v>
      </c>
      <c r="C1044" s="19" t="s">
        <v>40</v>
      </c>
      <c r="F1044" s="34" t="s">
        <v>0</v>
      </c>
      <c r="G1044" s="62" t="s">
        <v>41</v>
      </c>
      <c r="H1044" s="61">
        <v>18023</v>
      </c>
      <c r="N1044" s="67" t="s">
        <v>42</v>
      </c>
    </row>
    <row r="1045" spans="2:14" ht="17" x14ac:dyDescent="0.2">
      <c r="B1045" s="139" t="s">
        <v>72</v>
      </c>
      <c r="C1045" s="19" t="s">
        <v>40</v>
      </c>
      <c r="F1045" s="34" t="s">
        <v>0</v>
      </c>
      <c r="G1045" s="62" t="s">
        <v>41</v>
      </c>
      <c r="H1045" s="61">
        <v>18023</v>
      </c>
      <c r="N1045" s="67" t="s">
        <v>42</v>
      </c>
    </row>
    <row r="1046" spans="2:14" ht="17" x14ac:dyDescent="0.2">
      <c r="B1046" s="174" t="s">
        <v>73</v>
      </c>
      <c r="C1046" s="19" t="s">
        <v>40</v>
      </c>
      <c r="F1046" s="34" t="s">
        <v>0</v>
      </c>
      <c r="G1046" s="62" t="s">
        <v>41</v>
      </c>
      <c r="H1046" s="61">
        <v>18023</v>
      </c>
      <c r="N1046" s="67" t="s">
        <v>42</v>
      </c>
    </row>
    <row r="1047" spans="2:14" ht="17" x14ac:dyDescent="0.2">
      <c r="B1047" s="139" t="s">
        <v>74</v>
      </c>
      <c r="C1047" s="19" t="s">
        <v>40</v>
      </c>
      <c r="F1047" s="34" t="s">
        <v>0</v>
      </c>
      <c r="G1047" s="62" t="s">
        <v>41</v>
      </c>
      <c r="H1047" s="61">
        <v>18023</v>
      </c>
      <c r="N1047" s="67" t="s">
        <v>42</v>
      </c>
    </row>
    <row r="1048" spans="2:14" ht="17" x14ac:dyDescent="0.2">
      <c r="B1048" s="139" t="s">
        <v>75</v>
      </c>
      <c r="C1048" s="19" t="s">
        <v>40</v>
      </c>
      <c r="F1048" s="34" t="s">
        <v>0</v>
      </c>
      <c r="G1048" s="62" t="s">
        <v>41</v>
      </c>
      <c r="H1048" s="61">
        <v>18023</v>
      </c>
      <c r="N1048" s="67" t="s">
        <v>42</v>
      </c>
    </row>
    <row r="1049" spans="2:14" ht="17" x14ac:dyDescent="0.2">
      <c r="B1049" s="138" t="s">
        <v>76</v>
      </c>
      <c r="C1049" s="19" t="s">
        <v>40</v>
      </c>
      <c r="F1049" s="34" t="s">
        <v>0</v>
      </c>
      <c r="G1049" s="62" t="s">
        <v>41</v>
      </c>
      <c r="H1049" s="61">
        <v>18023</v>
      </c>
      <c r="N1049" s="67" t="s">
        <v>42</v>
      </c>
    </row>
    <row r="1050" spans="2:14" ht="68" x14ac:dyDescent="0.2">
      <c r="B1050" s="166" t="s">
        <v>204</v>
      </c>
      <c r="C1050" s="19" t="s">
        <v>40</v>
      </c>
      <c r="F1050" s="34" t="s">
        <v>0</v>
      </c>
      <c r="G1050" s="62" t="s">
        <v>41</v>
      </c>
      <c r="H1050" s="61">
        <v>18023</v>
      </c>
      <c r="N1050" s="67" t="s">
        <v>42</v>
      </c>
    </row>
    <row r="1051" spans="2:14" ht="17" x14ac:dyDescent="0.2">
      <c r="B1051" s="166" t="s">
        <v>237</v>
      </c>
      <c r="C1051" s="19" t="s">
        <v>40</v>
      </c>
      <c r="F1051" s="34" t="s">
        <v>0</v>
      </c>
      <c r="G1051" s="62" t="s">
        <v>41</v>
      </c>
      <c r="H1051" s="61">
        <v>18023</v>
      </c>
      <c r="N1051" s="67" t="s">
        <v>42</v>
      </c>
    </row>
    <row r="1052" spans="2:14" ht="17" x14ac:dyDescent="0.2">
      <c r="B1052" s="166" t="s">
        <v>79</v>
      </c>
      <c r="C1052" s="19" t="s">
        <v>40</v>
      </c>
      <c r="F1052" s="34" t="s">
        <v>0</v>
      </c>
      <c r="G1052" s="62" t="s">
        <v>41</v>
      </c>
      <c r="H1052" s="61">
        <v>18023</v>
      </c>
      <c r="N1052" s="67" t="s">
        <v>42</v>
      </c>
    </row>
    <row r="1053" spans="2:14" ht="17" x14ac:dyDescent="0.2">
      <c r="B1053" s="166" t="s">
        <v>380</v>
      </c>
      <c r="C1053" s="19" t="s">
        <v>40</v>
      </c>
      <c r="F1053" s="34" t="s">
        <v>0</v>
      </c>
      <c r="G1053" s="62" t="s">
        <v>41</v>
      </c>
      <c r="H1053" s="61">
        <v>18023</v>
      </c>
      <c r="N1053" s="67" t="s">
        <v>42</v>
      </c>
    </row>
    <row r="1054" spans="2:14" ht="17" x14ac:dyDescent="0.2">
      <c r="B1054" s="138" t="s">
        <v>81</v>
      </c>
      <c r="C1054" s="19" t="s">
        <v>40</v>
      </c>
      <c r="F1054" s="34" t="s">
        <v>0</v>
      </c>
      <c r="G1054" s="62" t="s">
        <v>41</v>
      </c>
      <c r="H1054" s="61">
        <v>18023</v>
      </c>
      <c r="N1054" s="67" t="s">
        <v>42</v>
      </c>
    </row>
    <row r="1055" spans="2:14" ht="17" x14ac:dyDescent="0.2">
      <c r="B1055" s="138" t="s">
        <v>82</v>
      </c>
      <c r="C1055" s="19" t="s">
        <v>40</v>
      </c>
      <c r="F1055" s="34" t="s">
        <v>0</v>
      </c>
      <c r="G1055" s="62" t="s">
        <v>41</v>
      </c>
      <c r="H1055" s="61">
        <v>18023</v>
      </c>
      <c r="N1055" s="67" t="s">
        <v>42</v>
      </c>
    </row>
    <row r="1056" spans="2:14" ht="17" x14ac:dyDescent="0.2">
      <c r="B1056" s="138" t="s">
        <v>344</v>
      </c>
      <c r="C1056" s="19" t="s">
        <v>40</v>
      </c>
      <c r="F1056" s="34" t="s">
        <v>0</v>
      </c>
      <c r="G1056" s="62" t="s">
        <v>41</v>
      </c>
      <c r="H1056" s="61">
        <v>18023</v>
      </c>
      <c r="N1056" s="67" t="s">
        <v>42</v>
      </c>
    </row>
    <row r="1057" spans="2:14" ht="17" x14ac:dyDescent="0.2">
      <c r="B1057" s="138" t="s">
        <v>84</v>
      </c>
      <c r="C1057" s="19" t="s">
        <v>40</v>
      </c>
      <c r="F1057" s="34" t="s">
        <v>0</v>
      </c>
      <c r="G1057" s="62" t="s">
        <v>41</v>
      </c>
      <c r="H1057" s="61">
        <v>18023</v>
      </c>
      <c r="N1057" s="67" t="s">
        <v>42</v>
      </c>
    </row>
    <row r="1058" spans="2:14" ht="17" x14ac:dyDescent="0.2">
      <c r="B1058" s="139" t="s">
        <v>85</v>
      </c>
      <c r="C1058" s="19" t="s">
        <v>40</v>
      </c>
      <c r="F1058" s="34" t="s">
        <v>0</v>
      </c>
      <c r="G1058" s="62" t="s">
        <v>41</v>
      </c>
      <c r="H1058" s="61">
        <v>18023</v>
      </c>
      <c r="N1058" s="67" t="s">
        <v>42</v>
      </c>
    </row>
    <row r="1059" spans="2:14" ht="17" x14ac:dyDescent="0.2">
      <c r="B1059" s="140" t="s">
        <v>86</v>
      </c>
      <c r="N1059" s="67" t="s">
        <v>45</v>
      </c>
    </row>
    <row r="1060" spans="2:14" ht="17" x14ac:dyDescent="0.2">
      <c r="B1060" s="141" t="s">
        <v>87</v>
      </c>
      <c r="C1060" s="19" t="s">
        <v>40</v>
      </c>
      <c r="F1060" s="34" t="s">
        <v>0</v>
      </c>
      <c r="G1060" s="62" t="s">
        <v>41</v>
      </c>
      <c r="H1060" s="61">
        <v>18023</v>
      </c>
      <c r="N1060" s="67" t="s">
        <v>42</v>
      </c>
    </row>
    <row r="1061" spans="2:14" ht="32" x14ac:dyDescent="0.2">
      <c r="B1061" s="140" t="s">
        <v>88</v>
      </c>
      <c r="C1061" s="19"/>
      <c r="N1061" s="67" t="s">
        <v>45</v>
      </c>
    </row>
    <row r="1062" spans="2:14" ht="32" x14ac:dyDescent="0.2">
      <c r="B1062" s="250" t="s">
        <v>89</v>
      </c>
      <c r="C1062" s="19" t="s">
        <v>40</v>
      </c>
      <c r="F1062" s="34" t="s">
        <v>0</v>
      </c>
      <c r="G1062" s="62" t="s">
        <v>41</v>
      </c>
      <c r="H1062" s="61">
        <v>18023</v>
      </c>
      <c r="N1062" s="67" t="s">
        <v>42</v>
      </c>
    </row>
    <row r="1063" spans="2:14" ht="17" x14ac:dyDescent="0.2">
      <c r="B1063" s="140" t="s">
        <v>90</v>
      </c>
      <c r="C1063" s="19"/>
      <c r="N1063" s="67" t="s">
        <v>45</v>
      </c>
    </row>
    <row r="1064" spans="2:14" ht="32" x14ac:dyDescent="0.2">
      <c r="B1064" s="142" t="s">
        <v>91</v>
      </c>
      <c r="C1064" s="19" t="s">
        <v>40</v>
      </c>
      <c r="F1064" s="34" t="s">
        <v>92</v>
      </c>
      <c r="G1064" s="62" t="s">
        <v>41</v>
      </c>
      <c r="H1064" s="61">
        <v>18023</v>
      </c>
      <c r="N1064" s="67" t="s">
        <v>42</v>
      </c>
    </row>
    <row r="1065" spans="2:14" ht="17" x14ac:dyDescent="0.2">
      <c r="B1065" s="140" t="s">
        <v>93</v>
      </c>
      <c r="C1065" s="19"/>
      <c r="N1065" s="67" t="s">
        <v>45</v>
      </c>
    </row>
    <row r="1066" spans="2:14" ht="32" x14ac:dyDescent="0.2">
      <c r="B1066" s="142" t="s">
        <v>94</v>
      </c>
      <c r="C1066" s="19" t="s">
        <v>40</v>
      </c>
      <c r="F1066" s="34" t="s">
        <v>92</v>
      </c>
      <c r="G1066" s="62" t="s">
        <v>41</v>
      </c>
      <c r="H1066" s="61">
        <v>18023</v>
      </c>
      <c r="N1066" s="67" t="s">
        <v>42</v>
      </c>
    </row>
    <row r="1067" spans="2:14" ht="48" x14ac:dyDescent="0.2">
      <c r="B1067" s="143" t="s">
        <v>95</v>
      </c>
      <c r="C1067" s="19" t="s">
        <v>40</v>
      </c>
      <c r="F1067" s="34" t="s">
        <v>92</v>
      </c>
      <c r="G1067" s="62" t="s">
        <v>41</v>
      </c>
      <c r="H1067" s="61">
        <v>18023</v>
      </c>
      <c r="N1067" s="67" t="s">
        <v>42</v>
      </c>
    </row>
    <row r="1068" spans="2:14" ht="17" x14ac:dyDescent="0.2">
      <c r="B1068" s="144" t="s">
        <v>96</v>
      </c>
      <c r="C1068" s="19" t="s">
        <v>40</v>
      </c>
      <c r="F1068" s="34" t="s">
        <v>92</v>
      </c>
      <c r="G1068" s="62" t="s">
        <v>41</v>
      </c>
      <c r="H1068" s="61">
        <v>18023</v>
      </c>
      <c r="N1068" s="67" t="s">
        <v>42</v>
      </c>
    </row>
    <row r="1069" spans="2:14" ht="32" x14ac:dyDescent="0.2">
      <c r="B1069" s="143" t="s">
        <v>97</v>
      </c>
      <c r="C1069" s="19" t="s">
        <v>40</v>
      </c>
      <c r="F1069" s="34" t="s">
        <v>92</v>
      </c>
      <c r="G1069" s="62" t="s">
        <v>41</v>
      </c>
      <c r="H1069" s="61">
        <v>18023</v>
      </c>
      <c r="N1069" s="67" t="s">
        <v>42</v>
      </c>
    </row>
    <row r="1070" spans="2:14" ht="17" x14ac:dyDescent="0.2">
      <c r="B1070" s="142" t="s">
        <v>98</v>
      </c>
      <c r="C1070" s="19" t="s">
        <v>40</v>
      </c>
      <c r="F1070" s="34" t="s">
        <v>92</v>
      </c>
      <c r="G1070" s="62" t="s">
        <v>41</v>
      </c>
      <c r="H1070" s="61">
        <v>18023</v>
      </c>
      <c r="N1070" s="67" t="s">
        <v>42</v>
      </c>
    </row>
    <row r="1071" spans="2:14" ht="17" x14ac:dyDescent="0.2">
      <c r="B1071" s="144" t="s">
        <v>99</v>
      </c>
      <c r="C1071" s="19" t="s">
        <v>40</v>
      </c>
      <c r="F1071" s="34" t="s">
        <v>92</v>
      </c>
      <c r="G1071" s="62" t="s">
        <v>41</v>
      </c>
      <c r="H1071" s="61">
        <v>18023</v>
      </c>
      <c r="N1071" s="67" t="s">
        <v>42</v>
      </c>
    </row>
    <row r="1072" spans="2:14" ht="17" x14ac:dyDescent="0.2">
      <c r="B1072" s="143" t="s">
        <v>100</v>
      </c>
      <c r="C1072" s="19" t="s">
        <v>40</v>
      </c>
      <c r="G1072" s="62" t="s">
        <v>41</v>
      </c>
      <c r="H1072" s="61">
        <v>18023</v>
      </c>
      <c r="N1072" s="67" t="s">
        <v>42</v>
      </c>
    </row>
    <row r="1073" spans="2:14" ht="17" x14ac:dyDescent="0.2">
      <c r="B1073" s="140" t="s">
        <v>101</v>
      </c>
      <c r="N1073" s="67" t="s">
        <v>45</v>
      </c>
    </row>
    <row r="1074" spans="2:14" ht="17" x14ac:dyDescent="0.2">
      <c r="B1074" s="141" t="s">
        <v>87</v>
      </c>
      <c r="C1074" s="19" t="s">
        <v>40</v>
      </c>
      <c r="F1074" s="34" t="s">
        <v>0</v>
      </c>
      <c r="G1074" s="62" t="s">
        <v>41</v>
      </c>
      <c r="H1074" s="61">
        <v>18023</v>
      </c>
      <c r="N1074" s="67" t="s">
        <v>42</v>
      </c>
    </row>
    <row r="1075" spans="2:14" ht="32" x14ac:dyDescent="0.2">
      <c r="B1075" s="250" t="s">
        <v>102</v>
      </c>
      <c r="C1075" s="19" t="s">
        <v>40</v>
      </c>
      <c r="F1075" s="34" t="s">
        <v>0</v>
      </c>
      <c r="G1075" s="62" t="s">
        <v>41</v>
      </c>
      <c r="H1075" s="61">
        <v>18023</v>
      </c>
      <c r="N1075" s="67" t="s">
        <v>42</v>
      </c>
    </row>
    <row r="1076" spans="2:14" ht="48" x14ac:dyDescent="0.2">
      <c r="B1076" s="143" t="s">
        <v>103</v>
      </c>
      <c r="C1076" s="19" t="s">
        <v>40</v>
      </c>
      <c r="F1076" s="34" t="s">
        <v>0</v>
      </c>
      <c r="G1076" s="62" t="s">
        <v>41</v>
      </c>
      <c r="H1076" s="61">
        <v>18023</v>
      </c>
      <c r="N1076" s="67" t="s">
        <v>42</v>
      </c>
    </row>
    <row r="1077" spans="2:14" ht="17" x14ac:dyDescent="0.2">
      <c r="B1077" s="144" t="s">
        <v>96</v>
      </c>
      <c r="C1077" s="19" t="s">
        <v>40</v>
      </c>
      <c r="F1077" s="34" t="s">
        <v>0</v>
      </c>
      <c r="G1077" s="62" t="s">
        <v>41</v>
      </c>
      <c r="H1077" s="61">
        <v>18023</v>
      </c>
      <c r="N1077" s="67" t="s">
        <v>42</v>
      </c>
    </row>
    <row r="1078" spans="2:14" ht="32" x14ac:dyDescent="0.2">
      <c r="B1078" s="143" t="s">
        <v>104</v>
      </c>
      <c r="C1078" s="19" t="s">
        <v>40</v>
      </c>
      <c r="F1078" s="34" t="s">
        <v>0</v>
      </c>
      <c r="G1078" s="62" t="s">
        <v>41</v>
      </c>
      <c r="H1078" s="61">
        <v>18023</v>
      </c>
      <c r="N1078" s="67" t="s">
        <v>42</v>
      </c>
    </row>
    <row r="1079" spans="2:14" ht="32" x14ac:dyDescent="0.2">
      <c r="B1079" s="142" t="s">
        <v>105</v>
      </c>
      <c r="C1079" s="19" t="s">
        <v>40</v>
      </c>
      <c r="F1079" s="34" t="s">
        <v>0</v>
      </c>
      <c r="G1079" s="62" t="s">
        <v>41</v>
      </c>
      <c r="H1079" s="61">
        <v>18023</v>
      </c>
      <c r="N1079" s="67" t="s">
        <v>42</v>
      </c>
    </row>
    <row r="1080" spans="2:14" ht="17" x14ac:dyDescent="0.2">
      <c r="B1080" s="144" t="s">
        <v>99</v>
      </c>
      <c r="C1080" s="19" t="s">
        <v>40</v>
      </c>
      <c r="F1080" s="34" t="s">
        <v>0</v>
      </c>
      <c r="G1080" s="62" t="s">
        <v>41</v>
      </c>
      <c r="H1080" s="61">
        <v>18023</v>
      </c>
      <c r="N1080" s="67" t="s">
        <v>42</v>
      </c>
    </row>
    <row r="1081" spans="2:14" ht="17" x14ac:dyDescent="0.2">
      <c r="B1081" s="143" t="s">
        <v>106</v>
      </c>
      <c r="C1081" s="19" t="s">
        <v>40</v>
      </c>
      <c r="F1081" s="34" t="s">
        <v>0</v>
      </c>
      <c r="G1081" s="62" t="s">
        <v>41</v>
      </c>
      <c r="H1081" s="61">
        <v>18023</v>
      </c>
      <c r="N1081" s="67" t="s">
        <v>42</v>
      </c>
    </row>
    <row r="1082" spans="2:14" ht="17" x14ac:dyDescent="0.2">
      <c r="B1082" s="140" t="s">
        <v>107</v>
      </c>
      <c r="N1082" s="67" t="s">
        <v>45</v>
      </c>
    </row>
    <row r="1083" spans="2:14" ht="17" x14ac:dyDescent="0.2">
      <c r="B1083" s="141" t="s">
        <v>87</v>
      </c>
      <c r="C1083" s="19" t="s">
        <v>40</v>
      </c>
      <c r="F1083" s="34" t="s">
        <v>0</v>
      </c>
      <c r="G1083" s="62" t="s">
        <v>41</v>
      </c>
      <c r="H1083" s="61">
        <v>18023</v>
      </c>
      <c r="N1083" s="67" t="s">
        <v>42</v>
      </c>
    </row>
    <row r="1084" spans="2:14" ht="32" x14ac:dyDescent="0.2">
      <c r="B1084" s="142" t="s">
        <v>102</v>
      </c>
      <c r="C1084" s="19" t="s">
        <v>40</v>
      </c>
      <c r="F1084" s="34" t="s">
        <v>0</v>
      </c>
      <c r="G1084" s="62" t="s">
        <v>41</v>
      </c>
      <c r="H1084" s="61">
        <v>18023</v>
      </c>
      <c r="N1084" s="67" t="s">
        <v>42</v>
      </c>
    </row>
    <row r="1085" spans="2:14" ht="48" x14ac:dyDescent="0.2">
      <c r="B1085" s="143" t="s">
        <v>113</v>
      </c>
      <c r="C1085" s="19" t="s">
        <v>40</v>
      </c>
      <c r="F1085" s="34" t="s">
        <v>0</v>
      </c>
      <c r="G1085" s="62" t="s">
        <v>41</v>
      </c>
      <c r="H1085" s="61">
        <v>18023</v>
      </c>
      <c r="N1085" s="67" t="s">
        <v>42</v>
      </c>
    </row>
    <row r="1086" spans="2:14" ht="17" x14ac:dyDescent="0.2">
      <c r="B1086" s="144" t="s">
        <v>96</v>
      </c>
      <c r="C1086" s="19" t="s">
        <v>40</v>
      </c>
      <c r="F1086" s="34" t="s">
        <v>0</v>
      </c>
      <c r="G1086" s="62" t="s">
        <v>41</v>
      </c>
      <c r="H1086" s="61">
        <v>18023</v>
      </c>
      <c r="N1086" s="67" t="s">
        <v>42</v>
      </c>
    </row>
    <row r="1087" spans="2:14" ht="32" x14ac:dyDescent="0.2">
      <c r="B1087" s="143" t="s">
        <v>97</v>
      </c>
      <c r="C1087" s="19" t="s">
        <v>40</v>
      </c>
      <c r="F1087" s="34" t="s">
        <v>0</v>
      </c>
      <c r="G1087" s="62" t="s">
        <v>41</v>
      </c>
      <c r="H1087" s="61">
        <v>18023</v>
      </c>
      <c r="N1087" s="67" t="s">
        <v>42</v>
      </c>
    </row>
    <row r="1088" spans="2:14" ht="32" x14ac:dyDescent="0.2">
      <c r="B1088" s="142" t="s">
        <v>114</v>
      </c>
      <c r="C1088" s="19" t="s">
        <v>40</v>
      </c>
      <c r="F1088" s="34" t="s">
        <v>0</v>
      </c>
      <c r="G1088" s="62" t="s">
        <v>41</v>
      </c>
      <c r="H1088" s="61">
        <v>18023</v>
      </c>
      <c r="N1088" s="67" t="s">
        <v>42</v>
      </c>
    </row>
    <row r="1089" spans="2:14" ht="17" x14ac:dyDescent="0.2">
      <c r="B1089" s="144" t="s">
        <v>99</v>
      </c>
      <c r="C1089" s="19" t="s">
        <v>40</v>
      </c>
      <c r="F1089" s="34" t="s">
        <v>0</v>
      </c>
      <c r="G1089" s="62" t="s">
        <v>41</v>
      </c>
      <c r="H1089" s="61">
        <v>18023</v>
      </c>
      <c r="N1089" s="67" t="s">
        <v>42</v>
      </c>
    </row>
    <row r="1090" spans="2:14" ht="17" x14ac:dyDescent="0.2">
      <c r="B1090" s="143" t="s">
        <v>115</v>
      </c>
      <c r="C1090" s="19" t="s">
        <v>40</v>
      </c>
      <c r="F1090" s="34" t="s">
        <v>0</v>
      </c>
      <c r="G1090" s="62" t="s">
        <v>41</v>
      </c>
      <c r="H1090" s="61">
        <v>18023</v>
      </c>
      <c r="N1090" s="67" t="s">
        <v>42</v>
      </c>
    </row>
    <row r="1091" spans="2:14" ht="34" x14ac:dyDescent="0.2">
      <c r="B1091" s="132" t="s">
        <v>116</v>
      </c>
      <c r="N1091" s="67" t="s">
        <v>45</v>
      </c>
    </row>
    <row r="1092" spans="2:14" ht="64" x14ac:dyDescent="0.2">
      <c r="B1092" s="143" t="s">
        <v>117</v>
      </c>
      <c r="C1092" s="19" t="s">
        <v>40</v>
      </c>
      <c r="F1092" s="34" t="s">
        <v>92</v>
      </c>
      <c r="G1092" s="62" t="s">
        <v>41</v>
      </c>
      <c r="H1092" s="61">
        <v>18023</v>
      </c>
      <c r="N1092" s="67" t="s">
        <v>42</v>
      </c>
    </row>
    <row r="1093" spans="2:14" ht="64" x14ac:dyDescent="0.2">
      <c r="B1093" s="143" t="s">
        <v>118</v>
      </c>
      <c r="C1093" s="19" t="s">
        <v>40</v>
      </c>
      <c r="F1093" s="34" t="s">
        <v>92</v>
      </c>
      <c r="G1093" s="62" t="s">
        <v>41</v>
      </c>
      <c r="H1093" s="61">
        <v>18023</v>
      </c>
      <c r="N1093" s="67" t="s">
        <v>42</v>
      </c>
    </row>
    <row r="1094" spans="2:14" ht="17" x14ac:dyDescent="0.2">
      <c r="B1094" s="143" t="s">
        <v>119</v>
      </c>
      <c r="C1094" s="19" t="s">
        <v>40</v>
      </c>
      <c r="F1094" s="34" t="s">
        <v>92</v>
      </c>
      <c r="G1094" s="62" t="s">
        <v>41</v>
      </c>
      <c r="H1094" s="61">
        <v>18023</v>
      </c>
      <c r="N1094" s="67" t="s">
        <v>42</v>
      </c>
    </row>
    <row r="1095" spans="2:14" ht="32" x14ac:dyDescent="0.2">
      <c r="B1095" s="143" t="s">
        <v>120</v>
      </c>
      <c r="C1095" s="19" t="s">
        <v>40</v>
      </c>
      <c r="F1095" s="34" t="s">
        <v>92</v>
      </c>
      <c r="G1095" s="62" t="s">
        <v>41</v>
      </c>
      <c r="H1095" s="61">
        <v>18023</v>
      </c>
      <c r="N1095" s="67" t="s">
        <v>42</v>
      </c>
    </row>
    <row r="1096" spans="2:14" ht="17" x14ac:dyDescent="0.2">
      <c r="B1096" s="128" t="s">
        <v>121</v>
      </c>
      <c r="C1096" s="19"/>
      <c r="N1096" s="67" t="s">
        <v>45</v>
      </c>
    </row>
    <row r="1097" spans="2:14" ht="17" x14ac:dyDescent="0.2">
      <c r="B1097" s="145" t="s">
        <v>122</v>
      </c>
      <c r="C1097" s="19" t="s">
        <v>40</v>
      </c>
      <c r="F1097" s="34" t="s">
        <v>0</v>
      </c>
      <c r="G1097" s="62" t="s">
        <v>41</v>
      </c>
      <c r="H1097" s="61">
        <v>18023</v>
      </c>
      <c r="N1097" s="67" t="s">
        <v>42</v>
      </c>
    </row>
    <row r="1098" spans="2:14" ht="17" x14ac:dyDescent="0.2">
      <c r="B1098" s="139" t="s">
        <v>123</v>
      </c>
      <c r="C1098" s="19" t="s">
        <v>40</v>
      </c>
      <c r="F1098" s="34" t="s">
        <v>0</v>
      </c>
      <c r="G1098" s="62" t="s">
        <v>41</v>
      </c>
      <c r="H1098" s="61">
        <v>18023</v>
      </c>
      <c r="N1098" s="67" t="s">
        <v>42</v>
      </c>
    </row>
    <row r="1099" spans="2:14" ht="34" x14ac:dyDescent="0.2">
      <c r="B1099" s="167" t="s">
        <v>345</v>
      </c>
      <c r="C1099" s="19" t="s">
        <v>40</v>
      </c>
      <c r="F1099" s="34" t="s">
        <v>0</v>
      </c>
      <c r="G1099" s="62" t="s">
        <v>41</v>
      </c>
      <c r="H1099" s="61">
        <v>18023</v>
      </c>
      <c r="N1099" s="67" t="s">
        <v>42</v>
      </c>
    </row>
    <row r="1100" spans="2:14" ht="17" x14ac:dyDescent="0.2">
      <c r="B1100" s="139" t="s">
        <v>125</v>
      </c>
      <c r="C1100" s="19" t="s">
        <v>40</v>
      </c>
      <c r="F1100" s="34" t="s">
        <v>0</v>
      </c>
      <c r="G1100" s="62" t="s">
        <v>41</v>
      </c>
      <c r="H1100" s="61">
        <v>18023</v>
      </c>
      <c r="N1100" s="67" t="s">
        <v>42</v>
      </c>
    </row>
    <row r="1101" spans="2:14" ht="17" x14ac:dyDescent="0.2">
      <c r="B1101" s="145" t="s">
        <v>126</v>
      </c>
      <c r="C1101" s="19" t="s">
        <v>40</v>
      </c>
      <c r="F1101" s="34" t="s">
        <v>0</v>
      </c>
      <c r="G1101" s="62" t="s">
        <v>41</v>
      </c>
      <c r="H1101" s="61">
        <v>18023</v>
      </c>
      <c r="N1101" s="67" t="s">
        <v>42</v>
      </c>
    </row>
    <row r="1102" spans="2:14" ht="17" x14ac:dyDescent="0.2">
      <c r="B1102" s="138" t="s">
        <v>127</v>
      </c>
      <c r="C1102" s="19" t="s">
        <v>40</v>
      </c>
      <c r="F1102" s="34" t="s">
        <v>0</v>
      </c>
      <c r="G1102" s="62" t="s">
        <v>41</v>
      </c>
      <c r="H1102" s="61">
        <v>18023</v>
      </c>
      <c r="N1102" s="67" t="s">
        <v>42</v>
      </c>
    </row>
    <row r="1103" spans="2:14" ht="17" x14ac:dyDescent="0.2">
      <c r="B1103" s="166" t="s">
        <v>389</v>
      </c>
      <c r="C1103" s="19" t="s">
        <v>40</v>
      </c>
      <c r="F1103" s="34" t="s">
        <v>0</v>
      </c>
      <c r="G1103" s="62" t="s">
        <v>41</v>
      </c>
      <c r="H1103" s="61">
        <v>18023</v>
      </c>
      <c r="N1103" s="67" t="s">
        <v>42</v>
      </c>
    </row>
    <row r="1104" spans="2:14" ht="17" x14ac:dyDescent="0.2">
      <c r="B1104" s="220" t="s">
        <v>129</v>
      </c>
      <c r="C1104" s="19" t="s">
        <v>40</v>
      </c>
      <c r="F1104" s="34" t="s">
        <v>0</v>
      </c>
      <c r="G1104" s="62" t="s">
        <v>41</v>
      </c>
      <c r="H1104" s="61">
        <v>18023</v>
      </c>
      <c r="N1104" s="67" t="s">
        <v>42</v>
      </c>
    </row>
    <row r="1105" spans="2:14" ht="17" x14ac:dyDescent="0.2">
      <c r="B1105" s="138" t="s">
        <v>130</v>
      </c>
      <c r="C1105" s="19" t="s">
        <v>40</v>
      </c>
      <c r="F1105" s="34" t="s">
        <v>0</v>
      </c>
      <c r="G1105" s="62" t="s">
        <v>41</v>
      </c>
      <c r="H1105" s="61">
        <v>18023</v>
      </c>
      <c r="N1105" s="67" t="s">
        <v>42</v>
      </c>
    </row>
    <row r="1106" spans="2:14" ht="17" x14ac:dyDescent="0.2">
      <c r="B1106" s="147" t="s">
        <v>131</v>
      </c>
      <c r="C1106" s="19" t="s">
        <v>40</v>
      </c>
      <c r="F1106" s="34" t="s">
        <v>0</v>
      </c>
      <c r="G1106" s="62" t="s">
        <v>41</v>
      </c>
      <c r="H1106" s="61">
        <v>18023</v>
      </c>
      <c r="N1106" s="67" t="s">
        <v>42</v>
      </c>
    </row>
    <row r="1107" spans="2:14" ht="17" x14ac:dyDescent="0.2">
      <c r="B1107" s="147" t="s">
        <v>132</v>
      </c>
      <c r="C1107" s="19" t="s">
        <v>40</v>
      </c>
      <c r="F1107" s="34" t="s">
        <v>0</v>
      </c>
      <c r="G1107" s="62" t="s">
        <v>41</v>
      </c>
      <c r="H1107" s="61">
        <v>18023</v>
      </c>
      <c r="N1107" s="67" t="s">
        <v>42</v>
      </c>
    </row>
    <row r="1108" spans="2:14" ht="17" x14ac:dyDescent="0.2">
      <c r="B1108" s="147" t="s">
        <v>134</v>
      </c>
      <c r="C1108" s="19" t="s">
        <v>40</v>
      </c>
      <c r="F1108" s="34" t="s">
        <v>0</v>
      </c>
      <c r="G1108" s="62" t="s">
        <v>41</v>
      </c>
      <c r="H1108" s="61">
        <v>18023</v>
      </c>
      <c r="N1108" s="67" t="s">
        <v>42</v>
      </c>
    </row>
    <row r="1109" spans="2:14" ht="17" x14ac:dyDescent="0.2">
      <c r="B1109" s="147" t="s">
        <v>136</v>
      </c>
      <c r="C1109" s="19" t="s">
        <v>40</v>
      </c>
      <c r="F1109" s="34" t="s">
        <v>0</v>
      </c>
      <c r="G1109" s="62" t="s">
        <v>41</v>
      </c>
      <c r="H1109" s="61">
        <v>18023</v>
      </c>
      <c r="N1109" s="67" t="s">
        <v>42</v>
      </c>
    </row>
    <row r="1110" spans="2:14" ht="20" x14ac:dyDescent="0.25">
      <c r="B1110" s="230" t="s">
        <v>238</v>
      </c>
      <c r="C1110" s="19"/>
      <c r="F1110" s="34" t="s">
        <v>0</v>
      </c>
      <c r="N1110" s="67" t="s">
        <v>45</v>
      </c>
    </row>
    <row r="1111" spans="2:14" ht="17" x14ac:dyDescent="0.2">
      <c r="B1111" s="147" t="s">
        <v>346</v>
      </c>
      <c r="C1111" s="19" t="s">
        <v>40</v>
      </c>
      <c r="F1111" s="34" t="s">
        <v>0</v>
      </c>
      <c r="G1111" s="62" t="s">
        <v>41</v>
      </c>
      <c r="H1111" s="61">
        <v>18023</v>
      </c>
      <c r="N1111" s="67" t="s">
        <v>42</v>
      </c>
    </row>
    <row r="1112" spans="2:14" ht="17" x14ac:dyDescent="0.2">
      <c r="B1112" s="138" t="s">
        <v>347</v>
      </c>
      <c r="C1112" s="19" t="s">
        <v>40</v>
      </c>
      <c r="F1112" s="34" t="s">
        <v>0</v>
      </c>
      <c r="G1112" s="62" t="s">
        <v>41</v>
      </c>
      <c r="H1112" s="61">
        <v>18023</v>
      </c>
      <c r="N1112" s="67" t="s">
        <v>42</v>
      </c>
    </row>
    <row r="1113" spans="2:14" ht="17" x14ac:dyDescent="0.2">
      <c r="B1113" s="166" t="s">
        <v>383</v>
      </c>
      <c r="C1113" s="19" t="s">
        <v>40</v>
      </c>
      <c r="F1113" s="34" t="s">
        <v>0</v>
      </c>
      <c r="G1113" s="62" t="s">
        <v>41</v>
      </c>
      <c r="H1113" s="61">
        <v>18023</v>
      </c>
      <c r="N1113" s="67" t="s">
        <v>42</v>
      </c>
    </row>
    <row r="1114" spans="2:14" ht="17" x14ac:dyDescent="0.2">
      <c r="B1114" s="138" t="s">
        <v>349</v>
      </c>
      <c r="C1114" s="19" t="s">
        <v>40</v>
      </c>
      <c r="F1114" s="34" t="s">
        <v>0</v>
      </c>
      <c r="G1114" s="62" t="s">
        <v>41</v>
      </c>
      <c r="H1114" s="61">
        <v>18023</v>
      </c>
      <c r="N1114" s="67" t="s">
        <v>42</v>
      </c>
    </row>
    <row r="1115" spans="2:14" ht="17" x14ac:dyDescent="0.2">
      <c r="B1115" s="138" t="s">
        <v>350</v>
      </c>
      <c r="C1115" s="19" t="s">
        <v>40</v>
      </c>
      <c r="G1115" s="62" t="s">
        <v>41</v>
      </c>
      <c r="H1115" s="61">
        <v>18023</v>
      </c>
      <c r="N1115" s="67" t="s">
        <v>42</v>
      </c>
    </row>
    <row r="1116" spans="2:14" ht="23" x14ac:dyDescent="0.3">
      <c r="B1116" s="148" t="s">
        <v>137</v>
      </c>
      <c r="C1116" s="19"/>
      <c r="N1116" s="67" t="s">
        <v>45</v>
      </c>
    </row>
    <row r="1117" spans="2:14" ht="23" x14ac:dyDescent="0.3">
      <c r="B1117" s="148" t="s">
        <v>138</v>
      </c>
      <c r="C1117" s="19"/>
      <c r="N1117" s="67" t="s">
        <v>45</v>
      </c>
    </row>
    <row r="1118" spans="2:14" ht="17" x14ac:dyDescent="0.2">
      <c r="B1118" s="147" t="s">
        <v>330</v>
      </c>
      <c r="C1118" s="19" t="s">
        <v>40</v>
      </c>
      <c r="F1118" s="34" t="s">
        <v>0</v>
      </c>
      <c r="G1118" s="62" t="s">
        <v>41</v>
      </c>
      <c r="H1118" s="61">
        <v>18023</v>
      </c>
      <c r="N1118" s="67" t="s">
        <v>42</v>
      </c>
    </row>
    <row r="1119" spans="2:14" ht="34" x14ac:dyDescent="0.2">
      <c r="B1119" s="147" t="s">
        <v>331</v>
      </c>
      <c r="C1119" s="19" t="s">
        <v>40</v>
      </c>
      <c r="F1119" s="34" t="s">
        <v>0</v>
      </c>
      <c r="G1119" s="62" t="s">
        <v>41</v>
      </c>
      <c r="H1119" s="61">
        <v>18023</v>
      </c>
      <c r="N1119" s="67" t="s">
        <v>42</v>
      </c>
    </row>
    <row r="1120" spans="2:14" ht="17" x14ac:dyDescent="0.2">
      <c r="B1120" s="147" t="s">
        <v>332</v>
      </c>
      <c r="C1120" s="19" t="s">
        <v>40</v>
      </c>
      <c r="F1120" s="34" t="s">
        <v>0</v>
      </c>
      <c r="G1120" s="62" t="s">
        <v>41</v>
      </c>
      <c r="H1120" s="61">
        <v>18023</v>
      </c>
      <c r="N1120" s="67" t="s">
        <v>42</v>
      </c>
    </row>
    <row r="1121" spans="2:14" ht="17" x14ac:dyDescent="0.2">
      <c r="B1121" s="147" t="s">
        <v>333</v>
      </c>
      <c r="C1121" s="19" t="s">
        <v>40</v>
      </c>
      <c r="F1121" s="34" t="s">
        <v>0</v>
      </c>
      <c r="G1121" s="62" t="s">
        <v>41</v>
      </c>
      <c r="H1121" s="61">
        <v>18023</v>
      </c>
      <c r="N1121" s="67" t="s">
        <v>42</v>
      </c>
    </row>
    <row r="1122" spans="2:14" ht="17" x14ac:dyDescent="0.2">
      <c r="B1122" s="147" t="s">
        <v>143</v>
      </c>
      <c r="C1122" s="19" t="s">
        <v>40</v>
      </c>
      <c r="F1122" s="34" t="s">
        <v>0</v>
      </c>
      <c r="G1122" s="62" t="s">
        <v>41</v>
      </c>
      <c r="H1122" s="61">
        <v>18023</v>
      </c>
      <c r="N1122" s="67" t="s">
        <v>42</v>
      </c>
    </row>
    <row r="1123" spans="2:14" ht="23" x14ac:dyDescent="0.3">
      <c r="B1123" s="148" t="s">
        <v>144</v>
      </c>
      <c r="C1123" s="19"/>
      <c r="N1123" s="67" t="s">
        <v>45</v>
      </c>
    </row>
    <row r="1124" spans="2:14" ht="17" x14ac:dyDescent="0.2">
      <c r="B1124" s="147" t="s">
        <v>145</v>
      </c>
      <c r="C1124" s="19" t="s">
        <v>40</v>
      </c>
      <c r="F1124" s="34" t="s">
        <v>0</v>
      </c>
      <c r="G1124" s="62" t="s">
        <v>41</v>
      </c>
      <c r="H1124" s="61">
        <v>18023</v>
      </c>
      <c r="N1124" s="67" t="s">
        <v>42</v>
      </c>
    </row>
    <row r="1125" spans="2:14" ht="17" x14ac:dyDescent="0.2">
      <c r="B1125" s="147" t="s">
        <v>146</v>
      </c>
      <c r="C1125" s="19" t="s">
        <v>40</v>
      </c>
      <c r="F1125" s="34" t="s">
        <v>0</v>
      </c>
      <c r="G1125" s="62" t="s">
        <v>41</v>
      </c>
      <c r="H1125" s="61">
        <v>18023</v>
      </c>
      <c r="N1125" s="67" t="s">
        <v>42</v>
      </c>
    </row>
    <row r="1126" spans="2:14" ht="17" x14ac:dyDescent="0.2">
      <c r="B1126" s="147" t="s">
        <v>147</v>
      </c>
      <c r="C1126" s="19" t="s">
        <v>40</v>
      </c>
      <c r="F1126" s="34" t="s">
        <v>0</v>
      </c>
      <c r="G1126" s="62" t="s">
        <v>41</v>
      </c>
      <c r="H1126" s="61">
        <v>18023</v>
      </c>
      <c r="N1126" s="67" t="s">
        <v>42</v>
      </c>
    </row>
    <row r="1127" spans="2:14" ht="17" x14ac:dyDescent="0.2">
      <c r="B1127" s="147" t="s">
        <v>148</v>
      </c>
      <c r="C1127" s="19" t="s">
        <v>40</v>
      </c>
      <c r="F1127" s="34" t="s">
        <v>0</v>
      </c>
      <c r="G1127" s="62" t="s">
        <v>41</v>
      </c>
      <c r="H1127" s="61">
        <v>18023</v>
      </c>
      <c r="N1127" s="67" t="s">
        <v>42</v>
      </c>
    </row>
    <row r="1128" spans="2:14" ht="17" x14ac:dyDescent="0.2">
      <c r="B1128" s="147" t="s">
        <v>149</v>
      </c>
      <c r="C1128" s="19" t="s">
        <v>40</v>
      </c>
      <c r="F1128" s="34" t="s">
        <v>0</v>
      </c>
      <c r="G1128" s="62" t="s">
        <v>41</v>
      </c>
      <c r="H1128" s="61">
        <v>18023</v>
      </c>
      <c r="N1128" s="67" t="s">
        <v>42</v>
      </c>
    </row>
    <row r="1129" spans="2:14" ht="20" x14ac:dyDescent="0.25">
      <c r="B1129" s="149" t="s">
        <v>150</v>
      </c>
      <c r="C1129" s="19"/>
      <c r="N1129" s="67" t="s">
        <v>45</v>
      </c>
    </row>
    <row r="1130" spans="2:14" ht="17" x14ac:dyDescent="0.2">
      <c r="B1130" s="150" t="s">
        <v>151</v>
      </c>
      <c r="C1130" s="19"/>
      <c r="N1130" s="67" t="s">
        <v>45</v>
      </c>
    </row>
    <row r="1131" spans="2:14" ht="17" x14ac:dyDescent="0.2">
      <c r="B1131" s="151" t="s">
        <v>152</v>
      </c>
      <c r="C1131" s="19" t="s">
        <v>40</v>
      </c>
      <c r="F1131" s="34" t="s">
        <v>0</v>
      </c>
      <c r="G1131" s="62" t="s">
        <v>41</v>
      </c>
      <c r="H1131" s="61">
        <v>18023</v>
      </c>
      <c r="N1131" s="67" t="s">
        <v>42</v>
      </c>
    </row>
    <row r="1132" spans="2:14" ht="17" x14ac:dyDescent="0.2">
      <c r="B1132" s="151" t="s">
        <v>153</v>
      </c>
      <c r="C1132" s="19" t="s">
        <v>40</v>
      </c>
      <c r="F1132" s="34" t="s">
        <v>0</v>
      </c>
      <c r="G1132" s="62" t="s">
        <v>41</v>
      </c>
      <c r="H1132" s="61">
        <v>18023</v>
      </c>
      <c r="N1132" s="67" t="s">
        <v>42</v>
      </c>
    </row>
    <row r="1133" spans="2:14" ht="17" x14ac:dyDescent="0.2">
      <c r="B1133" s="152" t="s">
        <v>154</v>
      </c>
      <c r="C1133" s="19" t="s">
        <v>40</v>
      </c>
      <c r="F1133" s="34" t="s">
        <v>0</v>
      </c>
      <c r="G1133" s="62" t="s">
        <v>41</v>
      </c>
      <c r="H1133" s="61">
        <v>18023</v>
      </c>
      <c r="N1133" s="67" t="s">
        <v>42</v>
      </c>
    </row>
    <row r="1134" spans="2:14" ht="17" x14ac:dyDescent="0.2">
      <c r="B1134" s="143" t="s">
        <v>155</v>
      </c>
      <c r="C1134" s="19" t="s">
        <v>40</v>
      </c>
      <c r="F1134" s="34" t="s">
        <v>0</v>
      </c>
      <c r="G1134" s="62" t="s">
        <v>41</v>
      </c>
      <c r="H1134" s="61">
        <v>18023</v>
      </c>
      <c r="N1134" s="67" t="s">
        <v>42</v>
      </c>
    </row>
    <row r="1135" spans="2:14" ht="17" x14ac:dyDescent="0.2">
      <c r="B1135" s="153" t="s">
        <v>156</v>
      </c>
      <c r="N1135" s="67" t="s">
        <v>45</v>
      </c>
    </row>
    <row r="1136" spans="2:14" ht="17" x14ac:dyDescent="0.2">
      <c r="B1136" s="153" t="s">
        <v>157</v>
      </c>
      <c r="C1136" s="19"/>
      <c r="N1136" s="67" t="s">
        <v>45</v>
      </c>
    </row>
    <row r="1137" spans="2:14" ht="17" x14ac:dyDescent="0.2">
      <c r="B1137" s="154" t="s">
        <v>158</v>
      </c>
      <c r="C1137" s="19" t="s">
        <v>40</v>
      </c>
      <c r="F1137" s="34" t="s">
        <v>0</v>
      </c>
      <c r="G1137" s="62" t="s">
        <v>41</v>
      </c>
      <c r="H1137" s="61">
        <v>18023</v>
      </c>
      <c r="N1137" s="67" t="s">
        <v>42</v>
      </c>
    </row>
    <row r="1138" spans="2:14" ht="17" x14ac:dyDescent="0.2">
      <c r="B1138" s="155" t="s">
        <v>159</v>
      </c>
      <c r="C1138" s="19" t="s">
        <v>40</v>
      </c>
      <c r="F1138" s="34" t="s">
        <v>0</v>
      </c>
      <c r="G1138" s="62" t="s">
        <v>41</v>
      </c>
      <c r="H1138" s="61">
        <v>18023</v>
      </c>
      <c r="N1138" s="67" t="s">
        <v>42</v>
      </c>
    </row>
    <row r="1139" spans="2:14" ht="17" x14ac:dyDescent="0.2">
      <c r="B1139" s="151" t="s">
        <v>160</v>
      </c>
      <c r="C1139" s="19" t="s">
        <v>40</v>
      </c>
      <c r="F1139" s="34" t="s">
        <v>0</v>
      </c>
      <c r="G1139" s="62" t="s">
        <v>41</v>
      </c>
      <c r="H1139" s="61">
        <v>18023</v>
      </c>
      <c r="N1139" s="67" t="s">
        <v>42</v>
      </c>
    </row>
    <row r="1140" spans="2:14" ht="17" x14ac:dyDescent="0.2">
      <c r="B1140" s="153" t="s">
        <v>161</v>
      </c>
      <c r="C1140" s="19"/>
      <c r="N1140" s="67" t="s">
        <v>45</v>
      </c>
    </row>
    <row r="1141" spans="2:14" ht="17" x14ac:dyDescent="0.2">
      <c r="B1141" s="156" t="s">
        <v>165</v>
      </c>
      <c r="C1141" s="19"/>
      <c r="N1141" s="67" t="s">
        <v>45</v>
      </c>
    </row>
    <row r="1142" spans="2:14" ht="48" x14ac:dyDescent="0.2">
      <c r="B1142" s="151" t="s">
        <v>166</v>
      </c>
      <c r="C1142" s="19" t="s">
        <v>40</v>
      </c>
      <c r="F1142" s="34" t="s">
        <v>0</v>
      </c>
      <c r="G1142" s="62" t="s">
        <v>41</v>
      </c>
      <c r="H1142" s="61">
        <v>18023</v>
      </c>
      <c r="N1142" s="67" t="s">
        <v>42</v>
      </c>
    </row>
    <row r="1143" spans="2:14" ht="17" x14ac:dyDescent="0.2">
      <c r="B1143" s="138" t="s">
        <v>167</v>
      </c>
      <c r="C1143" s="19" t="s">
        <v>40</v>
      </c>
      <c r="F1143" s="34" t="s">
        <v>0</v>
      </c>
      <c r="G1143" s="62" t="s">
        <v>41</v>
      </c>
      <c r="H1143" s="61">
        <v>18023</v>
      </c>
      <c r="N1143" s="67" t="s">
        <v>42</v>
      </c>
    </row>
    <row r="1144" spans="2:14" ht="17" x14ac:dyDescent="0.2">
      <c r="B1144" s="157" t="s">
        <v>168</v>
      </c>
      <c r="N1144" s="67" t="s">
        <v>45</v>
      </c>
    </row>
    <row r="1145" spans="2:14" ht="51" x14ac:dyDescent="0.2">
      <c r="B1145" s="158" t="s">
        <v>169</v>
      </c>
      <c r="C1145" s="19" t="s">
        <v>40</v>
      </c>
      <c r="F1145" s="34" t="s">
        <v>0</v>
      </c>
      <c r="G1145" s="62" t="s">
        <v>41</v>
      </c>
      <c r="H1145" s="61">
        <v>18023</v>
      </c>
      <c r="N1145" s="67" t="s">
        <v>42</v>
      </c>
    </row>
    <row r="1146" spans="2:14" ht="17" x14ac:dyDescent="0.2">
      <c r="B1146" s="159" t="s">
        <v>170</v>
      </c>
      <c r="C1146" s="19" t="s">
        <v>40</v>
      </c>
      <c r="F1146" s="34" t="s">
        <v>0</v>
      </c>
      <c r="G1146" s="62" t="s">
        <v>41</v>
      </c>
      <c r="H1146" s="61">
        <v>18023</v>
      </c>
      <c r="N1146" s="67" t="s">
        <v>42</v>
      </c>
    </row>
    <row r="1147" spans="2:14" ht="17" x14ac:dyDescent="0.2">
      <c r="B1147" s="157" t="s">
        <v>171</v>
      </c>
      <c r="C1147" s="19"/>
      <c r="N1147" s="67" t="s">
        <v>45</v>
      </c>
    </row>
    <row r="1148" spans="2:14" ht="48" x14ac:dyDescent="0.2">
      <c r="B1148" s="144" t="s">
        <v>172</v>
      </c>
      <c r="C1148" s="19" t="s">
        <v>40</v>
      </c>
      <c r="F1148" s="34" t="s">
        <v>0</v>
      </c>
      <c r="G1148" s="62" t="s">
        <v>41</v>
      </c>
      <c r="H1148" s="61">
        <v>18023</v>
      </c>
      <c r="N1148" s="67" t="s">
        <v>42</v>
      </c>
    </row>
    <row r="1149" spans="2:14" ht="17" x14ac:dyDescent="0.2">
      <c r="B1149" s="160" t="s">
        <v>173</v>
      </c>
      <c r="C1149" s="19" t="s">
        <v>40</v>
      </c>
      <c r="F1149" s="34" t="s">
        <v>0</v>
      </c>
      <c r="G1149" s="62" t="s">
        <v>41</v>
      </c>
      <c r="H1149" s="61">
        <v>18023</v>
      </c>
      <c r="N1149" s="67" t="s">
        <v>42</v>
      </c>
    </row>
    <row r="1150" spans="2:14" ht="17" x14ac:dyDescent="0.2">
      <c r="B1150" s="161" t="s">
        <v>174</v>
      </c>
      <c r="N1150" s="67" t="s">
        <v>45</v>
      </c>
    </row>
    <row r="1151" spans="2:14" ht="51" x14ac:dyDescent="0.2">
      <c r="B1151" s="161" t="s">
        <v>175</v>
      </c>
      <c r="C1151" s="19"/>
      <c r="N1151" s="67" t="s">
        <v>45</v>
      </c>
    </row>
    <row r="1152" spans="2:14" ht="17" x14ac:dyDescent="0.2">
      <c r="B1152" s="131" t="s">
        <v>176</v>
      </c>
      <c r="C1152" s="19" t="s">
        <v>40</v>
      </c>
      <c r="F1152" s="34" t="s">
        <v>0</v>
      </c>
      <c r="G1152" s="62" t="s">
        <v>41</v>
      </c>
      <c r="H1152" s="61">
        <v>18023</v>
      </c>
      <c r="N1152" s="67" t="s">
        <v>42</v>
      </c>
    </row>
    <row r="1153" spans="2:14" ht="17" x14ac:dyDescent="0.2">
      <c r="B1153" s="160" t="s">
        <v>177</v>
      </c>
      <c r="C1153" s="19" t="s">
        <v>40</v>
      </c>
      <c r="F1153" s="34" t="s">
        <v>0</v>
      </c>
      <c r="G1153" s="62" t="s">
        <v>41</v>
      </c>
      <c r="H1153" s="61">
        <v>18023</v>
      </c>
      <c r="N1153" s="67" t="s">
        <v>42</v>
      </c>
    </row>
    <row r="1154" spans="2:14" ht="17" x14ac:dyDescent="0.2">
      <c r="B1154" s="131" t="s">
        <v>180</v>
      </c>
      <c r="C1154" s="19" t="s">
        <v>40</v>
      </c>
      <c r="F1154" s="34" t="s">
        <v>0</v>
      </c>
      <c r="G1154" s="62" t="s">
        <v>41</v>
      </c>
      <c r="H1154" s="61">
        <v>18023</v>
      </c>
      <c r="N1154" s="67" t="s">
        <v>42</v>
      </c>
    </row>
    <row r="1155" spans="2:14" ht="68" x14ac:dyDescent="0.2">
      <c r="B1155" s="131" t="s">
        <v>181</v>
      </c>
      <c r="C1155" s="19" t="s">
        <v>40</v>
      </c>
      <c r="F1155" s="34" t="s">
        <v>0</v>
      </c>
      <c r="G1155" s="62" t="s">
        <v>41</v>
      </c>
      <c r="H1155" s="61">
        <v>18023</v>
      </c>
      <c r="N1155" s="67" t="s">
        <v>42</v>
      </c>
    </row>
    <row r="1156" spans="2:14" ht="17" x14ac:dyDescent="0.2">
      <c r="B1156" s="160" t="s">
        <v>182</v>
      </c>
      <c r="C1156" s="19" t="s">
        <v>40</v>
      </c>
      <c r="F1156" s="34" t="s">
        <v>0</v>
      </c>
      <c r="G1156" s="62" t="s">
        <v>41</v>
      </c>
      <c r="H1156" s="61">
        <v>18023</v>
      </c>
      <c r="N1156" s="67" t="s">
        <v>42</v>
      </c>
    </row>
    <row r="1157" spans="2:14" ht="68" x14ac:dyDescent="0.2">
      <c r="B1157" s="160" t="s">
        <v>183</v>
      </c>
      <c r="C1157" s="19" t="s">
        <v>40</v>
      </c>
      <c r="F1157" s="34" t="s">
        <v>0</v>
      </c>
      <c r="G1157" s="62" t="s">
        <v>41</v>
      </c>
      <c r="H1157" s="61">
        <v>18023</v>
      </c>
      <c r="N1157" s="67" t="s">
        <v>42</v>
      </c>
    </row>
    <row r="1158" spans="2:14" ht="17" x14ac:dyDescent="0.2">
      <c r="B1158" s="162" t="s">
        <v>184</v>
      </c>
      <c r="C1158" s="19" t="s">
        <v>40</v>
      </c>
      <c r="F1158" s="34" t="s">
        <v>0</v>
      </c>
      <c r="G1158" s="62" t="s">
        <v>41</v>
      </c>
      <c r="H1158" s="61">
        <v>18023</v>
      </c>
      <c r="N1158" s="67" t="s">
        <v>42</v>
      </c>
    </row>
    <row r="1159" spans="2:14" ht="17" x14ac:dyDescent="0.2">
      <c r="B1159" s="162" t="s">
        <v>185</v>
      </c>
      <c r="C1159" s="19" t="s">
        <v>40</v>
      </c>
      <c r="F1159" s="34" t="s">
        <v>0</v>
      </c>
      <c r="G1159" s="62" t="s">
        <v>41</v>
      </c>
      <c r="H1159" s="61">
        <v>18023</v>
      </c>
      <c r="N1159" s="67" t="s">
        <v>42</v>
      </c>
    </row>
    <row r="1160" spans="2:14" ht="17" x14ac:dyDescent="0.2">
      <c r="N1160" s="67" t="s">
        <v>45</v>
      </c>
    </row>
    <row r="1161" spans="2:14" ht="17" x14ac:dyDescent="0.2">
      <c r="N1161" s="67" t="s">
        <v>45</v>
      </c>
    </row>
    <row r="1162" spans="2:14" ht="17" x14ac:dyDescent="0.2">
      <c r="N1162" s="67" t="s">
        <v>45</v>
      </c>
    </row>
    <row r="1163" spans="2:14" ht="25" x14ac:dyDescent="0.3">
      <c r="B1163" s="125" t="s">
        <v>390</v>
      </c>
      <c r="C1163" s="59"/>
      <c r="N1163" s="67" t="s">
        <v>45</v>
      </c>
    </row>
    <row r="1164" spans="2:14" ht="92.25" customHeight="1" x14ac:dyDescent="0.2">
      <c r="B1164" s="170" t="s">
        <v>391</v>
      </c>
      <c r="C1164" s="19"/>
      <c r="N1164" s="67" t="s">
        <v>45</v>
      </c>
    </row>
    <row r="1165" spans="2:14" ht="17" x14ac:dyDescent="0.2">
      <c r="B1165" s="163" t="s">
        <v>31</v>
      </c>
      <c r="C1165" s="19"/>
      <c r="N1165" s="67" t="s">
        <v>45</v>
      </c>
    </row>
    <row r="1166" spans="2:14" ht="17" x14ac:dyDescent="0.2">
      <c r="B1166" s="127" t="s">
        <v>328</v>
      </c>
      <c r="N1166" s="67" t="s">
        <v>45</v>
      </c>
    </row>
    <row r="1167" spans="2:14" ht="17" x14ac:dyDescent="0.2">
      <c r="B1167" s="128" t="s">
        <v>33</v>
      </c>
      <c r="N1167" s="67" t="s">
        <v>45</v>
      </c>
    </row>
    <row r="1168" spans="2:14" ht="17" x14ac:dyDescent="0.2">
      <c r="B1168" s="127" t="s">
        <v>34</v>
      </c>
      <c r="C1168" s="19"/>
      <c r="N1168" s="67" t="s">
        <v>45</v>
      </c>
    </row>
    <row r="1169" spans="2:14" ht="34" x14ac:dyDescent="0.2">
      <c r="B1169" s="163" t="s">
        <v>392</v>
      </c>
      <c r="C1169" s="19"/>
      <c r="N1169" s="67" t="s">
        <v>45</v>
      </c>
    </row>
    <row r="1170" spans="2:14" ht="17" x14ac:dyDescent="0.2">
      <c r="B1170" s="129" t="s">
        <v>36</v>
      </c>
      <c r="C1170" s="19"/>
      <c r="N1170" s="67" t="s">
        <v>45</v>
      </c>
    </row>
    <row r="1171" spans="2:14" ht="17" x14ac:dyDescent="0.2">
      <c r="B1171" s="129" t="s">
        <v>37</v>
      </c>
      <c r="C1171" s="19"/>
      <c r="N1171" s="67" t="s">
        <v>45</v>
      </c>
    </row>
    <row r="1172" spans="2:14" ht="17" x14ac:dyDescent="0.2">
      <c r="B1172" s="128" t="s">
        <v>38</v>
      </c>
      <c r="C1172" s="19"/>
      <c r="N1172" s="67" t="s">
        <v>45</v>
      </c>
    </row>
    <row r="1173" spans="2:14" ht="51" customHeight="1" x14ac:dyDescent="0.2">
      <c r="B1173" s="164" t="s">
        <v>340</v>
      </c>
      <c r="C1173" s="19" t="s">
        <v>40</v>
      </c>
      <c r="J1173" s="34" t="s">
        <v>0</v>
      </c>
      <c r="L1173" s="62" t="s">
        <v>41</v>
      </c>
      <c r="M1173" s="34">
        <v>25270</v>
      </c>
      <c r="N1173" s="67" t="s">
        <v>42</v>
      </c>
    </row>
    <row r="1174" spans="2:14" ht="32" x14ac:dyDescent="0.2">
      <c r="B1174" s="164" t="s">
        <v>198</v>
      </c>
      <c r="C1174" s="19" t="s">
        <v>40</v>
      </c>
      <c r="J1174" s="34" t="s">
        <v>0</v>
      </c>
      <c r="L1174" s="62" t="s">
        <v>41</v>
      </c>
      <c r="M1174" s="34">
        <v>25270</v>
      </c>
      <c r="N1174" s="67" t="s">
        <v>42</v>
      </c>
    </row>
    <row r="1175" spans="2:14" ht="17" x14ac:dyDescent="0.2">
      <c r="B1175" s="128" t="s">
        <v>44</v>
      </c>
      <c r="C1175" s="19"/>
      <c r="N1175" s="67" t="s">
        <v>45</v>
      </c>
    </row>
    <row r="1176" spans="2:14" ht="17" x14ac:dyDescent="0.2">
      <c r="B1176" s="164" t="s">
        <v>46</v>
      </c>
      <c r="C1176" s="19" t="s">
        <v>40</v>
      </c>
      <c r="J1176" s="34" t="s">
        <v>0</v>
      </c>
      <c r="L1176" s="62" t="s">
        <v>41</v>
      </c>
      <c r="M1176" s="34">
        <v>25270</v>
      </c>
      <c r="N1176" s="67" t="s">
        <v>42</v>
      </c>
    </row>
    <row r="1177" spans="2:14" ht="17" x14ac:dyDescent="0.2">
      <c r="B1177" s="128" t="s">
        <v>47</v>
      </c>
      <c r="N1177" s="67" t="s">
        <v>45</v>
      </c>
    </row>
    <row r="1178" spans="2:14" ht="17" x14ac:dyDescent="0.2">
      <c r="B1178" s="131" t="s">
        <v>48</v>
      </c>
      <c r="C1178" s="19" t="s">
        <v>40</v>
      </c>
      <c r="J1178" s="34" t="s">
        <v>0</v>
      </c>
      <c r="L1178" s="62" t="s">
        <v>41</v>
      </c>
      <c r="M1178" s="34">
        <v>25270</v>
      </c>
      <c r="N1178" s="67" t="s">
        <v>42</v>
      </c>
    </row>
    <row r="1179" spans="2:14" ht="17" x14ac:dyDescent="0.2">
      <c r="B1179" s="131" t="s">
        <v>49</v>
      </c>
      <c r="C1179" s="19" t="s">
        <v>40</v>
      </c>
      <c r="J1179" s="34" t="s">
        <v>0</v>
      </c>
      <c r="L1179" s="62" t="s">
        <v>41</v>
      </c>
      <c r="M1179" s="34">
        <v>25270</v>
      </c>
      <c r="N1179" s="67" t="s">
        <v>42</v>
      </c>
    </row>
    <row r="1180" spans="2:14" ht="34" x14ac:dyDescent="0.2">
      <c r="B1180" s="131" t="s">
        <v>50</v>
      </c>
      <c r="C1180" s="19" t="s">
        <v>40</v>
      </c>
      <c r="J1180" s="34" t="s">
        <v>0</v>
      </c>
      <c r="L1180" s="62" t="s">
        <v>41</v>
      </c>
      <c r="M1180" s="34">
        <v>25270</v>
      </c>
      <c r="N1180" s="67" t="s">
        <v>42</v>
      </c>
    </row>
    <row r="1181" spans="2:14" ht="17" x14ac:dyDescent="0.2">
      <c r="B1181" s="128" t="s">
        <v>51</v>
      </c>
      <c r="C1181" s="19"/>
      <c r="N1181" s="67" t="s">
        <v>45</v>
      </c>
    </row>
    <row r="1182" spans="2:14" ht="35.25" customHeight="1" x14ac:dyDescent="0.2">
      <c r="B1182" s="165" t="s">
        <v>52</v>
      </c>
      <c r="C1182" s="19" t="s">
        <v>40</v>
      </c>
      <c r="J1182" s="34" t="s">
        <v>0</v>
      </c>
      <c r="L1182" s="62" t="s">
        <v>41</v>
      </c>
      <c r="M1182" s="34">
        <v>25270</v>
      </c>
      <c r="N1182" s="67" t="s">
        <v>42</v>
      </c>
    </row>
    <row r="1183" spans="2:14" ht="17" x14ac:dyDescent="0.2">
      <c r="B1183" s="132" t="s">
        <v>53</v>
      </c>
      <c r="C1183" s="19"/>
      <c r="N1183" s="67" t="s">
        <v>45</v>
      </c>
    </row>
    <row r="1184" spans="2:14" ht="51" x14ac:dyDescent="0.2">
      <c r="B1184" s="133" t="s">
        <v>54</v>
      </c>
      <c r="C1184" s="19" t="s">
        <v>40</v>
      </c>
      <c r="J1184" s="34" t="s">
        <v>0</v>
      </c>
      <c r="L1184" s="62" t="s">
        <v>41</v>
      </c>
      <c r="M1184" s="34">
        <v>25270</v>
      </c>
      <c r="N1184" s="67" t="s">
        <v>42</v>
      </c>
    </row>
    <row r="1185" spans="2:14" ht="17" x14ac:dyDescent="0.2">
      <c r="B1185" s="128" t="s">
        <v>55</v>
      </c>
      <c r="C1185" s="19"/>
      <c r="N1185" s="67" t="s">
        <v>45</v>
      </c>
    </row>
    <row r="1186" spans="2:14" ht="51" x14ac:dyDescent="0.2">
      <c r="B1186" s="134" t="s">
        <v>56</v>
      </c>
      <c r="C1186" s="19" t="s">
        <v>57</v>
      </c>
      <c r="J1186" s="34" t="s">
        <v>0</v>
      </c>
      <c r="L1186" s="62" t="s">
        <v>41</v>
      </c>
      <c r="M1186" s="34">
        <v>25270</v>
      </c>
      <c r="N1186" s="67" t="s">
        <v>42</v>
      </c>
    </row>
    <row r="1187" spans="2:14" ht="40" x14ac:dyDescent="0.2">
      <c r="B1187" s="285" t="s">
        <v>393</v>
      </c>
      <c r="N1187" s="67" t="s">
        <v>45</v>
      </c>
    </row>
    <row r="1188" spans="2:14" ht="17" x14ac:dyDescent="0.2">
      <c r="B1188" s="132" t="s">
        <v>60</v>
      </c>
      <c r="C1188" s="19"/>
      <c r="N1188" s="67" t="s">
        <v>45</v>
      </c>
    </row>
    <row r="1189" spans="2:14" ht="17" x14ac:dyDescent="0.2">
      <c r="B1189" s="135" t="s">
        <v>61</v>
      </c>
      <c r="C1189" s="19" t="s">
        <v>40</v>
      </c>
      <c r="J1189" s="34" t="s">
        <v>0</v>
      </c>
      <c r="L1189" s="62" t="s">
        <v>41</v>
      </c>
      <c r="M1189" s="34">
        <v>25270</v>
      </c>
      <c r="N1189" s="67" t="s">
        <v>42</v>
      </c>
    </row>
    <row r="1190" spans="2:14" ht="17" x14ac:dyDescent="0.2">
      <c r="B1190" s="136" t="s">
        <v>62</v>
      </c>
      <c r="C1190" s="19" t="s">
        <v>40</v>
      </c>
      <c r="J1190" s="34" t="s">
        <v>0</v>
      </c>
      <c r="L1190" s="62" t="s">
        <v>41</v>
      </c>
      <c r="M1190" s="34">
        <v>25270</v>
      </c>
      <c r="N1190" s="67" t="s">
        <v>42</v>
      </c>
    </row>
    <row r="1191" spans="2:14" ht="96" x14ac:dyDescent="0.2">
      <c r="B1191" s="211" t="s">
        <v>63</v>
      </c>
      <c r="C1191" s="19" t="s">
        <v>40</v>
      </c>
      <c r="J1191" s="34" t="s">
        <v>0</v>
      </c>
      <c r="L1191" s="62" t="s">
        <v>41</v>
      </c>
      <c r="M1191" s="34">
        <v>25270</v>
      </c>
      <c r="N1191" s="67" t="s">
        <v>42</v>
      </c>
    </row>
    <row r="1192" spans="2:14" ht="17" x14ac:dyDescent="0.2">
      <c r="B1192" s="136" t="s">
        <v>64</v>
      </c>
      <c r="C1192" s="19" t="s">
        <v>40</v>
      </c>
      <c r="J1192" s="34" t="s">
        <v>0</v>
      </c>
      <c r="L1192" s="62" t="s">
        <v>41</v>
      </c>
      <c r="M1192" s="34">
        <v>25270</v>
      </c>
      <c r="N1192" s="67" t="s">
        <v>42</v>
      </c>
    </row>
    <row r="1193" spans="2:14" ht="17" x14ac:dyDescent="0.2">
      <c r="B1193" s="128" t="s">
        <v>65</v>
      </c>
      <c r="N1193" s="67" t="s">
        <v>45</v>
      </c>
    </row>
    <row r="1194" spans="2:14" ht="17" x14ac:dyDescent="0.2">
      <c r="B1194" s="174" t="s">
        <v>66</v>
      </c>
      <c r="C1194" s="19" t="s">
        <v>40</v>
      </c>
      <c r="J1194" s="34" t="s">
        <v>0</v>
      </c>
      <c r="L1194" s="62" t="s">
        <v>41</v>
      </c>
      <c r="M1194" s="34">
        <v>25270</v>
      </c>
      <c r="N1194" s="67" t="s">
        <v>42</v>
      </c>
    </row>
    <row r="1195" spans="2:14" ht="17" x14ac:dyDescent="0.2">
      <c r="B1195" s="166" t="s">
        <v>67</v>
      </c>
      <c r="C1195" s="19" t="s">
        <v>40</v>
      </c>
      <c r="J1195" s="34" t="s">
        <v>0</v>
      </c>
      <c r="L1195" s="62" t="s">
        <v>41</v>
      </c>
      <c r="M1195" s="34">
        <v>25270</v>
      </c>
      <c r="N1195" s="67" t="s">
        <v>42</v>
      </c>
    </row>
    <row r="1196" spans="2:14" ht="17" x14ac:dyDescent="0.2">
      <c r="B1196" s="166" t="s">
        <v>68</v>
      </c>
      <c r="C1196" s="19" t="s">
        <v>40</v>
      </c>
      <c r="J1196" s="34" t="s">
        <v>0</v>
      </c>
      <c r="L1196" s="62" t="s">
        <v>41</v>
      </c>
      <c r="M1196" s="34">
        <v>25270</v>
      </c>
      <c r="N1196" s="67" t="s">
        <v>42</v>
      </c>
    </row>
    <row r="1197" spans="2:14" ht="17" x14ac:dyDescent="0.2">
      <c r="B1197" s="166" t="s">
        <v>354</v>
      </c>
      <c r="C1197" s="19" t="s">
        <v>40</v>
      </c>
      <c r="J1197" s="34" t="s">
        <v>0</v>
      </c>
      <c r="L1197" s="62" t="s">
        <v>41</v>
      </c>
      <c r="M1197" s="34">
        <v>25270</v>
      </c>
      <c r="N1197" s="67" t="s">
        <v>42</v>
      </c>
    </row>
    <row r="1198" spans="2:14" ht="17" x14ac:dyDescent="0.2">
      <c r="B1198" s="166" t="s">
        <v>394</v>
      </c>
      <c r="C1198" s="19" t="s">
        <v>40</v>
      </c>
      <c r="J1198" s="34" t="s">
        <v>0</v>
      </c>
      <c r="L1198" s="62" t="s">
        <v>41</v>
      </c>
      <c r="M1198" s="34">
        <v>25270</v>
      </c>
      <c r="N1198" s="67" t="s">
        <v>42</v>
      </c>
    </row>
    <row r="1199" spans="2:14" ht="17" x14ac:dyDescent="0.2">
      <c r="B1199" s="166" t="s">
        <v>395</v>
      </c>
      <c r="C1199" s="19" t="s">
        <v>40</v>
      </c>
      <c r="J1199" s="34" t="s">
        <v>0</v>
      </c>
      <c r="L1199" s="62" t="s">
        <v>41</v>
      </c>
      <c r="M1199" s="34">
        <v>25270</v>
      </c>
      <c r="N1199" s="67" t="s">
        <v>42</v>
      </c>
    </row>
    <row r="1200" spans="2:14" ht="17" x14ac:dyDescent="0.2">
      <c r="B1200" s="139" t="s">
        <v>72</v>
      </c>
      <c r="C1200" s="19" t="s">
        <v>40</v>
      </c>
      <c r="J1200" s="34" t="s">
        <v>0</v>
      </c>
      <c r="L1200" s="62" t="s">
        <v>41</v>
      </c>
      <c r="M1200" s="34">
        <v>25270</v>
      </c>
      <c r="N1200" s="67" t="s">
        <v>42</v>
      </c>
    </row>
    <row r="1201" spans="2:14" ht="17" x14ac:dyDescent="0.2">
      <c r="B1201" s="174" t="s">
        <v>73</v>
      </c>
      <c r="C1201" s="19" t="s">
        <v>40</v>
      </c>
      <c r="J1201" s="34" t="s">
        <v>0</v>
      </c>
      <c r="L1201" s="62" t="s">
        <v>41</v>
      </c>
      <c r="M1201" s="34">
        <v>25270</v>
      </c>
      <c r="N1201" s="67" t="s">
        <v>42</v>
      </c>
    </row>
    <row r="1202" spans="2:14" ht="17" x14ac:dyDescent="0.2">
      <c r="B1202" s="139" t="s">
        <v>74</v>
      </c>
      <c r="C1202" s="19" t="s">
        <v>40</v>
      </c>
      <c r="J1202" s="34" t="s">
        <v>0</v>
      </c>
      <c r="L1202" s="62" t="s">
        <v>41</v>
      </c>
      <c r="M1202" s="34">
        <v>25270</v>
      </c>
      <c r="N1202" s="67" t="s">
        <v>42</v>
      </c>
    </row>
    <row r="1203" spans="2:14" ht="17" x14ac:dyDescent="0.2">
      <c r="B1203" s="139" t="s">
        <v>75</v>
      </c>
      <c r="C1203" s="19" t="s">
        <v>40</v>
      </c>
      <c r="J1203" s="34" t="s">
        <v>0</v>
      </c>
      <c r="L1203" s="62" t="s">
        <v>41</v>
      </c>
      <c r="M1203" s="34">
        <v>25270</v>
      </c>
      <c r="N1203" s="67" t="s">
        <v>42</v>
      </c>
    </row>
    <row r="1204" spans="2:14" ht="17" x14ac:dyDescent="0.2">
      <c r="B1204" s="138" t="s">
        <v>76</v>
      </c>
      <c r="C1204" s="19" t="s">
        <v>40</v>
      </c>
      <c r="J1204" s="34" t="s">
        <v>0</v>
      </c>
      <c r="L1204" s="62" t="s">
        <v>41</v>
      </c>
      <c r="M1204" s="34">
        <v>25132</v>
      </c>
      <c r="N1204" s="67" t="s">
        <v>42</v>
      </c>
    </row>
    <row r="1205" spans="2:14" ht="68" x14ac:dyDescent="0.2">
      <c r="B1205" s="166" t="s">
        <v>204</v>
      </c>
      <c r="C1205" s="19" t="s">
        <v>40</v>
      </c>
      <c r="J1205" s="34" t="s">
        <v>0</v>
      </c>
      <c r="L1205" s="62" t="s">
        <v>41</v>
      </c>
      <c r="M1205" s="34">
        <v>25270</v>
      </c>
      <c r="N1205" s="67" t="s">
        <v>42</v>
      </c>
    </row>
    <row r="1206" spans="2:14" ht="17" x14ac:dyDescent="0.2">
      <c r="B1206" s="166" t="s">
        <v>396</v>
      </c>
      <c r="C1206" s="19" t="s">
        <v>40</v>
      </c>
      <c r="J1206" s="34" t="s">
        <v>0</v>
      </c>
      <c r="L1206" s="62" t="s">
        <v>41</v>
      </c>
      <c r="M1206" s="34">
        <v>25270</v>
      </c>
      <c r="N1206" s="67" t="s">
        <v>42</v>
      </c>
    </row>
    <row r="1207" spans="2:14" ht="17" x14ac:dyDescent="0.2">
      <c r="B1207" s="166" t="s">
        <v>356</v>
      </c>
      <c r="C1207" s="19" t="s">
        <v>40</v>
      </c>
      <c r="J1207" s="34" t="s">
        <v>0</v>
      </c>
      <c r="L1207" s="62" t="s">
        <v>41</v>
      </c>
      <c r="M1207" s="34">
        <v>25270</v>
      </c>
      <c r="N1207" s="67" t="s">
        <v>42</v>
      </c>
    </row>
    <row r="1208" spans="2:14" ht="17" x14ac:dyDescent="0.2">
      <c r="B1208" s="166" t="s">
        <v>80</v>
      </c>
      <c r="C1208" s="19" t="s">
        <v>40</v>
      </c>
      <c r="J1208" s="34" t="s">
        <v>0</v>
      </c>
      <c r="L1208" s="62" t="s">
        <v>41</v>
      </c>
      <c r="M1208" s="34">
        <v>25270</v>
      </c>
      <c r="N1208" s="67" t="s">
        <v>42</v>
      </c>
    </row>
    <row r="1209" spans="2:14" ht="17" x14ac:dyDescent="0.2">
      <c r="B1209" s="138" t="s">
        <v>81</v>
      </c>
      <c r="C1209" s="19" t="s">
        <v>40</v>
      </c>
      <c r="J1209" s="34" t="s">
        <v>0</v>
      </c>
      <c r="L1209" s="62" t="s">
        <v>41</v>
      </c>
      <c r="M1209" s="34">
        <v>25270</v>
      </c>
      <c r="N1209" s="67" t="s">
        <v>42</v>
      </c>
    </row>
    <row r="1210" spans="2:14" ht="17" x14ac:dyDescent="0.2">
      <c r="B1210" s="138" t="s">
        <v>82</v>
      </c>
      <c r="C1210" s="19" t="s">
        <v>40</v>
      </c>
      <c r="J1210" s="34" t="s">
        <v>0</v>
      </c>
      <c r="L1210" s="62" t="s">
        <v>41</v>
      </c>
      <c r="M1210" s="34">
        <v>25270</v>
      </c>
      <c r="N1210" s="67" t="s">
        <v>42</v>
      </c>
    </row>
    <row r="1211" spans="2:14" ht="17" x14ac:dyDescent="0.2">
      <c r="B1211" s="138" t="s">
        <v>357</v>
      </c>
      <c r="C1211" s="19" t="s">
        <v>40</v>
      </c>
      <c r="J1211" s="34" t="s">
        <v>0</v>
      </c>
      <c r="L1211" s="62" t="s">
        <v>41</v>
      </c>
      <c r="M1211" s="34">
        <v>25270</v>
      </c>
      <c r="N1211" s="67" t="s">
        <v>42</v>
      </c>
    </row>
    <row r="1212" spans="2:14" ht="17" x14ac:dyDescent="0.2">
      <c r="B1212" s="138" t="s">
        <v>84</v>
      </c>
      <c r="C1212" s="19" t="s">
        <v>40</v>
      </c>
      <c r="J1212" s="34" t="s">
        <v>0</v>
      </c>
      <c r="L1212" s="62" t="s">
        <v>41</v>
      </c>
      <c r="M1212" s="34">
        <v>25270</v>
      </c>
      <c r="N1212" s="67" t="s">
        <v>42</v>
      </c>
    </row>
    <row r="1213" spans="2:14" ht="17" x14ac:dyDescent="0.2">
      <c r="B1213" s="139" t="s">
        <v>85</v>
      </c>
      <c r="C1213" s="19" t="s">
        <v>40</v>
      </c>
      <c r="J1213" s="34" t="s">
        <v>0</v>
      </c>
      <c r="L1213" s="62" t="s">
        <v>41</v>
      </c>
      <c r="M1213" s="34">
        <v>25270</v>
      </c>
      <c r="N1213" s="67" t="s">
        <v>42</v>
      </c>
    </row>
    <row r="1214" spans="2:14" ht="17" x14ac:dyDescent="0.2">
      <c r="B1214" s="140" t="s">
        <v>86</v>
      </c>
      <c r="N1214" s="67" t="s">
        <v>45</v>
      </c>
    </row>
    <row r="1215" spans="2:14" ht="17" x14ac:dyDescent="0.2">
      <c r="B1215" s="141" t="s">
        <v>87</v>
      </c>
      <c r="C1215" s="19" t="s">
        <v>40</v>
      </c>
      <c r="J1215" s="34" t="s">
        <v>0</v>
      </c>
      <c r="L1215" s="62" t="s">
        <v>41</v>
      </c>
      <c r="M1215" s="34">
        <v>25270</v>
      </c>
      <c r="N1215" s="67" t="s">
        <v>42</v>
      </c>
    </row>
    <row r="1216" spans="2:14" ht="32" x14ac:dyDescent="0.2">
      <c r="B1216" s="140" t="s">
        <v>88</v>
      </c>
      <c r="C1216" s="19"/>
      <c r="N1216" s="67" t="s">
        <v>45</v>
      </c>
    </row>
    <row r="1217" spans="2:14" ht="32" x14ac:dyDescent="0.2">
      <c r="B1217" s="250" t="s">
        <v>89</v>
      </c>
      <c r="C1217" s="19" t="s">
        <v>40</v>
      </c>
      <c r="J1217" s="34" t="s">
        <v>0</v>
      </c>
      <c r="L1217" s="62" t="s">
        <v>41</v>
      </c>
      <c r="M1217" s="34">
        <v>25270</v>
      </c>
      <c r="N1217" s="67" t="s">
        <v>42</v>
      </c>
    </row>
    <row r="1218" spans="2:14" ht="17" x14ac:dyDescent="0.2">
      <c r="B1218" s="140" t="s">
        <v>90</v>
      </c>
      <c r="C1218" s="19"/>
      <c r="N1218" s="67" t="s">
        <v>45</v>
      </c>
    </row>
    <row r="1219" spans="2:14" ht="32" x14ac:dyDescent="0.2">
      <c r="B1219" s="142" t="s">
        <v>91</v>
      </c>
      <c r="C1219" s="19" t="s">
        <v>40</v>
      </c>
      <c r="J1219" s="34" t="s">
        <v>92</v>
      </c>
      <c r="L1219" s="62" t="s">
        <v>41</v>
      </c>
      <c r="M1219" s="34">
        <v>25270</v>
      </c>
      <c r="N1219" s="67" t="s">
        <v>42</v>
      </c>
    </row>
    <row r="1220" spans="2:14" ht="17" x14ac:dyDescent="0.2">
      <c r="B1220" s="140" t="s">
        <v>93</v>
      </c>
      <c r="C1220" s="19"/>
      <c r="N1220" s="67" t="s">
        <v>45</v>
      </c>
    </row>
    <row r="1221" spans="2:14" ht="32" x14ac:dyDescent="0.2">
      <c r="B1221" s="142" t="s">
        <v>94</v>
      </c>
      <c r="C1221" s="19" t="s">
        <v>40</v>
      </c>
      <c r="J1221" s="34" t="s">
        <v>92</v>
      </c>
      <c r="L1221" s="62" t="s">
        <v>41</v>
      </c>
      <c r="M1221" s="34">
        <v>25270</v>
      </c>
      <c r="N1221" s="67" t="s">
        <v>42</v>
      </c>
    </row>
    <row r="1222" spans="2:14" ht="48" x14ac:dyDescent="0.2">
      <c r="B1222" s="143" t="s">
        <v>95</v>
      </c>
      <c r="C1222" s="19" t="s">
        <v>40</v>
      </c>
      <c r="J1222" s="34" t="s">
        <v>92</v>
      </c>
      <c r="L1222" s="62" t="s">
        <v>41</v>
      </c>
      <c r="M1222" s="34">
        <v>25270</v>
      </c>
      <c r="N1222" s="67" t="s">
        <v>42</v>
      </c>
    </row>
    <row r="1223" spans="2:14" ht="17" x14ac:dyDescent="0.2">
      <c r="B1223" s="144" t="s">
        <v>96</v>
      </c>
      <c r="C1223" s="19" t="s">
        <v>40</v>
      </c>
      <c r="J1223" s="34" t="s">
        <v>92</v>
      </c>
      <c r="L1223" s="62" t="s">
        <v>41</v>
      </c>
      <c r="M1223" s="34">
        <v>25270</v>
      </c>
      <c r="N1223" s="67" t="s">
        <v>42</v>
      </c>
    </row>
    <row r="1224" spans="2:14" ht="32" x14ac:dyDescent="0.2">
      <c r="B1224" s="143" t="s">
        <v>97</v>
      </c>
      <c r="C1224" s="19" t="s">
        <v>40</v>
      </c>
      <c r="J1224" s="34" t="s">
        <v>92</v>
      </c>
      <c r="L1224" s="62" t="s">
        <v>41</v>
      </c>
      <c r="M1224" s="34">
        <v>25270</v>
      </c>
      <c r="N1224" s="67" t="s">
        <v>42</v>
      </c>
    </row>
    <row r="1225" spans="2:14" ht="17" x14ac:dyDescent="0.2">
      <c r="B1225" s="142" t="s">
        <v>98</v>
      </c>
      <c r="C1225" s="19" t="s">
        <v>40</v>
      </c>
      <c r="J1225" s="34" t="s">
        <v>92</v>
      </c>
      <c r="L1225" s="62" t="s">
        <v>41</v>
      </c>
      <c r="M1225" s="34">
        <v>25270</v>
      </c>
      <c r="N1225" s="67" t="s">
        <v>42</v>
      </c>
    </row>
    <row r="1226" spans="2:14" ht="17" x14ac:dyDescent="0.2">
      <c r="B1226" s="144" t="s">
        <v>99</v>
      </c>
      <c r="C1226" s="19" t="s">
        <v>40</v>
      </c>
      <c r="J1226" s="34" t="s">
        <v>92</v>
      </c>
      <c r="L1226" s="62" t="s">
        <v>41</v>
      </c>
      <c r="M1226" s="34">
        <v>25270</v>
      </c>
      <c r="N1226" s="67" t="s">
        <v>42</v>
      </c>
    </row>
    <row r="1227" spans="2:14" ht="17" x14ac:dyDescent="0.2">
      <c r="B1227" s="143" t="s">
        <v>100</v>
      </c>
      <c r="C1227" s="19" t="s">
        <v>40</v>
      </c>
      <c r="J1227" s="34" t="s">
        <v>92</v>
      </c>
      <c r="L1227" s="62" t="s">
        <v>41</v>
      </c>
      <c r="M1227" s="34">
        <v>25270</v>
      </c>
      <c r="N1227" s="67" t="s">
        <v>42</v>
      </c>
    </row>
    <row r="1228" spans="2:14" ht="17" x14ac:dyDescent="0.2">
      <c r="B1228" s="140" t="s">
        <v>101</v>
      </c>
      <c r="C1228" s="19"/>
      <c r="N1228" s="67" t="s">
        <v>45</v>
      </c>
    </row>
    <row r="1229" spans="2:14" ht="17" x14ac:dyDescent="0.2">
      <c r="B1229" s="213" t="s">
        <v>87</v>
      </c>
      <c r="C1229" s="19" t="s">
        <v>40</v>
      </c>
      <c r="J1229" s="34" t="s">
        <v>0</v>
      </c>
      <c r="L1229" s="62" t="s">
        <v>41</v>
      </c>
      <c r="M1229" s="34">
        <v>25270</v>
      </c>
      <c r="N1229" s="67" t="s">
        <v>42</v>
      </c>
    </row>
    <row r="1230" spans="2:14" ht="32" x14ac:dyDescent="0.2">
      <c r="B1230" s="214" t="s">
        <v>207</v>
      </c>
      <c r="C1230" s="19" t="s">
        <v>40</v>
      </c>
      <c r="J1230" s="34" t="s">
        <v>0</v>
      </c>
      <c r="L1230" s="62" t="s">
        <v>41</v>
      </c>
      <c r="M1230" s="34">
        <v>25270</v>
      </c>
      <c r="N1230" s="67" t="s">
        <v>42</v>
      </c>
    </row>
    <row r="1231" spans="2:14" ht="48" x14ac:dyDescent="0.2">
      <c r="B1231" s="215" t="s">
        <v>208</v>
      </c>
      <c r="C1231" s="19" t="s">
        <v>40</v>
      </c>
      <c r="J1231" s="34" t="s">
        <v>0</v>
      </c>
      <c r="L1231" s="62" t="s">
        <v>41</v>
      </c>
      <c r="M1231" s="34">
        <v>25270</v>
      </c>
      <c r="N1231" s="67" t="s">
        <v>42</v>
      </c>
    </row>
    <row r="1232" spans="2:14" ht="17" x14ac:dyDescent="0.2">
      <c r="B1232" s="216" t="s">
        <v>96</v>
      </c>
      <c r="C1232" s="19" t="s">
        <v>40</v>
      </c>
      <c r="J1232" s="34" t="s">
        <v>0</v>
      </c>
      <c r="L1232" s="62" t="s">
        <v>41</v>
      </c>
      <c r="M1232" s="34">
        <v>25270</v>
      </c>
      <c r="N1232" s="67" t="s">
        <v>42</v>
      </c>
    </row>
    <row r="1233" spans="2:14" ht="32" x14ac:dyDescent="0.2">
      <c r="B1233" s="215" t="s">
        <v>209</v>
      </c>
      <c r="C1233" s="19" t="s">
        <v>40</v>
      </c>
      <c r="J1233" s="34" t="s">
        <v>0</v>
      </c>
      <c r="L1233" s="62" t="s">
        <v>41</v>
      </c>
      <c r="M1233" s="34">
        <v>25270</v>
      </c>
      <c r="N1233" s="67" t="s">
        <v>42</v>
      </c>
    </row>
    <row r="1234" spans="2:14" ht="32" x14ac:dyDescent="0.2">
      <c r="B1234" s="217" t="s">
        <v>210</v>
      </c>
      <c r="C1234" s="19" t="s">
        <v>40</v>
      </c>
      <c r="J1234" s="34" t="s">
        <v>0</v>
      </c>
      <c r="L1234" s="62" t="s">
        <v>41</v>
      </c>
      <c r="M1234" s="34">
        <v>25270</v>
      </c>
      <c r="N1234" s="67" t="s">
        <v>42</v>
      </c>
    </row>
    <row r="1235" spans="2:14" ht="17" x14ac:dyDescent="0.2">
      <c r="B1235" s="215" t="s">
        <v>99</v>
      </c>
      <c r="C1235" s="19" t="s">
        <v>40</v>
      </c>
      <c r="J1235" s="34" t="s">
        <v>0</v>
      </c>
      <c r="L1235" s="62" t="s">
        <v>41</v>
      </c>
      <c r="M1235" s="34">
        <v>25270</v>
      </c>
      <c r="N1235" s="67" t="s">
        <v>42</v>
      </c>
    </row>
    <row r="1236" spans="2:14" ht="17" x14ac:dyDescent="0.2">
      <c r="B1236" s="218" t="s">
        <v>397</v>
      </c>
      <c r="C1236" s="19" t="s">
        <v>40</v>
      </c>
      <c r="J1236" s="34" t="s">
        <v>0</v>
      </c>
      <c r="L1236" s="62" t="s">
        <v>41</v>
      </c>
      <c r="M1236" s="34">
        <v>25270</v>
      </c>
      <c r="N1236" s="67" t="s">
        <v>42</v>
      </c>
    </row>
    <row r="1237" spans="2:14" ht="17" x14ac:dyDescent="0.2">
      <c r="B1237" s="140" t="s">
        <v>101</v>
      </c>
      <c r="N1237" s="67" t="s">
        <v>45</v>
      </c>
    </row>
    <row r="1238" spans="2:14" ht="17" x14ac:dyDescent="0.2">
      <c r="B1238" s="141" t="s">
        <v>87</v>
      </c>
      <c r="C1238" s="19" t="s">
        <v>40</v>
      </c>
      <c r="J1238" s="34" t="s">
        <v>0</v>
      </c>
      <c r="L1238" s="62" t="s">
        <v>41</v>
      </c>
      <c r="M1238" s="34">
        <v>25270</v>
      </c>
      <c r="N1238" s="67" t="s">
        <v>42</v>
      </c>
    </row>
    <row r="1239" spans="2:14" ht="32" x14ac:dyDescent="0.2">
      <c r="B1239" s="250" t="s">
        <v>102</v>
      </c>
      <c r="C1239" s="19" t="s">
        <v>40</v>
      </c>
      <c r="J1239" s="34" t="s">
        <v>0</v>
      </c>
      <c r="L1239" s="62" t="s">
        <v>41</v>
      </c>
      <c r="M1239" s="34">
        <v>25270</v>
      </c>
      <c r="N1239" s="67" t="s">
        <v>42</v>
      </c>
    </row>
    <row r="1240" spans="2:14" ht="48" x14ac:dyDescent="0.2">
      <c r="B1240" s="143" t="s">
        <v>103</v>
      </c>
      <c r="C1240" s="19" t="s">
        <v>40</v>
      </c>
      <c r="J1240" s="34" t="s">
        <v>0</v>
      </c>
      <c r="L1240" s="62" t="s">
        <v>41</v>
      </c>
      <c r="M1240" s="34">
        <v>25270</v>
      </c>
      <c r="N1240" s="67" t="s">
        <v>42</v>
      </c>
    </row>
    <row r="1241" spans="2:14" ht="17" x14ac:dyDescent="0.2">
      <c r="B1241" s="144" t="s">
        <v>96</v>
      </c>
      <c r="C1241" s="19" t="s">
        <v>40</v>
      </c>
      <c r="J1241" s="34" t="s">
        <v>0</v>
      </c>
      <c r="L1241" s="62" t="s">
        <v>41</v>
      </c>
      <c r="M1241" s="34">
        <v>25270</v>
      </c>
      <c r="N1241" s="67" t="s">
        <v>42</v>
      </c>
    </row>
    <row r="1242" spans="2:14" ht="32" x14ac:dyDescent="0.2">
      <c r="B1242" s="143" t="s">
        <v>104</v>
      </c>
      <c r="C1242" s="19" t="s">
        <v>40</v>
      </c>
      <c r="J1242" s="34" t="s">
        <v>0</v>
      </c>
      <c r="L1242" s="62" t="s">
        <v>41</v>
      </c>
      <c r="M1242" s="34">
        <v>25270</v>
      </c>
      <c r="N1242" s="67" t="s">
        <v>42</v>
      </c>
    </row>
    <row r="1243" spans="2:14" ht="32" x14ac:dyDescent="0.2">
      <c r="B1243" s="142" t="s">
        <v>105</v>
      </c>
      <c r="C1243" s="19" t="s">
        <v>40</v>
      </c>
      <c r="J1243" s="34" t="s">
        <v>0</v>
      </c>
      <c r="L1243" s="62" t="s">
        <v>41</v>
      </c>
      <c r="M1243" s="34">
        <v>25270</v>
      </c>
      <c r="N1243" s="67" t="s">
        <v>42</v>
      </c>
    </row>
    <row r="1244" spans="2:14" ht="17" x14ac:dyDescent="0.2">
      <c r="B1244" s="144" t="s">
        <v>99</v>
      </c>
      <c r="C1244" s="19" t="s">
        <v>40</v>
      </c>
      <c r="J1244" s="34" t="s">
        <v>0</v>
      </c>
      <c r="L1244" s="62" t="s">
        <v>41</v>
      </c>
      <c r="M1244" s="34">
        <v>25270</v>
      </c>
      <c r="N1244" s="67" t="s">
        <v>42</v>
      </c>
    </row>
    <row r="1245" spans="2:14" ht="17" x14ac:dyDescent="0.2">
      <c r="B1245" s="143" t="s">
        <v>106</v>
      </c>
      <c r="C1245" s="19" t="s">
        <v>40</v>
      </c>
      <c r="J1245" s="34" t="s">
        <v>0</v>
      </c>
      <c r="L1245" s="62" t="s">
        <v>41</v>
      </c>
      <c r="M1245" s="34">
        <v>25270</v>
      </c>
      <c r="N1245" s="67" t="s">
        <v>42</v>
      </c>
    </row>
    <row r="1246" spans="2:14" ht="17" x14ac:dyDescent="0.2">
      <c r="B1246" s="140" t="s">
        <v>107</v>
      </c>
      <c r="N1246" s="67" t="s">
        <v>45</v>
      </c>
    </row>
    <row r="1247" spans="2:14" ht="17" x14ac:dyDescent="0.2">
      <c r="B1247" s="141" t="s">
        <v>87</v>
      </c>
      <c r="C1247" s="19" t="s">
        <v>40</v>
      </c>
      <c r="J1247" s="34" t="s">
        <v>0</v>
      </c>
      <c r="L1247" s="62" t="s">
        <v>41</v>
      </c>
      <c r="M1247" s="34">
        <v>25270</v>
      </c>
      <c r="N1247" s="67" t="s">
        <v>42</v>
      </c>
    </row>
    <row r="1248" spans="2:14" ht="32" x14ac:dyDescent="0.2">
      <c r="B1248" s="142" t="s">
        <v>102</v>
      </c>
      <c r="C1248" s="19" t="s">
        <v>40</v>
      </c>
      <c r="J1248" s="34" t="s">
        <v>0</v>
      </c>
      <c r="L1248" s="62" t="s">
        <v>41</v>
      </c>
      <c r="M1248" s="34">
        <v>25270</v>
      </c>
      <c r="N1248" s="67" t="s">
        <v>42</v>
      </c>
    </row>
    <row r="1249" spans="2:14" ht="48" x14ac:dyDescent="0.2">
      <c r="B1249" s="143" t="s">
        <v>108</v>
      </c>
      <c r="C1249" s="19" t="s">
        <v>40</v>
      </c>
      <c r="J1249" s="34" t="s">
        <v>0</v>
      </c>
      <c r="L1249" s="62" t="s">
        <v>41</v>
      </c>
      <c r="M1249" s="34">
        <v>25270</v>
      </c>
      <c r="N1249" s="67" t="s">
        <v>42</v>
      </c>
    </row>
    <row r="1250" spans="2:14" ht="17" x14ac:dyDescent="0.2">
      <c r="B1250" s="144" t="s">
        <v>96</v>
      </c>
      <c r="C1250" s="19" t="s">
        <v>40</v>
      </c>
      <c r="J1250" s="34" t="s">
        <v>0</v>
      </c>
      <c r="L1250" s="62" t="s">
        <v>41</v>
      </c>
      <c r="M1250" s="34">
        <v>25270</v>
      </c>
      <c r="N1250" s="67" t="s">
        <v>42</v>
      </c>
    </row>
    <row r="1251" spans="2:14" ht="32" x14ac:dyDescent="0.2">
      <c r="B1251" s="143" t="s">
        <v>109</v>
      </c>
      <c r="C1251" s="19" t="s">
        <v>40</v>
      </c>
      <c r="J1251" s="34" t="s">
        <v>0</v>
      </c>
      <c r="L1251" s="62" t="s">
        <v>41</v>
      </c>
      <c r="M1251" s="34">
        <v>25270</v>
      </c>
      <c r="N1251" s="67" t="s">
        <v>42</v>
      </c>
    </row>
    <row r="1252" spans="2:14" ht="32" x14ac:dyDescent="0.2">
      <c r="B1252" s="142" t="s">
        <v>110</v>
      </c>
      <c r="C1252" s="19" t="s">
        <v>40</v>
      </c>
      <c r="J1252" s="34" t="s">
        <v>0</v>
      </c>
      <c r="L1252" s="62" t="s">
        <v>41</v>
      </c>
      <c r="M1252" s="34">
        <v>25270</v>
      </c>
      <c r="N1252" s="67" t="s">
        <v>42</v>
      </c>
    </row>
    <row r="1253" spans="2:14" ht="17" x14ac:dyDescent="0.2">
      <c r="B1253" s="144" t="s">
        <v>99</v>
      </c>
      <c r="C1253" s="19" t="s">
        <v>40</v>
      </c>
      <c r="J1253" s="34" t="s">
        <v>0</v>
      </c>
      <c r="L1253" s="62" t="s">
        <v>41</v>
      </c>
      <c r="M1253" s="34">
        <v>25270</v>
      </c>
      <c r="N1253" s="67" t="s">
        <v>42</v>
      </c>
    </row>
    <row r="1254" spans="2:14" ht="17" x14ac:dyDescent="0.2">
      <c r="B1254" s="143" t="s">
        <v>111</v>
      </c>
      <c r="C1254" s="19" t="s">
        <v>40</v>
      </c>
      <c r="J1254" s="34" t="s">
        <v>0</v>
      </c>
      <c r="L1254" s="62" t="s">
        <v>41</v>
      </c>
      <c r="M1254" s="34">
        <v>25270</v>
      </c>
      <c r="N1254" s="67" t="s">
        <v>42</v>
      </c>
    </row>
    <row r="1255" spans="2:14" ht="17" x14ac:dyDescent="0.2">
      <c r="B1255" s="140" t="s">
        <v>112</v>
      </c>
      <c r="N1255" s="67" t="s">
        <v>45</v>
      </c>
    </row>
    <row r="1256" spans="2:14" ht="17" x14ac:dyDescent="0.2">
      <c r="B1256" s="141" t="s">
        <v>87</v>
      </c>
      <c r="C1256" s="19" t="s">
        <v>40</v>
      </c>
      <c r="J1256" s="34" t="s">
        <v>0</v>
      </c>
      <c r="L1256" s="62" t="s">
        <v>41</v>
      </c>
      <c r="M1256" s="34">
        <v>25270</v>
      </c>
      <c r="N1256" s="67" t="s">
        <v>42</v>
      </c>
    </row>
    <row r="1257" spans="2:14" ht="32" x14ac:dyDescent="0.2">
      <c r="B1257" s="142" t="s">
        <v>102</v>
      </c>
      <c r="C1257" s="19" t="s">
        <v>40</v>
      </c>
      <c r="J1257" s="34" t="s">
        <v>0</v>
      </c>
      <c r="L1257" s="62" t="s">
        <v>41</v>
      </c>
      <c r="M1257" s="34">
        <v>25270</v>
      </c>
      <c r="N1257" s="67" t="s">
        <v>42</v>
      </c>
    </row>
    <row r="1258" spans="2:14" ht="48" x14ac:dyDescent="0.2">
      <c r="B1258" s="143" t="s">
        <v>113</v>
      </c>
      <c r="C1258" s="19" t="s">
        <v>40</v>
      </c>
      <c r="J1258" s="34" t="s">
        <v>0</v>
      </c>
      <c r="L1258" s="62" t="s">
        <v>41</v>
      </c>
      <c r="M1258" s="34">
        <v>25270</v>
      </c>
      <c r="N1258" s="67" t="s">
        <v>42</v>
      </c>
    </row>
    <row r="1259" spans="2:14" ht="17" x14ac:dyDescent="0.2">
      <c r="B1259" s="144" t="s">
        <v>96</v>
      </c>
      <c r="C1259" s="19" t="s">
        <v>40</v>
      </c>
      <c r="J1259" s="34" t="s">
        <v>0</v>
      </c>
      <c r="L1259" s="62" t="s">
        <v>41</v>
      </c>
      <c r="M1259" s="34">
        <v>25270</v>
      </c>
      <c r="N1259" s="67" t="s">
        <v>42</v>
      </c>
    </row>
    <row r="1260" spans="2:14" ht="32" x14ac:dyDescent="0.2">
      <c r="B1260" s="143" t="s">
        <v>97</v>
      </c>
      <c r="C1260" s="19" t="s">
        <v>40</v>
      </c>
      <c r="J1260" s="34" t="s">
        <v>0</v>
      </c>
      <c r="L1260" s="62" t="s">
        <v>41</v>
      </c>
      <c r="M1260" s="34">
        <v>25270</v>
      </c>
      <c r="N1260" s="67" t="s">
        <v>42</v>
      </c>
    </row>
    <row r="1261" spans="2:14" ht="32" x14ac:dyDescent="0.2">
      <c r="B1261" s="142" t="s">
        <v>114</v>
      </c>
      <c r="C1261" s="19" t="s">
        <v>40</v>
      </c>
      <c r="J1261" s="34" t="s">
        <v>0</v>
      </c>
      <c r="L1261" s="62" t="s">
        <v>41</v>
      </c>
      <c r="M1261" s="34">
        <v>25270</v>
      </c>
      <c r="N1261" s="67" t="s">
        <v>42</v>
      </c>
    </row>
    <row r="1262" spans="2:14" ht="17" x14ac:dyDescent="0.2">
      <c r="B1262" s="144" t="s">
        <v>99</v>
      </c>
      <c r="C1262" s="19" t="s">
        <v>40</v>
      </c>
      <c r="J1262" s="34" t="s">
        <v>0</v>
      </c>
      <c r="L1262" s="62" t="s">
        <v>41</v>
      </c>
      <c r="M1262" s="34">
        <v>25270</v>
      </c>
      <c r="N1262" s="67" t="s">
        <v>42</v>
      </c>
    </row>
    <row r="1263" spans="2:14" ht="17" x14ac:dyDescent="0.2">
      <c r="B1263" s="143" t="s">
        <v>115</v>
      </c>
      <c r="C1263" s="19" t="s">
        <v>40</v>
      </c>
      <c r="J1263" s="34" t="s">
        <v>0</v>
      </c>
      <c r="L1263" s="62" t="s">
        <v>41</v>
      </c>
      <c r="M1263" s="34">
        <v>25270</v>
      </c>
      <c r="N1263" s="67" t="s">
        <v>42</v>
      </c>
    </row>
    <row r="1264" spans="2:14" ht="17" x14ac:dyDescent="0.2">
      <c r="B1264" s="251" t="s">
        <v>206</v>
      </c>
      <c r="C1264" s="252"/>
      <c r="N1264" s="67" t="s">
        <v>45</v>
      </c>
    </row>
    <row r="1265" spans="2:14" ht="17" x14ac:dyDescent="0.2">
      <c r="B1265" s="213" t="s">
        <v>87</v>
      </c>
      <c r="C1265" s="252" t="s">
        <v>40</v>
      </c>
      <c r="J1265" s="34" t="s">
        <v>0</v>
      </c>
      <c r="L1265" s="62" t="s">
        <v>41</v>
      </c>
      <c r="M1265" s="34">
        <v>25270</v>
      </c>
      <c r="N1265" s="67" t="s">
        <v>42</v>
      </c>
    </row>
    <row r="1266" spans="2:14" ht="32" x14ac:dyDescent="0.2">
      <c r="B1266" s="253" t="s">
        <v>102</v>
      </c>
      <c r="C1266" s="252" t="s">
        <v>40</v>
      </c>
      <c r="J1266" s="34" t="s">
        <v>0</v>
      </c>
      <c r="L1266" s="62" t="s">
        <v>41</v>
      </c>
      <c r="M1266" s="34">
        <v>25270</v>
      </c>
      <c r="N1266" s="67" t="s">
        <v>42</v>
      </c>
    </row>
    <row r="1267" spans="2:14" ht="48" x14ac:dyDescent="0.2">
      <c r="B1267" s="238" t="s">
        <v>280</v>
      </c>
      <c r="C1267" s="252" t="s">
        <v>40</v>
      </c>
      <c r="J1267" s="34" t="s">
        <v>0</v>
      </c>
      <c r="L1267" s="62" t="s">
        <v>41</v>
      </c>
      <c r="M1267" s="34">
        <v>25270</v>
      </c>
      <c r="N1267" s="67" t="s">
        <v>42</v>
      </c>
    </row>
    <row r="1268" spans="2:14" ht="17" x14ac:dyDescent="0.2">
      <c r="B1268" s="216" t="s">
        <v>96</v>
      </c>
      <c r="C1268" s="252" t="s">
        <v>40</v>
      </c>
      <c r="J1268" s="34" t="s">
        <v>0</v>
      </c>
      <c r="L1268" s="62" t="s">
        <v>41</v>
      </c>
      <c r="M1268" s="34">
        <v>25270</v>
      </c>
      <c r="N1268" s="67" t="s">
        <v>42</v>
      </c>
    </row>
    <row r="1269" spans="2:14" ht="32" x14ac:dyDescent="0.2">
      <c r="B1269" s="238" t="s">
        <v>281</v>
      </c>
      <c r="C1269" s="252" t="s">
        <v>40</v>
      </c>
      <c r="J1269" s="34" t="s">
        <v>0</v>
      </c>
      <c r="L1269" s="62" t="s">
        <v>41</v>
      </c>
      <c r="M1269" s="34">
        <v>25270</v>
      </c>
      <c r="N1269" s="67" t="s">
        <v>42</v>
      </c>
    </row>
    <row r="1270" spans="2:14" ht="32" x14ac:dyDescent="0.2">
      <c r="B1270" s="253" t="s">
        <v>282</v>
      </c>
      <c r="C1270" s="252" t="s">
        <v>40</v>
      </c>
      <c r="J1270" s="34" t="s">
        <v>0</v>
      </c>
      <c r="L1270" s="62" t="s">
        <v>41</v>
      </c>
      <c r="M1270" s="34">
        <v>25270</v>
      </c>
      <c r="N1270" s="67" t="s">
        <v>42</v>
      </c>
    </row>
    <row r="1271" spans="2:14" ht="17" x14ac:dyDescent="0.2">
      <c r="B1271" s="215" t="s">
        <v>99</v>
      </c>
      <c r="C1271" s="252" t="s">
        <v>40</v>
      </c>
      <c r="J1271" s="34" t="s">
        <v>0</v>
      </c>
      <c r="L1271" s="62" t="s">
        <v>41</v>
      </c>
      <c r="M1271" s="34">
        <v>25270</v>
      </c>
      <c r="N1271" s="67" t="s">
        <v>42</v>
      </c>
    </row>
    <row r="1272" spans="2:14" ht="32" x14ac:dyDescent="0.2">
      <c r="B1272" s="238" t="s">
        <v>358</v>
      </c>
      <c r="C1272" s="252" t="s">
        <v>40</v>
      </c>
      <c r="J1272" s="34" t="s">
        <v>0</v>
      </c>
      <c r="L1272" s="62" t="s">
        <v>41</v>
      </c>
      <c r="M1272" s="34">
        <v>25270</v>
      </c>
      <c r="N1272" s="67" t="s">
        <v>42</v>
      </c>
    </row>
    <row r="1273" spans="2:14" ht="17" x14ac:dyDescent="0.2">
      <c r="B1273" s="251" t="s">
        <v>279</v>
      </c>
      <c r="C1273" s="252"/>
      <c r="N1273" s="67" t="s">
        <v>45</v>
      </c>
    </row>
    <row r="1274" spans="2:14" ht="17" x14ac:dyDescent="0.2">
      <c r="B1274" s="213" t="s">
        <v>87</v>
      </c>
      <c r="C1274" s="252" t="s">
        <v>40</v>
      </c>
      <c r="J1274" s="34" t="s">
        <v>0</v>
      </c>
      <c r="L1274" s="62" t="s">
        <v>41</v>
      </c>
      <c r="M1274" s="34">
        <v>25270</v>
      </c>
      <c r="N1274" s="67" t="s">
        <v>42</v>
      </c>
    </row>
    <row r="1275" spans="2:14" ht="32" x14ac:dyDescent="0.2">
      <c r="B1275" s="253" t="s">
        <v>102</v>
      </c>
      <c r="C1275" s="252" t="s">
        <v>40</v>
      </c>
      <c r="J1275" s="34" t="s">
        <v>0</v>
      </c>
      <c r="L1275" s="62" t="s">
        <v>41</v>
      </c>
      <c r="M1275" s="34">
        <v>25270</v>
      </c>
      <c r="N1275" s="67" t="s">
        <v>42</v>
      </c>
    </row>
    <row r="1276" spans="2:14" ht="48" x14ac:dyDescent="0.2">
      <c r="B1276" s="238" t="s">
        <v>323</v>
      </c>
      <c r="C1276" s="252" t="s">
        <v>40</v>
      </c>
      <c r="J1276" s="34" t="s">
        <v>0</v>
      </c>
      <c r="L1276" s="62" t="s">
        <v>41</v>
      </c>
      <c r="M1276" s="34">
        <v>25270</v>
      </c>
      <c r="N1276" s="67" t="s">
        <v>42</v>
      </c>
    </row>
    <row r="1277" spans="2:14" ht="17" x14ac:dyDescent="0.2">
      <c r="B1277" s="216" t="s">
        <v>96</v>
      </c>
      <c r="C1277" s="252" t="s">
        <v>40</v>
      </c>
      <c r="J1277" s="34" t="s">
        <v>0</v>
      </c>
      <c r="L1277" s="62" t="s">
        <v>41</v>
      </c>
      <c r="M1277" s="34">
        <v>25270</v>
      </c>
      <c r="N1277" s="67" t="s">
        <v>42</v>
      </c>
    </row>
    <row r="1278" spans="2:14" ht="32" x14ac:dyDescent="0.2">
      <c r="B1278" s="238" t="s">
        <v>97</v>
      </c>
      <c r="C1278" s="252" t="s">
        <v>40</v>
      </c>
      <c r="J1278" s="34" t="s">
        <v>0</v>
      </c>
      <c r="L1278" s="62" t="s">
        <v>41</v>
      </c>
      <c r="M1278" s="34">
        <v>25270</v>
      </c>
      <c r="N1278" s="67" t="s">
        <v>42</v>
      </c>
    </row>
    <row r="1279" spans="2:14" ht="32" x14ac:dyDescent="0.2">
      <c r="B1279" s="253" t="s">
        <v>324</v>
      </c>
      <c r="C1279" s="252" t="s">
        <v>40</v>
      </c>
      <c r="J1279" s="34" t="s">
        <v>0</v>
      </c>
      <c r="L1279" s="62" t="s">
        <v>41</v>
      </c>
      <c r="M1279" s="34">
        <v>25270</v>
      </c>
      <c r="N1279" s="67" t="s">
        <v>42</v>
      </c>
    </row>
    <row r="1280" spans="2:14" ht="17" x14ac:dyDescent="0.2">
      <c r="B1280" s="215" t="s">
        <v>99</v>
      </c>
      <c r="C1280" s="252" t="s">
        <v>40</v>
      </c>
      <c r="J1280" s="34" t="s">
        <v>0</v>
      </c>
      <c r="L1280" s="62" t="s">
        <v>41</v>
      </c>
      <c r="M1280" s="34">
        <v>25270</v>
      </c>
      <c r="N1280" s="67" t="s">
        <v>42</v>
      </c>
    </row>
    <row r="1281" spans="2:14" ht="32" x14ac:dyDescent="0.2">
      <c r="B1281" s="238" t="s">
        <v>359</v>
      </c>
      <c r="C1281" s="252" t="s">
        <v>40</v>
      </c>
      <c r="J1281" s="34" t="s">
        <v>0</v>
      </c>
      <c r="L1281" s="62" t="s">
        <v>41</v>
      </c>
      <c r="M1281" s="34">
        <v>25270</v>
      </c>
      <c r="N1281" s="67" t="s">
        <v>42</v>
      </c>
    </row>
    <row r="1282" spans="2:14" ht="34" x14ac:dyDescent="0.2">
      <c r="B1282" s="132" t="s">
        <v>116</v>
      </c>
      <c r="N1282" s="67" t="s">
        <v>45</v>
      </c>
    </row>
    <row r="1283" spans="2:14" ht="64" x14ac:dyDescent="0.2">
      <c r="B1283" s="143" t="s">
        <v>117</v>
      </c>
      <c r="C1283" s="19" t="s">
        <v>40</v>
      </c>
      <c r="J1283" s="34" t="s">
        <v>92</v>
      </c>
      <c r="L1283" s="62" t="s">
        <v>41</v>
      </c>
      <c r="M1283" s="34">
        <v>25270</v>
      </c>
      <c r="N1283" s="67" t="s">
        <v>42</v>
      </c>
    </row>
    <row r="1284" spans="2:14" ht="64" x14ac:dyDescent="0.2">
      <c r="B1284" s="143" t="s">
        <v>118</v>
      </c>
      <c r="C1284" s="19" t="s">
        <v>40</v>
      </c>
      <c r="J1284" s="34" t="s">
        <v>92</v>
      </c>
      <c r="L1284" s="62" t="s">
        <v>41</v>
      </c>
      <c r="M1284" s="34">
        <v>25270</v>
      </c>
      <c r="N1284" s="67" t="s">
        <v>42</v>
      </c>
    </row>
    <row r="1285" spans="2:14" ht="17" x14ac:dyDescent="0.2">
      <c r="B1285" s="143" t="s">
        <v>119</v>
      </c>
      <c r="C1285" s="19" t="s">
        <v>40</v>
      </c>
      <c r="J1285" s="34" t="s">
        <v>92</v>
      </c>
      <c r="L1285" s="62" t="s">
        <v>41</v>
      </c>
      <c r="M1285" s="34">
        <v>25270</v>
      </c>
      <c r="N1285" s="67" t="s">
        <v>42</v>
      </c>
    </row>
    <row r="1286" spans="2:14" ht="32" x14ac:dyDescent="0.2">
      <c r="B1286" s="143" t="s">
        <v>120</v>
      </c>
      <c r="C1286" s="19" t="s">
        <v>40</v>
      </c>
      <c r="J1286" s="34" t="s">
        <v>92</v>
      </c>
      <c r="L1286" s="62" t="s">
        <v>41</v>
      </c>
      <c r="M1286" s="34">
        <v>25270</v>
      </c>
      <c r="N1286" s="67" t="s">
        <v>42</v>
      </c>
    </row>
    <row r="1287" spans="2:14" ht="17" x14ac:dyDescent="0.2">
      <c r="B1287" s="128" t="s">
        <v>121</v>
      </c>
      <c r="C1287" s="19"/>
      <c r="N1287" s="67" t="s">
        <v>45</v>
      </c>
    </row>
    <row r="1288" spans="2:14" ht="17" x14ac:dyDescent="0.2">
      <c r="B1288" s="145" t="s">
        <v>122</v>
      </c>
      <c r="C1288" s="19" t="s">
        <v>40</v>
      </c>
      <c r="J1288" s="34" t="s">
        <v>0</v>
      </c>
      <c r="L1288" s="62" t="s">
        <v>41</v>
      </c>
      <c r="M1288" s="34">
        <v>25270</v>
      </c>
      <c r="N1288" s="67" t="s">
        <v>42</v>
      </c>
    </row>
    <row r="1289" spans="2:14" ht="17" x14ac:dyDescent="0.2">
      <c r="B1289" s="139" t="s">
        <v>123</v>
      </c>
      <c r="C1289" s="19" t="s">
        <v>40</v>
      </c>
      <c r="J1289" s="34" t="s">
        <v>0</v>
      </c>
      <c r="L1289" s="62" t="s">
        <v>41</v>
      </c>
      <c r="M1289" s="34">
        <v>25270</v>
      </c>
      <c r="N1289" s="67" t="s">
        <v>42</v>
      </c>
    </row>
    <row r="1290" spans="2:14" ht="34" x14ac:dyDescent="0.2">
      <c r="B1290" s="167" t="s">
        <v>398</v>
      </c>
      <c r="C1290" s="19" t="s">
        <v>40</v>
      </c>
      <c r="J1290" s="34" t="s">
        <v>0</v>
      </c>
      <c r="L1290" s="62" t="s">
        <v>41</v>
      </c>
      <c r="M1290" s="34">
        <v>25270</v>
      </c>
      <c r="N1290" s="67" t="s">
        <v>42</v>
      </c>
    </row>
    <row r="1291" spans="2:14" ht="17" x14ac:dyDescent="0.2">
      <c r="B1291" s="139" t="s">
        <v>125</v>
      </c>
      <c r="C1291" s="19" t="s">
        <v>40</v>
      </c>
      <c r="J1291" s="34" t="s">
        <v>0</v>
      </c>
      <c r="L1291" s="62" t="s">
        <v>41</v>
      </c>
      <c r="M1291" s="34">
        <v>25270</v>
      </c>
      <c r="N1291" s="67" t="s">
        <v>42</v>
      </c>
    </row>
    <row r="1292" spans="2:14" ht="17" x14ac:dyDescent="0.2">
      <c r="B1292" s="145" t="s">
        <v>126</v>
      </c>
      <c r="C1292" s="19" t="s">
        <v>40</v>
      </c>
      <c r="J1292" s="34" t="s">
        <v>0</v>
      </c>
      <c r="L1292" s="62" t="s">
        <v>41</v>
      </c>
      <c r="M1292" s="34">
        <v>25270</v>
      </c>
      <c r="N1292" s="67" t="s">
        <v>42</v>
      </c>
    </row>
    <row r="1293" spans="2:14" ht="17" x14ac:dyDescent="0.2">
      <c r="B1293" s="166" t="s">
        <v>361</v>
      </c>
      <c r="C1293" s="19" t="s">
        <v>40</v>
      </c>
      <c r="J1293" s="34" t="s">
        <v>0</v>
      </c>
      <c r="L1293" s="62" t="s">
        <v>41</v>
      </c>
      <c r="M1293" s="34">
        <v>25270</v>
      </c>
      <c r="N1293" s="67" t="s">
        <v>42</v>
      </c>
    </row>
    <row r="1294" spans="2:14" ht="17" x14ac:dyDescent="0.2">
      <c r="B1294" s="166" t="s">
        <v>362</v>
      </c>
      <c r="C1294" s="19" t="s">
        <v>40</v>
      </c>
      <c r="J1294" s="34" t="s">
        <v>0</v>
      </c>
      <c r="L1294" s="62" t="s">
        <v>41</v>
      </c>
      <c r="M1294" s="34">
        <v>25270</v>
      </c>
      <c r="N1294" s="67" t="s">
        <v>42</v>
      </c>
    </row>
    <row r="1295" spans="2:14" ht="17" x14ac:dyDescent="0.2">
      <c r="B1295" s="220" t="s">
        <v>399</v>
      </c>
      <c r="C1295" s="19" t="s">
        <v>40</v>
      </c>
      <c r="J1295" s="34" t="s">
        <v>0</v>
      </c>
      <c r="L1295" s="62" t="s">
        <v>41</v>
      </c>
      <c r="M1295" s="34">
        <v>25270</v>
      </c>
      <c r="N1295" s="67" t="s">
        <v>42</v>
      </c>
    </row>
    <row r="1296" spans="2:14" ht="17" x14ac:dyDescent="0.2">
      <c r="B1296" s="166" t="s">
        <v>400</v>
      </c>
      <c r="C1296" s="19" t="s">
        <v>40</v>
      </c>
      <c r="J1296" s="34" t="s">
        <v>0</v>
      </c>
      <c r="L1296" s="62" t="s">
        <v>41</v>
      </c>
      <c r="M1296" s="34">
        <v>25270</v>
      </c>
      <c r="N1296" s="67" t="s">
        <v>42</v>
      </c>
    </row>
    <row r="1297" spans="2:14" ht="17" x14ac:dyDescent="0.2">
      <c r="B1297" s="168" t="s">
        <v>131</v>
      </c>
      <c r="C1297" s="19" t="s">
        <v>40</v>
      </c>
      <c r="J1297" s="34" t="s">
        <v>0</v>
      </c>
      <c r="L1297" s="62" t="s">
        <v>41</v>
      </c>
      <c r="M1297" s="34">
        <v>25270</v>
      </c>
      <c r="N1297" s="67" t="s">
        <v>42</v>
      </c>
    </row>
    <row r="1298" spans="2:14" ht="17" x14ac:dyDescent="0.2">
      <c r="B1298" s="147" t="s">
        <v>132</v>
      </c>
      <c r="C1298" s="19" t="s">
        <v>40</v>
      </c>
      <c r="J1298" s="34" t="s">
        <v>0</v>
      </c>
      <c r="L1298" s="62" t="s">
        <v>41</v>
      </c>
      <c r="M1298" s="34">
        <v>25270</v>
      </c>
      <c r="N1298" s="67" t="s">
        <v>42</v>
      </c>
    </row>
    <row r="1299" spans="2:14" ht="17" x14ac:dyDescent="0.2">
      <c r="B1299" s="147" t="s">
        <v>133</v>
      </c>
      <c r="C1299" s="19" t="s">
        <v>40</v>
      </c>
      <c r="J1299" s="34" t="s">
        <v>0</v>
      </c>
      <c r="L1299" s="62" t="s">
        <v>41</v>
      </c>
      <c r="M1299" s="34">
        <v>25270</v>
      </c>
      <c r="N1299" s="67" t="s">
        <v>42</v>
      </c>
    </row>
    <row r="1300" spans="2:14" ht="17" x14ac:dyDescent="0.2">
      <c r="B1300" s="147" t="s">
        <v>134</v>
      </c>
      <c r="C1300" s="19" t="s">
        <v>40</v>
      </c>
      <c r="J1300" s="34" t="s">
        <v>0</v>
      </c>
      <c r="L1300" s="62" t="s">
        <v>41</v>
      </c>
      <c r="M1300" s="34">
        <v>25270</v>
      </c>
      <c r="N1300" s="67" t="s">
        <v>42</v>
      </c>
    </row>
    <row r="1301" spans="2:14" ht="17" x14ac:dyDescent="0.2">
      <c r="B1301" s="147" t="s">
        <v>135</v>
      </c>
      <c r="C1301" s="19" t="s">
        <v>40</v>
      </c>
      <c r="J1301" s="34" t="s">
        <v>0</v>
      </c>
      <c r="L1301" s="62" t="s">
        <v>41</v>
      </c>
      <c r="M1301" s="34">
        <v>25270</v>
      </c>
      <c r="N1301" s="67" t="s">
        <v>42</v>
      </c>
    </row>
    <row r="1302" spans="2:14" ht="17" x14ac:dyDescent="0.2">
      <c r="B1302" s="147" t="s">
        <v>136</v>
      </c>
      <c r="C1302" s="19" t="s">
        <v>40</v>
      </c>
      <c r="J1302" s="34" t="s">
        <v>0</v>
      </c>
      <c r="L1302" s="62" t="s">
        <v>41</v>
      </c>
      <c r="M1302" s="34">
        <v>25270</v>
      </c>
      <c r="N1302" s="67" t="s">
        <v>42</v>
      </c>
    </row>
    <row r="1303" spans="2:14" ht="20" x14ac:dyDescent="0.25">
      <c r="B1303" s="230" t="s">
        <v>238</v>
      </c>
      <c r="C1303" s="19"/>
      <c r="J1303" s="34" t="s">
        <v>0</v>
      </c>
      <c r="L1303" s="62" t="s">
        <v>41</v>
      </c>
      <c r="M1303" s="34">
        <v>25270</v>
      </c>
      <c r="N1303" s="67" t="s">
        <v>45</v>
      </c>
    </row>
    <row r="1304" spans="2:14" ht="17" x14ac:dyDescent="0.2">
      <c r="B1304" s="147" t="s">
        <v>346</v>
      </c>
      <c r="C1304" s="19" t="s">
        <v>40</v>
      </c>
      <c r="J1304" s="34" t="s">
        <v>0</v>
      </c>
      <c r="L1304" s="62" t="s">
        <v>41</v>
      </c>
      <c r="M1304" s="34">
        <v>25270</v>
      </c>
      <c r="N1304" s="67" t="s">
        <v>42</v>
      </c>
    </row>
    <row r="1305" spans="2:14" ht="17" x14ac:dyDescent="0.2">
      <c r="B1305" s="166" t="s">
        <v>347</v>
      </c>
      <c r="C1305" s="19" t="s">
        <v>40</v>
      </c>
      <c r="J1305" s="34" t="s">
        <v>0</v>
      </c>
      <c r="L1305" s="62" t="s">
        <v>41</v>
      </c>
      <c r="M1305" s="34">
        <v>25270</v>
      </c>
      <c r="N1305" s="67" t="s">
        <v>42</v>
      </c>
    </row>
    <row r="1306" spans="2:14" ht="17" x14ac:dyDescent="0.2">
      <c r="B1306" s="166" t="s">
        <v>401</v>
      </c>
      <c r="C1306" s="19" t="s">
        <v>40</v>
      </c>
      <c r="J1306" s="34" t="s">
        <v>0</v>
      </c>
      <c r="L1306" s="62" t="s">
        <v>41</v>
      </c>
      <c r="M1306" s="34">
        <v>25270</v>
      </c>
      <c r="N1306" s="67" t="s">
        <v>42</v>
      </c>
    </row>
    <row r="1307" spans="2:14" ht="17" x14ac:dyDescent="0.2">
      <c r="B1307" s="166" t="s">
        <v>402</v>
      </c>
      <c r="C1307" s="19" t="s">
        <v>40</v>
      </c>
      <c r="J1307" s="34" t="s">
        <v>0</v>
      </c>
      <c r="L1307" s="62" t="s">
        <v>41</v>
      </c>
      <c r="M1307" s="34">
        <v>25270</v>
      </c>
      <c r="N1307" s="67" t="s">
        <v>42</v>
      </c>
    </row>
    <row r="1308" spans="2:14" ht="17" x14ac:dyDescent="0.2">
      <c r="B1308" s="166" t="s">
        <v>403</v>
      </c>
      <c r="C1308" s="19" t="s">
        <v>40</v>
      </c>
      <c r="J1308" s="34" t="s">
        <v>0</v>
      </c>
      <c r="L1308" s="62" t="s">
        <v>41</v>
      </c>
      <c r="M1308" s="34">
        <v>25270</v>
      </c>
      <c r="N1308" s="67" t="s">
        <v>42</v>
      </c>
    </row>
    <row r="1309" spans="2:14" ht="23" x14ac:dyDescent="0.3">
      <c r="B1309" s="148" t="s">
        <v>137</v>
      </c>
      <c r="C1309" s="19"/>
      <c r="N1309" s="67" t="s">
        <v>45</v>
      </c>
    </row>
    <row r="1310" spans="2:14" ht="23" x14ac:dyDescent="0.3">
      <c r="B1310" s="148" t="s">
        <v>138</v>
      </c>
      <c r="C1310" s="19"/>
      <c r="N1310" s="67" t="s">
        <v>45</v>
      </c>
    </row>
    <row r="1311" spans="2:14" ht="34" x14ac:dyDescent="0.2">
      <c r="B1311" s="168" t="s">
        <v>404</v>
      </c>
      <c r="C1311" s="19" t="s">
        <v>40</v>
      </c>
      <c r="J1311" s="34" t="s">
        <v>0</v>
      </c>
      <c r="L1311" s="62" t="s">
        <v>41</v>
      </c>
      <c r="M1311" s="34">
        <v>25270</v>
      </c>
      <c r="N1311" s="67" t="s">
        <v>42</v>
      </c>
    </row>
    <row r="1312" spans="2:14" ht="34" x14ac:dyDescent="0.2">
      <c r="B1312" s="147" t="s">
        <v>331</v>
      </c>
      <c r="C1312" s="19" t="s">
        <v>40</v>
      </c>
      <c r="J1312" s="34" t="s">
        <v>0</v>
      </c>
      <c r="L1312" s="62" t="s">
        <v>41</v>
      </c>
      <c r="M1312" s="34">
        <v>25270</v>
      </c>
      <c r="N1312" s="67" t="s">
        <v>42</v>
      </c>
    </row>
    <row r="1313" spans="2:14" ht="34" x14ac:dyDescent="0.2">
      <c r="B1313" s="168" t="s">
        <v>405</v>
      </c>
      <c r="C1313" s="19" t="s">
        <v>40</v>
      </c>
      <c r="J1313" s="34" t="s">
        <v>0</v>
      </c>
      <c r="L1313" s="62" t="s">
        <v>41</v>
      </c>
      <c r="M1313" s="34">
        <v>25270</v>
      </c>
      <c r="N1313" s="67" t="s">
        <v>42</v>
      </c>
    </row>
    <row r="1314" spans="2:14" ht="34" x14ac:dyDescent="0.2">
      <c r="B1314" s="168" t="s">
        <v>406</v>
      </c>
      <c r="C1314" s="19" t="s">
        <v>40</v>
      </c>
      <c r="J1314" s="34" t="s">
        <v>0</v>
      </c>
      <c r="L1314" s="62" t="s">
        <v>41</v>
      </c>
      <c r="M1314" s="34">
        <v>25270</v>
      </c>
      <c r="N1314" s="67" t="s">
        <v>42</v>
      </c>
    </row>
    <row r="1315" spans="2:14" ht="17" x14ac:dyDescent="0.2">
      <c r="B1315" s="168" t="s">
        <v>407</v>
      </c>
      <c r="C1315" s="19" t="s">
        <v>40</v>
      </c>
      <c r="J1315" s="34" t="s">
        <v>0</v>
      </c>
      <c r="L1315" s="62" t="s">
        <v>41</v>
      </c>
      <c r="M1315" s="34">
        <v>25270</v>
      </c>
      <c r="N1315" s="67" t="s">
        <v>42</v>
      </c>
    </row>
    <row r="1316" spans="2:14" ht="23" x14ac:dyDescent="0.3">
      <c r="B1316" s="148" t="s">
        <v>144</v>
      </c>
      <c r="C1316" s="19"/>
      <c r="N1316" s="67" t="s">
        <v>45</v>
      </c>
    </row>
    <row r="1317" spans="2:14" ht="17" x14ac:dyDescent="0.2">
      <c r="B1317" s="147" t="s">
        <v>145</v>
      </c>
      <c r="C1317" s="19" t="s">
        <v>40</v>
      </c>
      <c r="J1317" s="34" t="s">
        <v>0</v>
      </c>
      <c r="L1317" s="62" t="s">
        <v>41</v>
      </c>
      <c r="M1317" s="34">
        <v>25270</v>
      </c>
      <c r="N1317" s="67" t="s">
        <v>42</v>
      </c>
    </row>
    <row r="1318" spans="2:14" ht="17" x14ac:dyDescent="0.2">
      <c r="B1318" s="147" t="s">
        <v>363</v>
      </c>
      <c r="C1318" s="19" t="s">
        <v>40</v>
      </c>
      <c r="J1318" s="34" t="s">
        <v>0</v>
      </c>
      <c r="L1318" s="62" t="s">
        <v>41</v>
      </c>
      <c r="M1318" s="34">
        <v>25270</v>
      </c>
      <c r="N1318" s="67" t="s">
        <v>42</v>
      </c>
    </row>
    <row r="1319" spans="2:14" ht="17" x14ac:dyDescent="0.2">
      <c r="B1319" s="147" t="s">
        <v>364</v>
      </c>
      <c r="C1319" s="19" t="s">
        <v>40</v>
      </c>
      <c r="J1319" s="34" t="s">
        <v>0</v>
      </c>
      <c r="L1319" s="62" t="s">
        <v>41</v>
      </c>
      <c r="M1319" s="34">
        <v>25270</v>
      </c>
      <c r="N1319" s="67" t="s">
        <v>42</v>
      </c>
    </row>
    <row r="1320" spans="2:14" ht="17" x14ac:dyDescent="0.2">
      <c r="B1320" s="168" t="s">
        <v>408</v>
      </c>
      <c r="C1320" s="19" t="s">
        <v>40</v>
      </c>
      <c r="J1320" s="34" t="s">
        <v>0</v>
      </c>
      <c r="L1320" s="62" t="s">
        <v>41</v>
      </c>
      <c r="M1320" s="34">
        <v>25270</v>
      </c>
      <c r="N1320" s="67" t="s">
        <v>42</v>
      </c>
    </row>
    <row r="1321" spans="2:14" ht="17" x14ac:dyDescent="0.2">
      <c r="B1321" s="147" t="s">
        <v>149</v>
      </c>
      <c r="C1321" s="19" t="s">
        <v>40</v>
      </c>
      <c r="J1321" s="34" t="s">
        <v>0</v>
      </c>
      <c r="L1321" s="62" t="s">
        <v>41</v>
      </c>
      <c r="M1321" s="34">
        <v>25270</v>
      </c>
      <c r="N1321" s="67" t="s">
        <v>42</v>
      </c>
    </row>
    <row r="1322" spans="2:14" ht="20" x14ac:dyDescent="0.25">
      <c r="B1322" s="149" t="s">
        <v>150</v>
      </c>
      <c r="C1322" s="19"/>
      <c r="N1322" s="67" t="s">
        <v>45</v>
      </c>
    </row>
    <row r="1323" spans="2:14" ht="17" x14ac:dyDescent="0.2">
      <c r="B1323" s="150" t="s">
        <v>151</v>
      </c>
      <c r="C1323" s="19"/>
      <c r="N1323" s="67" t="s">
        <v>45</v>
      </c>
    </row>
    <row r="1324" spans="2:14" ht="17" x14ac:dyDescent="0.2">
      <c r="B1324" s="151" t="s">
        <v>152</v>
      </c>
      <c r="C1324" s="19" t="s">
        <v>40</v>
      </c>
      <c r="J1324" s="34" t="s">
        <v>0</v>
      </c>
      <c r="L1324" s="62" t="s">
        <v>41</v>
      </c>
      <c r="M1324" s="34">
        <v>25270</v>
      </c>
      <c r="N1324" s="67" t="s">
        <v>42</v>
      </c>
    </row>
    <row r="1325" spans="2:14" ht="17" x14ac:dyDescent="0.2">
      <c r="B1325" s="151" t="s">
        <v>153</v>
      </c>
      <c r="C1325" s="19" t="s">
        <v>40</v>
      </c>
      <c r="J1325" s="34" t="s">
        <v>0</v>
      </c>
      <c r="L1325" s="62" t="s">
        <v>41</v>
      </c>
      <c r="M1325" s="34">
        <v>25270</v>
      </c>
      <c r="N1325" s="67" t="s">
        <v>42</v>
      </c>
    </row>
    <row r="1326" spans="2:14" ht="17" x14ac:dyDescent="0.2">
      <c r="B1326" s="152" t="s">
        <v>154</v>
      </c>
      <c r="C1326" s="19" t="s">
        <v>40</v>
      </c>
      <c r="J1326" s="34" t="s">
        <v>0</v>
      </c>
      <c r="L1326" s="62" t="s">
        <v>41</v>
      </c>
      <c r="M1326" s="34">
        <v>25270</v>
      </c>
      <c r="N1326" s="67" t="s">
        <v>42</v>
      </c>
    </row>
    <row r="1327" spans="2:14" ht="17" x14ac:dyDescent="0.2">
      <c r="B1327" s="143" t="s">
        <v>155</v>
      </c>
      <c r="C1327" s="19" t="s">
        <v>40</v>
      </c>
      <c r="J1327" s="34" t="s">
        <v>0</v>
      </c>
      <c r="L1327" s="62" t="s">
        <v>41</v>
      </c>
      <c r="M1327" s="34">
        <v>25270</v>
      </c>
      <c r="N1327" s="67" t="s">
        <v>42</v>
      </c>
    </row>
    <row r="1328" spans="2:14" ht="17" x14ac:dyDescent="0.2">
      <c r="B1328" s="153" t="s">
        <v>156</v>
      </c>
      <c r="N1328" s="67" t="s">
        <v>45</v>
      </c>
    </row>
    <row r="1329" spans="2:14" ht="17" x14ac:dyDescent="0.2">
      <c r="B1329" s="153" t="s">
        <v>157</v>
      </c>
      <c r="C1329" s="19"/>
      <c r="N1329" s="67" t="s">
        <v>45</v>
      </c>
    </row>
    <row r="1330" spans="2:14" ht="17" x14ac:dyDescent="0.2">
      <c r="B1330" s="154" t="s">
        <v>158</v>
      </c>
      <c r="C1330" s="19" t="s">
        <v>40</v>
      </c>
      <c r="J1330" s="34" t="s">
        <v>0</v>
      </c>
      <c r="L1330" s="62" t="s">
        <v>41</v>
      </c>
      <c r="M1330" s="34">
        <v>25270</v>
      </c>
      <c r="N1330" s="67" t="s">
        <v>42</v>
      </c>
    </row>
    <row r="1331" spans="2:14" ht="17" x14ac:dyDescent="0.2">
      <c r="B1331" s="155" t="s">
        <v>159</v>
      </c>
      <c r="C1331" s="19" t="s">
        <v>40</v>
      </c>
      <c r="J1331" s="34" t="s">
        <v>0</v>
      </c>
      <c r="L1331" s="62" t="s">
        <v>41</v>
      </c>
      <c r="M1331" s="34">
        <v>25270</v>
      </c>
      <c r="N1331" s="67" t="s">
        <v>42</v>
      </c>
    </row>
    <row r="1332" spans="2:14" ht="17" x14ac:dyDescent="0.2">
      <c r="B1332" s="151" t="s">
        <v>160</v>
      </c>
      <c r="C1332" s="19" t="s">
        <v>40</v>
      </c>
      <c r="J1332" s="34" t="s">
        <v>0</v>
      </c>
      <c r="L1332" s="62" t="s">
        <v>41</v>
      </c>
      <c r="M1332" s="34">
        <v>25270</v>
      </c>
      <c r="N1332" s="67" t="s">
        <v>42</v>
      </c>
    </row>
    <row r="1333" spans="2:14" ht="17" x14ac:dyDescent="0.2">
      <c r="B1333" s="153" t="s">
        <v>161</v>
      </c>
      <c r="C1333" s="19"/>
      <c r="N1333" s="67" t="s">
        <v>45</v>
      </c>
    </row>
    <row r="1334" spans="2:14" ht="17" x14ac:dyDescent="0.2">
      <c r="B1334" s="157" t="s">
        <v>215</v>
      </c>
      <c r="C1334" s="19"/>
      <c r="N1334" s="67" t="s">
        <v>45</v>
      </c>
    </row>
    <row r="1335" spans="2:14" ht="51" x14ac:dyDescent="0.2">
      <c r="B1335" s="158" t="s">
        <v>216</v>
      </c>
      <c r="C1335" s="19" t="s">
        <v>40</v>
      </c>
      <c r="J1335" s="34" t="s">
        <v>0</v>
      </c>
      <c r="L1335" s="62" t="s">
        <v>41</v>
      </c>
      <c r="M1335" s="34">
        <v>25270</v>
      </c>
      <c r="N1335" s="67" t="s">
        <v>42</v>
      </c>
    </row>
    <row r="1336" spans="2:14" ht="17" x14ac:dyDescent="0.2">
      <c r="B1336" s="144" t="s">
        <v>409</v>
      </c>
      <c r="C1336" s="19" t="s">
        <v>40</v>
      </c>
      <c r="J1336" s="34" t="s">
        <v>0</v>
      </c>
      <c r="L1336" s="62" t="s">
        <v>41</v>
      </c>
      <c r="M1336" s="34">
        <v>25270</v>
      </c>
      <c r="N1336" s="67" t="s">
        <v>42</v>
      </c>
    </row>
    <row r="1337" spans="2:14" ht="17" x14ac:dyDescent="0.2">
      <c r="B1337" s="156" t="s">
        <v>162</v>
      </c>
      <c r="C1337" s="19"/>
      <c r="N1337" s="67" t="s">
        <v>45</v>
      </c>
    </row>
    <row r="1338" spans="2:14" ht="48" x14ac:dyDescent="0.2">
      <c r="B1338" s="151" t="s">
        <v>163</v>
      </c>
      <c r="C1338" s="19" t="s">
        <v>40</v>
      </c>
      <c r="J1338" s="34" t="s">
        <v>0</v>
      </c>
      <c r="L1338" s="62" t="s">
        <v>41</v>
      </c>
      <c r="M1338" s="34">
        <v>25270</v>
      </c>
      <c r="N1338" s="67" t="s">
        <v>42</v>
      </c>
    </row>
    <row r="1339" spans="2:14" ht="17" x14ac:dyDescent="0.2">
      <c r="B1339" s="138" t="s">
        <v>164</v>
      </c>
      <c r="C1339" s="19" t="s">
        <v>40</v>
      </c>
      <c r="J1339" s="34" t="s">
        <v>0</v>
      </c>
      <c r="L1339" s="62" t="s">
        <v>41</v>
      </c>
      <c r="M1339" s="34">
        <v>25270</v>
      </c>
      <c r="N1339" s="67" t="s">
        <v>42</v>
      </c>
    </row>
    <row r="1340" spans="2:14" ht="17" x14ac:dyDescent="0.2">
      <c r="B1340" s="156" t="s">
        <v>165</v>
      </c>
      <c r="C1340" s="19"/>
      <c r="N1340" s="67" t="s">
        <v>45</v>
      </c>
    </row>
    <row r="1341" spans="2:14" ht="48" x14ac:dyDescent="0.2">
      <c r="B1341" s="151" t="s">
        <v>166</v>
      </c>
      <c r="C1341" s="19" t="s">
        <v>40</v>
      </c>
      <c r="J1341" s="34" t="s">
        <v>0</v>
      </c>
      <c r="L1341" s="62" t="s">
        <v>41</v>
      </c>
      <c r="M1341" s="34">
        <v>25270</v>
      </c>
      <c r="N1341" s="67" t="s">
        <v>42</v>
      </c>
    </row>
    <row r="1342" spans="2:14" ht="17" x14ac:dyDescent="0.2">
      <c r="B1342" s="138" t="s">
        <v>167</v>
      </c>
      <c r="C1342" s="19" t="s">
        <v>40</v>
      </c>
      <c r="J1342" s="34" t="s">
        <v>0</v>
      </c>
      <c r="L1342" s="62" t="s">
        <v>41</v>
      </c>
      <c r="M1342" s="34">
        <v>25270</v>
      </c>
      <c r="N1342" s="67" t="s">
        <v>42</v>
      </c>
    </row>
    <row r="1343" spans="2:14" ht="17" x14ac:dyDescent="0.2">
      <c r="B1343" s="157" t="s">
        <v>168</v>
      </c>
      <c r="N1343" s="67" t="s">
        <v>45</v>
      </c>
    </row>
    <row r="1344" spans="2:14" ht="51" x14ac:dyDescent="0.2">
      <c r="B1344" s="158" t="s">
        <v>169</v>
      </c>
      <c r="C1344" s="19" t="s">
        <v>40</v>
      </c>
      <c r="J1344" s="34" t="s">
        <v>0</v>
      </c>
      <c r="L1344" s="62" t="s">
        <v>41</v>
      </c>
      <c r="M1344" s="34">
        <v>25270</v>
      </c>
      <c r="N1344" s="67" t="s">
        <v>42</v>
      </c>
    </row>
    <row r="1345" spans="2:14" ht="17" x14ac:dyDescent="0.2">
      <c r="B1345" s="159" t="s">
        <v>170</v>
      </c>
      <c r="C1345" s="19" t="s">
        <v>40</v>
      </c>
      <c r="J1345" s="34" t="s">
        <v>0</v>
      </c>
      <c r="L1345" s="62" t="s">
        <v>41</v>
      </c>
      <c r="M1345" s="34">
        <v>25270</v>
      </c>
      <c r="N1345" s="67" t="s">
        <v>42</v>
      </c>
    </row>
    <row r="1346" spans="2:14" ht="17" x14ac:dyDescent="0.2">
      <c r="B1346" s="157" t="s">
        <v>171</v>
      </c>
      <c r="C1346" s="19"/>
      <c r="N1346" s="67" t="s">
        <v>45</v>
      </c>
    </row>
    <row r="1347" spans="2:14" ht="48" x14ac:dyDescent="0.2">
      <c r="B1347" s="144" t="s">
        <v>172</v>
      </c>
      <c r="C1347" s="19" t="s">
        <v>40</v>
      </c>
      <c r="J1347" s="34" t="s">
        <v>0</v>
      </c>
      <c r="L1347" s="62" t="s">
        <v>41</v>
      </c>
      <c r="M1347" s="34">
        <v>25270</v>
      </c>
      <c r="N1347" s="67" t="s">
        <v>42</v>
      </c>
    </row>
    <row r="1348" spans="2:14" ht="17" x14ac:dyDescent="0.2">
      <c r="B1348" s="160" t="s">
        <v>173</v>
      </c>
      <c r="C1348" s="19" t="s">
        <v>40</v>
      </c>
      <c r="J1348" s="34" t="s">
        <v>0</v>
      </c>
      <c r="L1348" s="62" t="s">
        <v>41</v>
      </c>
      <c r="M1348" s="34">
        <v>25270</v>
      </c>
      <c r="N1348" s="67" t="s">
        <v>42</v>
      </c>
    </row>
    <row r="1349" spans="2:14" ht="17" x14ac:dyDescent="0.2">
      <c r="B1349" s="161" t="s">
        <v>174</v>
      </c>
      <c r="N1349" s="67" t="s">
        <v>45</v>
      </c>
    </row>
    <row r="1350" spans="2:14" ht="51" x14ac:dyDescent="0.2">
      <c r="B1350" s="161" t="s">
        <v>175</v>
      </c>
      <c r="C1350" s="19"/>
      <c r="N1350" s="67" t="s">
        <v>45</v>
      </c>
    </row>
    <row r="1351" spans="2:14" ht="17" x14ac:dyDescent="0.2">
      <c r="B1351" s="131" t="s">
        <v>176</v>
      </c>
      <c r="C1351" s="19" t="s">
        <v>40</v>
      </c>
      <c r="J1351" s="34" t="s">
        <v>0</v>
      </c>
      <c r="L1351" s="62" t="s">
        <v>41</v>
      </c>
      <c r="M1351" s="34">
        <v>25270</v>
      </c>
      <c r="N1351" s="67" t="s">
        <v>42</v>
      </c>
    </row>
    <row r="1352" spans="2:14" ht="17" x14ac:dyDescent="0.2">
      <c r="B1352" s="160" t="s">
        <v>177</v>
      </c>
      <c r="C1352" s="19" t="s">
        <v>40</v>
      </c>
      <c r="J1352" s="34" t="s">
        <v>0</v>
      </c>
      <c r="L1352" s="62" t="s">
        <v>41</v>
      </c>
      <c r="M1352" s="34">
        <v>25270</v>
      </c>
      <c r="N1352" s="67" t="s">
        <v>42</v>
      </c>
    </row>
    <row r="1353" spans="2:14" ht="17" x14ac:dyDescent="0.2">
      <c r="B1353" s="160" t="s">
        <v>410</v>
      </c>
      <c r="C1353" s="19" t="s">
        <v>40</v>
      </c>
      <c r="J1353" s="34" t="s">
        <v>0</v>
      </c>
      <c r="L1353" s="62" t="s">
        <v>41</v>
      </c>
      <c r="M1353" s="34">
        <v>25270</v>
      </c>
      <c r="N1353" s="67" t="s">
        <v>42</v>
      </c>
    </row>
    <row r="1354" spans="2:14" ht="68" x14ac:dyDescent="0.2">
      <c r="B1354" s="160" t="s">
        <v>411</v>
      </c>
      <c r="C1354" s="19" t="s">
        <v>40</v>
      </c>
      <c r="J1354" s="34" t="s">
        <v>0</v>
      </c>
      <c r="L1354" s="62" t="s">
        <v>41</v>
      </c>
      <c r="M1354" s="34">
        <v>25270</v>
      </c>
      <c r="N1354" s="67" t="s">
        <v>42</v>
      </c>
    </row>
    <row r="1355" spans="2:14" ht="17" x14ac:dyDescent="0.2">
      <c r="B1355" s="131" t="s">
        <v>178</v>
      </c>
      <c r="C1355" s="19" t="s">
        <v>40</v>
      </c>
      <c r="J1355" s="34" t="s">
        <v>0</v>
      </c>
      <c r="L1355" s="62" t="s">
        <v>41</v>
      </c>
      <c r="M1355" s="34">
        <v>25270</v>
      </c>
      <c r="N1355" s="67" t="s">
        <v>42</v>
      </c>
    </row>
    <row r="1356" spans="2:14" ht="68" x14ac:dyDescent="0.2">
      <c r="B1356" s="131" t="s">
        <v>365</v>
      </c>
      <c r="C1356" s="19" t="s">
        <v>40</v>
      </c>
      <c r="J1356" s="34" t="s">
        <v>0</v>
      </c>
      <c r="L1356" s="62" t="s">
        <v>41</v>
      </c>
      <c r="M1356" s="34">
        <v>25270</v>
      </c>
      <c r="N1356" s="67" t="s">
        <v>42</v>
      </c>
    </row>
    <row r="1357" spans="2:14" ht="17" x14ac:dyDescent="0.2">
      <c r="B1357" s="131" t="s">
        <v>180</v>
      </c>
      <c r="C1357" s="19" t="s">
        <v>40</v>
      </c>
      <c r="J1357" s="34" t="s">
        <v>0</v>
      </c>
      <c r="L1357" s="62" t="s">
        <v>41</v>
      </c>
      <c r="M1357" s="34">
        <v>25270</v>
      </c>
      <c r="N1357" s="67" t="s">
        <v>42</v>
      </c>
    </row>
    <row r="1358" spans="2:14" ht="68" x14ac:dyDescent="0.2">
      <c r="B1358" s="131" t="s">
        <v>181</v>
      </c>
      <c r="C1358" s="19" t="s">
        <v>40</v>
      </c>
      <c r="J1358" s="34" t="s">
        <v>0</v>
      </c>
      <c r="L1358" s="62" t="s">
        <v>41</v>
      </c>
      <c r="M1358" s="34">
        <v>25270</v>
      </c>
      <c r="N1358" s="67" t="s">
        <v>42</v>
      </c>
    </row>
    <row r="1359" spans="2:14" ht="17" x14ac:dyDescent="0.2">
      <c r="B1359" s="160" t="s">
        <v>182</v>
      </c>
      <c r="C1359" s="19" t="s">
        <v>40</v>
      </c>
      <c r="J1359" s="34" t="s">
        <v>0</v>
      </c>
      <c r="L1359" s="62" t="s">
        <v>41</v>
      </c>
      <c r="M1359" s="34">
        <v>25270</v>
      </c>
      <c r="N1359" s="67" t="s">
        <v>42</v>
      </c>
    </row>
    <row r="1360" spans="2:14" ht="68" x14ac:dyDescent="0.2">
      <c r="B1360" s="160" t="s">
        <v>366</v>
      </c>
      <c r="C1360" s="19" t="s">
        <v>40</v>
      </c>
      <c r="J1360" s="34" t="s">
        <v>0</v>
      </c>
      <c r="L1360" s="62" t="s">
        <v>41</v>
      </c>
      <c r="M1360" s="34">
        <v>25270</v>
      </c>
      <c r="N1360" s="67" t="s">
        <v>42</v>
      </c>
    </row>
    <row r="1361" spans="2:14" ht="17" x14ac:dyDescent="0.2">
      <c r="B1361" s="162" t="s">
        <v>184</v>
      </c>
      <c r="C1361" s="19" t="s">
        <v>40</v>
      </c>
      <c r="J1361" s="34" t="s">
        <v>0</v>
      </c>
      <c r="L1361" s="62" t="s">
        <v>41</v>
      </c>
      <c r="M1361" s="34">
        <v>25270</v>
      </c>
      <c r="N1361" s="67" t="s">
        <v>42</v>
      </c>
    </row>
    <row r="1362" spans="2:14" ht="17" x14ac:dyDescent="0.2">
      <c r="B1362" s="162" t="s">
        <v>185</v>
      </c>
      <c r="C1362" s="19" t="s">
        <v>40</v>
      </c>
      <c r="J1362" s="34" t="s">
        <v>0</v>
      </c>
      <c r="L1362" s="62" t="s">
        <v>41</v>
      </c>
      <c r="M1362" s="34">
        <v>25270</v>
      </c>
      <c r="N1362" s="67" t="s">
        <v>42</v>
      </c>
    </row>
    <row r="1363" spans="2:14" ht="17" x14ac:dyDescent="0.2">
      <c r="N1363" s="67" t="s">
        <v>45</v>
      </c>
    </row>
    <row r="1364" spans="2:14" ht="17" x14ac:dyDescent="0.2">
      <c r="N1364" s="67" t="s">
        <v>45</v>
      </c>
    </row>
    <row r="1365" spans="2:14" ht="25" x14ac:dyDescent="0.3">
      <c r="B1365" s="125" t="s">
        <v>412</v>
      </c>
      <c r="C1365" s="59"/>
      <c r="N1365" s="67" t="s">
        <v>45</v>
      </c>
    </row>
    <row r="1366" spans="2:14" ht="69" x14ac:dyDescent="0.2">
      <c r="B1366" s="170" t="s">
        <v>413</v>
      </c>
      <c r="C1366" s="19"/>
      <c r="N1366" s="67" t="s">
        <v>45</v>
      </c>
    </row>
    <row r="1367" spans="2:14" ht="17" x14ac:dyDescent="0.2">
      <c r="B1367" s="163" t="s">
        <v>31</v>
      </c>
      <c r="C1367" s="19"/>
      <c r="N1367" s="67" t="s">
        <v>45</v>
      </c>
    </row>
    <row r="1368" spans="2:14" ht="17" x14ac:dyDescent="0.2">
      <c r="B1368" s="127" t="s">
        <v>328</v>
      </c>
      <c r="N1368" s="67" t="s">
        <v>45</v>
      </c>
    </row>
    <row r="1369" spans="2:14" ht="17" x14ac:dyDescent="0.2">
      <c r="B1369" s="128" t="s">
        <v>33</v>
      </c>
      <c r="N1369" s="67" t="s">
        <v>45</v>
      </c>
    </row>
    <row r="1370" spans="2:14" ht="17" x14ac:dyDescent="0.2">
      <c r="B1370" s="127" t="s">
        <v>34</v>
      </c>
      <c r="C1370" s="19"/>
      <c r="N1370" s="67" t="s">
        <v>45</v>
      </c>
    </row>
    <row r="1371" spans="2:14" ht="51" x14ac:dyDescent="0.2">
      <c r="B1371" s="163" t="s">
        <v>414</v>
      </c>
      <c r="C1371" s="19"/>
      <c r="N1371" s="67" t="s">
        <v>45</v>
      </c>
    </row>
    <row r="1372" spans="2:14" ht="17" x14ac:dyDescent="0.2">
      <c r="B1372" s="129" t="s">
        <v>36</v>
      </c>
      <c r="C1372" s="19"/>
      <c r="N1372" s="67" t="s">
        <v>45</v>
      </c>
    </row>
    <row r="1373" spans="2:14" ht="17" x14ac:dyDescent="0.2">
      <c r="B1373" s="129" t="s">
        <v>37</v>
      </c>
      <c r="C1373" s="19"/>
      <c r="N1373" s="67" t="s">
        <v>45</v>
      </c>
    </row>
    <row r="1374" spans="2:14" ht="17" x14ac:dyDescent="0.2">
      <c r="B1374" s="128" t="s">
        <v>38</v>
      </c>
      <c r="C1374" s="19"/>
      <c r="N1374" s="67" t="s">
        <v>45</v>
      </c>
    </row>
    <row r="1375" spans="2:14" ht="48" x14ac:dyDescent="0.2">
      <c r="B1375" s="164" t="s">
        <v>340</v>
      </c>
      <c r="C1375" s="19" t="s">
        <v>40</v>
      </c>
      <c r="E1375" s="34" t="s">
        <v>0</v>
      </c>
      <c r="G1375" s="62" t="s">
        <v>41</v>
      </c>
      <c r="H1375" s="34">
        <v>18188</v>
      </c>
      <c r="N1375" s="67" t="s">
        <v>42</v>
      </c>
    </row>
    <row r="1376" spans="2:14" ht="32" x14ac:dyDescent="0.2">
      <c r="B1376" s="164" t="s">
        <v>198</v>
      </c>
      <c r="C1376" s="19" t="s">
        <v>40</v>
      </c>
      <c r="E1376" s="34" t="s">
        <v>0</v>
      </c>
      <c r="G1376" s="62" t="s">
        <v>41</v>
      </c>
      <c r="H1376" s="34">
        <v>18188</v>
      </c>
      <c r="N1376" s="67" t="s">
        <v>42</v>
      </c>
    </row>
    <row r="1377" spans="2:14" ht="17" x14ac:dyDescent="0.2">
      <c r="B1377" s="128" t="s">
        <v>44</v>
      </c>
      <c r="C1377" s="19"/>
      <c r="N1377" s="67" t="s">
        <v>45</v>
      </c>
    </row>
    <row r="1378" spans="2:14" ht="17" x14ac:dyDescent="0.2">
      <c r="B1378" s="164" t="s">
        <v>46</v>
      </c>
      <c r="C1378" s="19" t="s">
        <v>40</v>
      </c>
      <c r="E1378" s="34" t="s">
        <v>0</v>
      </c>
      <c r="G1378" s="62" t="s">
        <v>41</v>
      </c>
      <c r="H1378" s="34">
        <v>18188</v>
      </c>
      <c r="N1378" s="67" t="s">
        <v>42</v>
      </c>
    </row>
    <row r="1379" spans="2:14" ht="17" x14ac:dyDescent="0.2">
      <c r="B1379" s="128" t="s">
        <v>47</v>
      </c>
      <c r="N1379" s="67" t="s">
        <v>45</v>
      </c>
    </row>
    <row r="1380" spans="2:14" ht="17" x14ac:dyDescent="0.2">
      <c r="B1380" s="131" t="s">
        <v>48</v>
      </c>
      <c r="C1380" s="19" t="s">
        <v>40</v>
      </c>
      <c r="E1380" s="34" t="s">
        <v>0</v>
      </c>
      <c r="G1380" s="62" t="s">
        <v>41</v>
      </c>
      <c r="H1380" s="34">
        <v>18188</v>
      </c>
      <c r="N1380" s="67" t="s">
        <v>42</v>
      </c>
    </row>
    <row r="1381" spans="2:14" ht="17" x14ac:dyDescent="0.2">
      <c r="B1381" s="131" t="s">
        <v>49</v>
      </c>
      <c r="C1381" s="19" t="s">
        <v>40</v>
      </c>
      <c r="E1381" s="34" t="s">
        <v>0</v>
      </c>
      <c r="G1381" s="62" t="s">
        <v>41</v>
      </c>
      <c r="H1381" s="34">
        <v>18188</v>
      </c>
      <c r="N1381" s="67" t="s">
        <v>42</v>
      </c>
    </row>
    <row r="1382" spans="2:14" ht="34" x14ac:dyDescent="0.2">
      <c r="B1382" s="131" t="s">
        <v>50</v>
      </c>
      <c r="C1382" s="19" t="s">
        <v>40</v>
      </c>
      <c r="E1382" s="34" t="s">
        <v>0</v>
      </c>
      <c r="G1382" s="62" t="s">
        <v>41</v>
      </c>
      <c r="H1382" s="34">
        <v>18188</v>
      </c>
      <c r="N1382" s="67" t="s">
        <v>42</v>
      </c>
    </row>
    <row r="1383" spans="2:14" ht="17" x14ac:dyDescent="0.2">
      <c r="B1383" s="128" t="s">
        <v>51</v>
      </c>
      <c r="C1383" s="19"/>
      <c r="N1383" s="67" t="s">
        <v>45</v>
      </c>
    </row>
    <row r="1384" spans="2:14" ht="32.25" customHeight="1" x14ac:dyDescent="0.2">
      <c r="B1384" s="165" t="s">
        <v>52</v>
      </c>
      <c r="C1384" s="19" t="s">
        <v>40</v>
      </c>
      <c r="E1384" s="34" t="s">
        <v>0</v>
      </c>
      <c r="G1384" s="62" t="s">
        <v>41</v>
      </c>
      <c r="H1384" s="34">
        <v>18188</v>
      </c>
      <c r="N1384" s="67" t="s">
        <v>42</v>
      </c>
    </row>
    <row r="1385" spans="2:14" ht="17" x14ac:dyDescent="0.2">
      <c r="B1385" s="132" t="s">
        <v>53</v>
      </c>
      <c r="C1385" s="19"/>
      <c r="N1385" s="67" t="s">
        <v>45</v>
      </c>
    </row>
    <row r="1386" spans="2:14" ht="51" x14ac:dyDescent="0.2">
      <c r="B1386" s="133" t="s">
        <v>54</v>
      </c>
      <c r="C1386" s="19" t="s">
        <v>40</v>
      </c>
      <c r="E1386" s="34" t="s">
        <v>0</v>
      </c>
      <c r="G1386" s="62" t="s">
        <v>41</v>
      </c>
      <c r="H1386" s="34">
        <v>18188</v>
      </c>
      <c r="N1386" s="67" t="s">
        <v>42</v>
      </c>
    </row>
    <row r="1387" spans="2:14" ht="17" x14ac:dyDescent="0.2">
      <c r="B1387" s="128" t="s">
        <v>55</v>
      </c>
      <c r="C1387" s="19"/>
      <c r="N1387" s="67" t="s">
        <v>45</v>
      </c>
    </row>
    <row r="1388" spans="2:14" ht="51" x14ac:dyDescent="0.2">
      <c r="B1388" s="134" t="s">
        <v>56</v>
      </c>
      <c r="C1388" s="19" t="s">
        <v>57</v>
      </c>
      <c r="E1388" s="34" t="s">
        <v>0</v>
      </c>
      <c r="G1388" s="62" t="s">
        <v>41</v>
      </c>
      <c r="H1388" s="34">
        <v>18188</v>
      </c>
      <c r="N1388" s="67" t="s">
        <v>42</v>
      </c>
    </row>
    <row r="1389" spans="2:14" ht="40" x14ac:dyDescent="0.2">
      <c r="B1389" s="285" t="s">
        <v>393</v>
      </c>
      <c r="N1389" s="67" t="s">
        <v>45</v>
      </c>
    </row>
    <row r="1390" spans="2:14" ht="17" x14ac:dyDescent="0.2">
      <c r="B1390" s="132" t="s">
        <v>60</v>
      </c>
      <c r="C1390" s="19"/>
      <c r="N1390" s="67" t="s">
        <v>45</v>
      </c>
    </row>
    <row r="1391" spans="2:14" ht="17" x14ac:dyDescent="0.2">
      <c r="B1391" s="135" t="s">
        <v>61</v>
      </c>
      <c r="C1391" s="19" t="s">
        <v>40</v>
      </c>
      <c r="E1391" s="34" t="s">
        <v>0</v>
      </c>
      <c r="G1391" s="62" t="s">
        <v>41</v>
      </c>
      <c r="H1391" s="34">
        <v>18188</v>
      </c>
      <c r="N1391" s="67" t="s">
        <v>42</v>
      </c>
    </row>
    <row r="1392" spans="2:14" ht="17" x14ac:dyDescent="0.2">
      <c r="B1392" s="136" t="s">
        <v>62</v>
      </c>
      <c r="C1392" s="19" t="s">
        <v>40</v>
      </c>
      <c r="E1392" s="34" t="s">
        <v>0</v>
      </c>
      <c r="G1392" s="62" t="s">
        <v>41</v>
      </c>
      <c r="H1392" s="34">
        <v>18188</v>
      </c>
      <c r="N1392" s="67" t="s">
        <v>42</v>
      </c>
    </row>
    <row r="1393" spans="2:14" ht="96" x14ac:dyDescent="0.2">
      <c r="B1393" s="211" t="s">
        <v>63</v>
      </c>
      <c r="C1393" s="19" t="s">
        <v>40</v>
      </c>
      <c r="E1393" s="34" t="s">
        <v>0</v>
      </c>
      <c r="G1393" s="62" t="s">
        <v>41</v>
      </c>
      <c r="H1393" s="34">
        <v>18188</v>
      </c>
      <c r="N1393" s="67" t="s">
        <v>42</v>
      </c>
    </row>
    <row r="1394" spans="2:14" ht="17" x14ac:dyDescent="0.2">
      <c r="B1394" s="136" t="s">
        <v>64</v>
      </c>
      <c r="C1394" s="19" t="s">
        <v>40</v>
      </c>
      <c r="E1394" s="34" t="s">
        <v>0</v>
      </c>
      <c r="G1394" s="62" t="s">
        <v>41</v>
      </c>
      <c r="H1394" s="34">
        <v>18188</v>
      </c>
      <c r="N1394" s="67" t="s">
        <v>42</v>
      </c>
    </row>
    <row r="1395" spans="2:14" ht="17" x14ac:dyDescent="0.2">
      <c r="B1395" s="128" t="s">
        <v>65</v>
      </c>
      <c r="N1395" s="67" t="s">
        <v>45</v>
      </c>
    </row>
    <row r="1396" spans="2:14" ht="17" x14ac:dyDescent="0.2">
      <c r="B1396" s="174" t="s">
        <v>66</v>
      </c>
      <c r="C1396" s="19" t="s">
        <v>40</v>
      </c>
      <c r="E1396" s="34" t="s">
        <v>0</v>
      </c>
      <c r="G1396" s="62" t="s">
        <v>41</v>
      </c>
      <c r="H1396" s="34">
        <v>18188</v>
      </c>
      <c r="N1396" s="67" t="s">
        <v>42</v>
      </c>
    </row>
    <row r="1397" spans="2:14" ht="17" x14ac:dyDescent="0.2">
      <c r="B1397" s="166" t="s">
        <v>67</v>
      </c>
      <c r="C1397" s="19" t="s">
        <v>40</v>
      </c>
      <c r="E1397" s="34" t="s">
        <v>0</v>
      </c>
      <c r="G1397" s="62" t="s">
        <v>41</v>
      </c>
      <c r="H1397" s="34">
        <v>18188</v>
      </c>
      <c r="N1397" s="67" t="s">
        <v>42</v>
      </c>
    </row>
    <row r="1398" spans="2:14" ht="17" x14ac:dyDescent="0.2">
      <c r="B1398" s="166" t="s">
        <v>415</v>
      </c>
      <c r="C1398" s="19" t="s">
        <v>40</v>
      </c>
      <c r="E1398" s="34" t="s">
        <v>0</v>
      </c>
      <c r="G1398" s="62" t="s">
        <v>41</v>
      </c>
      <c r="H1398" s="34">
        <v>18188</v>
      </c>
      <c r="N1398" s="67" t="s">
        <v>42</v>
      </c>
    </row>
    <row r="1399" spans="2:14" ht="17" x14ac:dyDescent="0.2">
      <c r="B1399" s="166" t="s">
        <v>416</v>
      </c>
      <c r="C1399" s="19" t="s">
        <v>40</v>
      </c>
      <c r="E1399" s="34" t="s">
        <v>0</v>
      </c>
      <c r="G1399" s="62" t="s">
        <v>41</v>
      </c>
      <c r="H1399" s="34">
        <v>18188</v>
      </c>
      <c r="N1399" s="67" t="s">
        <v>42</v>
      </c>
    </row>
    <row r="1400" spans="2:14" ht="17" x14ac:dyDescent="0.2">
      <c r="B1400" s="166" t="s">
        <v>417</v>
      </c>
      <c r="C1400" s="19" t="s">
        <v>40</v>
      </c>
      <c r="E1400" s="34" t="s">
        <v>0</v>
      </c>
      <c r="G1400" s="62" t="s">
        <v>41</v>
      </c>
      <c r="H1400" s="34">
        <v>18188</v>
      </c>
      <c r="N1400" s="67" t="s">
        <v>42</v>
      </c>
    </row>
    <row r="1401" spans="2:14" ht="17" x14ac:dyDescent="0.2">
      <c r="B1401" s="166" t="s">
        <v>418</v>
      </c>
      <c r="C1401" s="19" t="s">
        <v>40</v>
      </c>
      <c r="E1401" s="34" t="s">
        <v>0</v>
      </c>
      <c r="G1401" s="62" t="s">
        <v>41</v>
      </c>
      <c r="H1401" s="34">
        <v>18188</v>
      </c>
      <c r="N1401" s="67" t="s">
        <v>42</v>
      </c>
    </row>
    <row r="1402" spans="2:14" ht="17" x14ac:dyDescent="0.2">
      <c r="B1402" s="139" t="s">
        <v>72</v>
      </c>
      <c r="C1402" s="19" t="s">
        <v>40</v>
      </c>
      <c r="E1402" s="34" t="s">
        <v>0</v>
      </c>
      <c r="G1402" s="62" t="s">
        <v>41</v>
      </c>
      <c r="H1402" s="34">
        <v>18188</v>
      </c>
      <c r="N1402" s="67" t="s">
        <v>42</v>
      </c>
    </row>
    <row r="1403" spans="2:14" ht="17" x14ac:dyDescent="0.2">
      <c r="B1403" s="174" t="s">
        <v>73</v>
      </c>
      <c r="C1403" s="19" t="s">
        <v>40</v>
      </c>
      <c r="E1403" s="34" t="s">
        <v>0</v>
      </c>
      <c r="G1403" s="62" t="s">
        <v>41</v>
      </c>
      <c r="H1403" s="34">
        <v>18188</v>
      </c>
      <c r="N1403" s="67" t="s">
        <v>42</v>
      </c>
    </row>
    <row r="1404" spans="2:14" ht="17" x14ac:dyDescent="0.2">
      <c r="B1404" s="139" t="s">
        <v>74</v>
      </c>
      <c r="C1404" s="19" t="s">
        <v>40</v>
      </c>
      <c r="E1404" s="34" t="s">
        <v>0</v>
      </c>
      <c r="G1404" s="62" t="s">
        <v>41</v>
      </c>
      <c r="H1404" s="34">
        <v>18188</v>
      </c>
      <c r="N1404" s="67" t="s">
        <v>42</v>
      </c>
    </row>
    <row r="1405" spans="2:14" ht="17" x14ac:dyDescent="0.2">
      <c r="B1405" s="139" t="s">
        <v>75</v>
      </c>
      <c r="C1405" s="19" t="s">
        <v>40</v>
      </c>
      <c r="E1405" s="34" t="s">
        <v>0</v>
      </c>
      <c r="G1405" s="62" t="s">
        <v>41</v>
      </c>
      <c r="H1405" s="34">
        <v>18188</v>
      </c>
      <c r="N1405" s="67" t="s">
        <v>42</v>
      </c>
    </row>
    <row r="1406" spans="2:14" ht="17" x14ac:dyDescent="0.2">
      <c r="B1406" s="138" t="s">
        <v>76</v>
      </c>
      <c r="C1406" s="19" t="s">
        <v>40</v>
      </c>
      <c r="E1406" s="34" t="s">
        <v>0</v>
      </c>
      <c r="G1406" s="62" t="s">
        <v>41</v>
      </c>
      <c r="H1406" s="34">
        <v>18188</v>
      </c>
      <c r="N1406" s="67" t="s">
        <v>42</v>
      </c>
    </row>
    <row r="1407" spans="2:14" ht="68" x14ac:dyDescent="0.2">
      <c r="B1407" s="166" t="s">
        <v>204</v>
      </c>
      <c r="C1407" s="19" t="s">
        <v>40</v>
      </c>
      <c r="E1407" s="34" t="s">
        <v>0</v>
      </c>
      <c r="G1407" s="62" t="s">
        <v>41</v>
      </c>
      <c r="H1407" s="34">
        <v>18188</v>
      </c>
      <c r="N1407" s="67" t="s">
        <v>42</v>
      </c>
    </row>
    <row r="1408" spans="2:14" ht="17" x14ac:dyDescent="0.2">
      <c r="B1408" s="166" t="s">
        <v>419</v>
      </c>
      <c r="C1408" s="19" t="s">
        <v>40</v>
      </c>
      <c r="E1408" s="34" t="s">
        <v>0</v>
      </c>
      <c r="G1408" s="62" t="s">
        <v>41</v>
      </c>
      <c r="H1408" s="34">
        <v>18188</v>
      </c>
      <c r="N1408" s="67" t="s">
        <v>42</v>
      </c>
    </row>
    <row r="1409" spans="2:14" ht="17" x14ac:dyDescent="0.2">
      <c r="B1409" s="166" t="s">
        <v>420</v>
      </c>
      <c r="C1409" s="19" t="s">
        <v>40</v>
      </c>
      <c r="E1409" s="34" t="s">
        <v>0</v>
      </c>
      <c r="G1409" s="62" t="s">
        <v>41</v>
      </c>
      <c r="H1409" s="34">
        <v>18188</v>
      </c>
      <c r="N1409" s="67" t="s">
        <v>42</v>
      </c>
    </row>
    <row r="1410" spans="2:14" ht="17" x14ac:dyDescent="0.2">
      <c r="B1410" s="166" t="s">
        <v>421</v>
      </c>
      <c r="C1410" s="19" t="s">
        <v>40</v>
      </c>
      <c r="E1410" s="34" t="s">
        <v>0</v>
      </c>
      <c r="G1410" s="62" t="s">
        <v>41</v>
      </c>
      <c r="H1410" s="34">
        <v>18188</v>
      </c>
      <c r="N1410" s="67" t="s">
        <v>42</v>
      </c>
    </row>
    <row r="1411" spans="2:14" ht="30.75" customHeight="1" x14ac:dyDescent="0.2">
      <c r="B1411" s="166" t="s">
        <v>422</v>
      </c>
      <c r="C1411" s="19" t="s">
        <v>40</v>
      </c>
      <c r="E1411" s="34" t="s">
        <v>0</v>
      </c>
      <c r="G1411" s="62" t="s">
        <v>41</v>
      </c>
      <c r="H1411" s="34">
        <v>18188</v>
      </c>
      <c r="N1411" s="67" t="s">
        <v>42</v>
      </c>
    </row>
    <row r="1412" spans="2:14" ht="17" x14ac:dyDescent="0.2">
      <c r="B1412" s="166" t="s">
        <v>423</v>
      </c>
      <c r="C1412" s="19" t="s">
        <v>40</v>
      </c>
      <c r="E1412" s="34" t="s">
        <v>0</v>
      </c>
      <c r="G1412" s="62" t="s">
        <v>41</v>
      </c>
      <c r="H1412" s="34">
        <v>18188</v>
      </c>
      <c r="N1412" s="67" t="s">
        <v>42</v>
      </c>
    </row>
    <row r="1413" spans="2:14" ht="17" x14ac:dyDescent="0.2">
      <c r="B1413" s="166" t="s">
        <v>424</v>
      </c>
      <c r="C1413" s="19" t="s">
        <v>40</v>
      </c>
      <c r="E1413" s="34" t="s">
        <v>0</v>
      </c>
      <c r="G1413" s="62" t="s">
        <v>41</v>
      </c>
      <c r="H1413" s="34">
        <v>18188</v>
      </c>
      <c r="N1413" s="67" t="s">
        <v>42</v>
      </c>
    </row>
    <row r="1414" spans="2:14" ht="17" x14ac:dyDescent="0.2">
      <c r="B1414" s="138" t="s">
        <v>84</v>
      </c>
      <c r="C1414" s="19" t="s">
        <v>40</v>
      </c>
      <c r="E1414" s="34" t="s">
        <v>0</v>
      </c>
      <c r="G1414" s="62" t="s">
        <v>41</v>
      </c>
      <c r="H1414" s="34">
        <v>18188</v>
      </c>
      <c r="N1414" s="67" t="s">
        <v>42</v>
      </c>
    </row>
    <row r="1415" spans="2:14" ht="17" x14ac:dyDescent="0.2">
      <c r="B1415" s="139" t="s">
        <v>85</v>
      </c>
      <c r="C1415" s="19" t="s">
        <v>40</v>
      </c>
      <c r="E1415" s="34" t="s">
        <v>0</v>
      </c>
      <c r="G1415" s="62" t="s">
        <v>41</v>
      </c>
      <c r="H1415" s="34">
        <v>18188</v>
      </c>
      <c r="N1415" s="67" t="s">
        <v>42</v>
      </c>
    </row>
    <row r="1416" spans="2:14" ht="17" x14ac:dyDescent="0.2">
      <c r="B1416" s="140" t="s">
        <v>86</v>
      </c>
      <c r="N1416" s="67" t="s">
        <v>45</v>
      </c>
    </row>
    <row r="1417" spans="2:14" ht="17" x14ac:dyDescent="0.2">
      <c r="B1417" s="141" t="s">
        <v>87</v>
      </c>
      <c r="C1417" s="19" t="s">
        <v>40</v>
      </c>
      <c r="E1417" s="34" t="s">
        <v>0</v>
      </c>
      <c r="G1417" s="62" t="s">
        <v>41</v>
      </c>
      <c r="H1417" s="34">
        <v>18188</v>
      </c>
      <c r="N1417" s="67" t="s">
        <v>42</v>
      </c>
    </row>
    <row r="1418" spans="2:14" ht="32" x14ac:dyDescent="0.2">
      <c r="B1418" s="140" t="s">
        <v>88</v>
      </c>
      <c r="C1418" s="19"/>
      <c r="N1418" s="67" t="s">
        <v>45</v>
      </c>
    </row>
    <row r="1419" spans="2:14" ht="32" x14ac:dyDescent="0.2">
      <c r="B1419" s="250" t="s">
        <v>89</v>
      </c>
      <c r="C1419" s="19" t="s">
        <v>40</v>
      </c>
      <c r="E1419" s="34" t="s">
        <v>0</v>
      </c>
      <c r="G1419" s="62" t="s">
        <v>41</v>
      </c>
      <c r="H1419" s="34">
        <v>18188</v>
      </c>
      <c r="N1419" s="67" t="s">
        <v>42</v>
      </c>
    </row>
    <row r="1420" spans="2:14" ht="17" x14ac:dyDescent="0.2">
      <c r="B1420" s="140" t="s">
        <v>90</v>
      </c>
      <c r="C1420" s="19"/>
      <c r="N1420" s="67" t="s">
        <v>45</v>
      </c>
    </row>
    <row r="1421" spans="2:14" ht="32" x14ac:dyDescent="0.2">
      <c r="B1421" s="142" t="s">
        <v>91</v>
      </c>
      <c r="C1421" s="19" t="s">
        <v>40</v>
      </c>
      <c r="E1421" s="34" t="s">
        <v>92</v>
      </c>
      <c r="G1421" s="62" t="s">
        <v>41</v>
      </c>
      <c r="H1421" s="34">
        <v>18188</v>
      </c>
      <c r="N1421" s="67" t="s">
        <v>42</v>
      </c>
    </row>
    <row r="1422" spans="2:14" ht="17" x14ac:dyDescent="0.2">
      <c r="B1422" s="140" t="s">
        <v>93</v>
      </c>
      <c r="C1422" s="19"/>
      <c r="N1422" s="67" t="s">
        <v>45</v>
      </c>
    </row>
    <row r="1423" spans="2:14" ht="32" x14ac:dyDescent="0.2">
      <c r="B1423" s="142" t="s">
        <v>94</v>
      </c>
      <c r="C1423" s="19" t="s">
        <v>40</v>
      </c>
      <c r="E1423" s="34" t="s">
        <v>92</v>
      </c>
      <c r="G1423" s="62" t="s">
        <v>41</v>
      </c>
      <c r="H1423" s="34">
        <v>18188</v>
      </c>
      <c r="N1423" s="67" t="s">
        <v>42</v>
      </c>
    </row>
    <row r="1424" spans="2:14" ht="48" x14ac:dyDescent="0.2">
      <c r="B1424" s="143" t="s">
        <v>95</v>
      </c>
      <c r="C1424" s="19" t="s">
        <v>40</v>
      </c>
      <c r="E1424" s="34" t="s">
        <v>92</v>
      </c>
      <c r="G1424" s="62" t="s">
        <v>41</v>
      </c>
      <c r="H1424" s="34">
        <v>18188</v>
      </c>
      <c r="N1424" s="67" t="s">
        <v>42</v>
      </c>
    </row>
    <row r="1425" spans="2:14" ht="17" x14ac:dyDescent="0.2">
      <c r="B1425" s="144" t="s">
        <v>96</v>
      </c>
      <c r="C1425" s="19" t="s">
        <v>40</v>
      </c>
      <c r="E1425" s="34" t="s">
        <v>92</v>
      </c>
      <c r="G1425" s="62" t="s">
        <v>41</v>
      </c>
      <c r="H1425" s="34">
        <v>18188</v>
      </c>
      <c r="N1425" s="67" t="s">
        <v>42</v>
      </c>
    </row>
    <row r="1426" spans="2:14" ht="32" x14ac:dyDescent="0.2">
      <c r="B1426" s="143" t="s">
        <v>97</v>
      </c>
      <c r="C1426" s="19" t="s">
        <v>40</v>
      </c>
      <c r="E1426" s="34" t="s">
        <v>92</v>
      </c>
      <c r="G1426" s="62" t="s">
        <v>41</v>
      </c>
      <c r="H1426" s="34">
        <v>18188</v>
      </c>
      <c r="N1426" s="67" t="s">
        <v>42</v>
      </c>
    </row>
    <row r="1427" spans="2:14" ht="17" x14ac:dyDescent="0.2">
      <c r="B1427" s="142" t="s">
        <v>98</v>
      </c>
      <c r="C1427" s="19" t="s">
        <v>40</v>
      </c>
      <c r="E1427" s="34" t="s">
        <v>92</v>
      </c>
      <c r="G1427" s="62" t="s">
        <v>41</v>
      </c>
      <c r="H1427" s="34">
        <v>18188</v>
      </c>
      <c r="N1427" s="67" t="s">
        <v>42</v>
      </c>
    </row>
    <row r="1428" spans="2:14" ht="17" x14ac:dyDescent="0.2">
      <c r="B1428" s="144" t="s">
        <v>99</v>
      </c>
      <c r="C1428" s="19" t="s">
        <v>40</v>
      </c>
      <c r="E1428" s="34" t="s">
        <v>92</v>
      </c>
      <c r="G1428" s="62" t="s">
        <v>41</v>
      </c>
      <c r="H1428" s="34">
        <v>18188</v>
      </c>
      <c r="N1428" s="67" t="s">
        <v>42</v>
      </c>
    </row>
    <row r="1429" spans="2:14" ht="17" x14ac:dyDescent="0.2">
      <c r="B1429" s="143" t="s">
        <v>100</v>
      </c>
      <c r="C1429" s="19" t="s">
        <v>40</v>
      </c>
      <c r="E1429" s="34" t="s">
        <v>92</v>
      </c>
      <c r="G1429" s="62" t="s">
        <v>41</v>
      </c>
      <c r="H1429" s="34">
        <v>18188</v>
      </c>
      <c r="N1429" s="67" t="s">
        <v>42</v>
      </c>
    </row>
    <row r="1430" spans="2:14" ht="17" x14ac:dyDescent="0.2">
      <c r="B1430" s="140" t="s">
        <v>101</v>
      </c>
      <c r="N1430" s="67" t="s">
        <v>45</v>
      </c>
    </row>
    <row r="1431" spans="2:14" ht="17" x14ac:dyDescent="0.2">
      <c r="B1431" s="141" t="s">
        <v>87</v>
      </c>
      <c r="C1431" s="19" t="s">
        <v>40</v>
      </c>
      <c r="E1431" s="34" t="s">
        <v>0</v>
      </c>
      <c r="G1431" s="62" t="s">
        <v>41</v>
      </c>
      <c r="H1431" s="34">
        <v>18188</v>
      </c>
      <c r="N1431" s="67" t="s">
        <v>42</v>
      </c>
    </row>
    <row r="1432" spans="2:14" ht="32" x14ac:dyDescent="0.2">
      <c r="B1432" s="250" t="s">
        <v>102</v>
      </c>
      <c r="C1432" s="19" t="s">
        <v>40</v>
      </c>
      <c r="E1432" s="34" t="s">
        <v>0</v>
      </c>
      <c r="G1432" s="62" t="s">
        <v>41</v>
      </c>
      <c r="H1432" s="34">
        <v>18188</v>
      </c>
      <c r="N1432" s="67" t="s">
        <v>42</v>
      </c>
    </row>
    <row r="1433" spans="2:14" ht="48" x14ac:dyDescent="0.2">
      <c r="B1433" s="143" t="s">
        <v>103</v>
      </c>
      <c r="C1433" s="19" t="s">
        <v>40</v>
      </c>
      <c r="E1433" s="34" t="s">
        <v>0</v>
      </c>
      <c r="G1433" s="62" t="s">
        <v>41</v>
      </c>
      <c r="H1433" s="34">
        <v>18188</v>
      </c>
      <c r="N1433" s="67" t="s">
        <v>42</v>
      </c>
    </row>
    <row r="1434" spans="2:14" ht="17" x14ac:dyDescent="0.2">
      <c r="B1434" s="144" t="s">
        <v>96</v>
      </c>
      <c r="C1434" s="19" t="s">
        <v>40</v>
      </c>
      <c r="E1434" s="34" t="s">
        <v>0</v>
      </c>
      <c r="G1434" s="62" t="s">
        <v>41</v>
      </c>
      <c r="H1434" s="34">
        <v>18188</v>
      </c>
      <c r="N1434" s="67" t="s">
        <v>42</v>
      </c>
    </row>
    <row r="1435" spans="2:14" ht="32" x14ac:dyDescent="0.2">
      <c r="B1435" s="143" t="s">
        <v>104</v>
      </c>
      <c r="C1435" s="19" t="s">
        <v>40</v>
      </c>
      <c r="E1435" s="34" t="s">
        <v>0</v>
      </c>
      <c r="G1435" s="62" t="s">
        <v>41</v>
      </c>
      <c r="H1435" s="34">
        <v>18188</v>
      </c>
      <c r="N1435" s="67" t="s">
        <v>42</v>
      </c>
    </row>
    <row r="1436" spans="2:14" ht="32" x14ac:dyDescent="0.2">
      <c r="B1436" s="142" t="s">
        <v>105</v>
      </c>
      <c r="C1436" s="19" t="s">
        <v>40</v>
      </c>
      <c r="E1436" s="34" t="s">
        <v>0</v>
      </c>
      <c r="G1436" s="62" t="s">
        <v>41</v>
      </c>
      <c r="H1436" s="34">
        <v>18188</v>
      </c>
      <c r="N1436" s="67" t="s">
        <v>42</v>
      </c>
    </row>
    <row r="1437" spans="2:14" ht="17" x14ac:dyDescent="0.2">
      <c r="B1437" s="144" t="s">
        <v>99</v>
      </c>
      <c r="C1437" s="19" t="s">
        <v>40</v>
      </c>
      <c r="E1437" s="34" t="s">
        <v>0</v>
      </c>
      <c r="G1437" s="62" t="s">
        <v>41</v>
      </c>
      <c r="H1437" s="34">
        <v>18188</v>
      </c>
      <c r="N1437" s="67" t="s">
        <v>42</v>
      </c>
    </row>
    <row r="1438" spans="2:14" ht="17" x14ac:dyDescent="0.2">
      <c r="B1438" s="143" t="s">
        <v>106</v>
      </c>
      <c r="C1438" s="19" t="s">
        <v>40</v>
      </c>
      <c r="E1438" s="34" t="s">
        <v>0</v>
      </c>
      <c r="G1438" s="62" t="s">
        <v>41</v>
      </c>
      <c r="H1438" s="34">
        <v>18188</v>
      </c>
      <c r="N1438" s="67" t="s">
        <v>42</v>
      </c>
    </row>
    <row r="1439" spans="2:14" ht="17" x14ac:dyDescent="0.2">
      <c r="B1439" s="140" t="s">
        <v>107</v>
      </c>
      <c r="N1439" s="67" t="s">
        <v>45</v>
      </c>
    </row>
    <row r="1440" spans="2:14" ht="17" x14ac:dyDescent="0.2">
      <c r="B1440" s="141" t="s">
        <v>87</v>
      </c>
      <c r="C1440" s="19" t="s">
        <v>40</v>
      </c>
      <c r="E1440" s="34" t="s">
        <v>0</v>
      </c>
      <c r="G1440" s="62" t="s">
        <v>41</v>
      </c>
      <c r="H1440" s="34">
        <v>18188</v>
      </c>
      <c r="N1440" s="67" t="s">
        <v>42</v>
      </c>
    </row>
    <row r="1441" spans="2:14" ht="32" x14ac:dyDescent="0.2">
      <c r="B1441" s="142" t="s">
        <v>102</v>
      </c>
      <c r="C1441" s="19" t="s">
        <v>40</v>
      </c>
      <c r="E1441" s="34" t="s">
        <v>0</v>
      </c>
      <c r="G1441" s="62" t="s">
        <v>41</v>
      </c>
      <c r="H1441" s="34">
        <v>18188</v>
      </c>
      <c r="N1441" s="67" t="s">
        <v>42</v>
      </c>
    </row>
    <row r="1442" spans="2:14" ht="48" x14ac:dyDescent="0.2">
      <c r="B1442" s="143" t="s">
        <v>108</v>
      </c>
      <c r="C1442" s="19" t="s">
        <v>40</v>
      </c>
      <c r="E1442" s="34" t="s">
        <v>0</v>
      </c>
      <c r="G1442" s="62" t="s">
        <v>41</v>
      </c>
      <c r="H1442" s="34">
        <v>18188</v>
      </c>
      <c r="N1442" s="67" t="s">
        <v>42</v>
      </c>
    </row>
    <row r="1443" spans="2:14" ht="17" x14ac:dyDescent="0.2">
      <c r="B1443" s="144" t="s">
        <v>96</v>
      </c>
      <c r="C1443" s="19" t="s">
        <v>40</v>
      </c>
      <c r="E1443" s="34" t="s">
        <v>0</v>
      </c>
      <c r="G1443" s="62" t="s">
        <v>41</v>
      </c>
      <c r="H1443" s="34">
        <v>18188</v>
      </c>
      <c r="N1443" s="67" t="s">
        <v>42</v>
      </c>
    </row>
    <row r="1444" spans="2:14" ht="32" x14ac:dyDescent="0.2">
      <c r="B1444" s="143" t="s">
        <v>109</v>
      </c>
      <c r="C1444" s="19" t="s">
        <v>40</v>
      </c>
      <c r="E1444" s="34" t="s">
        <v>0</v>
      </c>
      <c r="G1444" s="62" t="s">
        <v>41</v>
      </c>
      <c r="H1444" s="34">
        <v>18188</v>
      </c>
      <c r="N1444" s="67" t="s">
        <v>42</v>
      </c>
    </row>
    <row r="1445" spans="2:14" ht="32" x14ac:dyDescent="0.2">
      <c r="B1445" s="142" t="s">
        <v>110</v>
      </c>
      <c r="C1445" s="19" t="s">
        <v>40</v>
      </c>
      <c r="E1445" s="34" t="s">
        <v>0</v>
      </c>
      <c r="G1445" s="62" t="s">
        <v>41</v>
      </c>
      <c r="H1445" s="34">
        <v>18188</v>
      </c>
      <c r="N1445" s="67" t="s">
        <v>42</v>
      </c>
    </row>
    <row r="1446" spans="2:14" ht="17" x14ac:dyDescent="0.2">
      <c r="B1446" s="144" t="s">
        <v>99</v>
      </c>
      <c r="C1446" s="19" t="s">
        <v>40</v>
      </c>
      <c r="E1446" s="34" t="s">
        <v>0</v>
      </c>
      <c r="G1446" s="62" t="s">
        <v>41</v>
      </c>
      <c r="H1446" s="34">
        <v>18188</v>
      </c>
      <c r="N1446" s="67" t="s">
        <v>42</v>
      </c>
    </row>
    <row r="1447" spans="2:14" ht="17" x14ac:dyDescent="0.2">
      <c r="B1447" s="143" t="s">
        <v>111</v>
      </c>
      <c r="C1447" s="19" t="s">
        <v>40</v>
      </c>
      <c r="E1447" s="34" t="s">
        <v>0</v>
      </c>
      <c r="G1447" s="62" t="s">
        <v>41</v>
      </c>
      <c r="H1447" s="34">
        <v>18188</v>
      </c>
      <c r="N1447" s="67" t="s">
        <v>42</v>
      </c>
    </row>
    <row r="1448" spans="2:14" ht="17" x14ac:dyDescent="0.2">
      <c r="B1448" s="140" t="s">
        <v>112</v>
      </c>
      <c r="N1448" s="67" t="s">
        <v>45</v>
      </c>
    </row>
    <row r="1449" spans="2:14" ht="17" x14ac:dyDescent="0.2">
      <c r="B1449" s="141" t="s">
        <v>87</v>
      </c>
      <c r="C1449" s="19" t="s">
        <v>40</v>
      </c>
      <c r="E1449" s="34" t="s">
        <v>0</v>
      </c>
      <c r="G1449" s="62" t="s">
        <v>41</v>
      </c>
      <c r="H1449" s="34">
        <v>18188</v>
      </c>
      <c r="N1449" s="67" t="s">
        <v>42</v>
      </c>
    </row>
    <row r="1450" spans="2:14" ht="32" x14ac:dyDescent="0.2">
      <c r="B1450" s="142" t="s">
        <v>102</v>
      </c>
      <c r="C1450" s="19" t="s">
        <v>40</v>
      </c>
      <c r="E1450" s="34" t="s">
        <v>0</v>
      </c>
      <c r="G1450" s="62" t="s">
        <v>41</v>
      </c>
      <c r="H1450" s="34">
        <v>18188</v>
      </c>
      <c r="N1450" s="67" t="s">
        <v>42</v>
      </c>
    </row>
    <row r="1451" spans="2:14" ht="48" x14ac:dyDescent="0.2">
      <c r="B1451" s="143" t="s">
        <v>113</v>
      </c>
      <c r="C1451" s="19" t="s">
        <v>40</v>
      </c>
      <c r="E1451" s="34" t="s">
        <v>0</v>
      </c>
      <c r="G1451" s="62" t="s">
        <v>41</v>
      </c>
      <c r="H1451" s="34">
        <v>18188</v>
      </c>
      <c r="N1451" s="67" t="s">
        <v>42</v>
      </c>
    </row>
    <row r="1452" spans="2:14" ht="17" x14ac:dyDescent="0.2">
      <c r="B1452" s="144" t="s">
        <v>96</v>
      </c>
      <c r="C1452" s="19" t="s">
        <v>40</v>
      </c>
      <c r="E1452" s="34" t="s">
        <v>0</v>
      </c>
      <c r="G1452" s="62" t="s">
        <v>41</v>
      </c>
      <c r="H1452" s="34">
        <v>18188</v>
      </c>
      <c r="N1452" s="67" t="s">
        <v>42</v>
      </c>
    </row>
    <row r="1453" spans="2:14" ht="32" x14ac:dyDescent="0.2">
      <c r="B1453" s="143" t="s">
        <v>97</v>
      </c>
      <c r="C1453" s="19" t="s">
        <v>40</v>
      </c>
      <c r="E1453" s="34" t="s">
        <v>0</v>
      </c>
      <c r="G1453" s="62" t="s">
        <v>41</v>
      </c>
      <c r="H1453" s="34">
        <v>18188</v>
      </c>
      <c r="N1453" s="67" t="s">
        <v>42</v>
      </c>
    </row>
    <row r="1454" spans="2:14" ht="32" x14ac:dyDescent="0.2">
      <c r="B1454" s="142" t="s">
        <v>114</v>
      </c>
      <c r="C1454" s="19" t="s">
        <v>40</v>
      </c>
      <c r="E1454" s="34" t="s">
        <v>0</v>
      </c>
      <c r="G1454" s="62" t="s">
        <v>41</v>
      </c>
      <c r="H1454" s="34">
        <v>18188</v>
      </c>
      <c r="N1454" s="67" t="s">
        <v>42</v>
      </c>
    </row>
    <row r="1455" spans="2:14" ht="17" x14ac:dyDescent="0.2">
      <c r="B1455" s="144" t="s">
        <v>99</v>
      </c>
      <c r="C1455" s="19" t="s">
        <v>40</v>
      </c>
      <c r="E1455" s="34" t="s">
        <v>0</v>
      </c>
      <c r="G1455" s="62" t="s">
        <v>41</v>
      </c>
      <c r="H1455" s="34">
        <v>18188</v>
      </c>
      <c r="N1455" s="67" t="s">
        <v>42</v>
      </c>
    </row>
    <row r="1456" spans="2:14" ht="17" x14ac:dyDescent="0.2">
      <c r="B1456" s="143" t="s">
        <v>115</v>
      </c>
      <c r="C1456" s="19" t="s">
        <v>40</v>
      </c>
      <c r="E1456" s="34" t="s">
        <v>0</v>
      </c>
      <c r="G1456" s="62" t="s">
        <v>41</v>
      </c>
      <c r="H1456" s="34">
        <v>18188</v>
      </c>
      <c r="N1456" s="67" t="s">
        <v>42</v>
      </c>
    </row>
    <row r="1457" spans="2:14" ht="34" x14ac:dyDescent="0.2">
      <c r="B1457" s="132" t="s">
        <v>116</v>
      </c>
      <c r="N1457" s="67" t="s">
        <v>45</v>
      </c>
    </row>
    <row r="1458" spans="2:14" ht="64" x14ac:dyDescent="0.2">
      <c r="B1458" s="143" t="s">
        <v>117</v>
      </c>
      <c r="C1458" s="19" t="s">
        <v>40</v>
      </c>
      <c r="E1458" s="34" t="s">
        <v>92</v>
      </c>
      <c r="G1458" s="62" t="s">
        <v>41</v>
      </c>
      <c r="H1458" s="34">
        <v>18188</v>
      </c>
      <c r="N1458" s="67" t="s">
        <v>42</v>
      </c>
    </row>
    <row r="1459" spans="2:14" ht="64" x14ac:dyDescent="0.2">
      <c r="B1459" s="143" t="s">
        <v>118</v>
      </c>
      <c r="C1459" s="19" t="s">
        <v>40</v>
      </c>
      <c r="E1459" s="34" t="s">
        <v>92</v>
      </c>
      <c r="G1459" s="62" t="s">
        <v>41</v>
      </c>
      <c r="H1459" s="34">
        <v>18188</v>
      </c>
      <c r="N1459" s="67" t="s">
        <v>42</v>
      </c>
    </row>
    <row r="1460" spans="2:14" ht="17" x14ac:dyDescent="0.2">
      <c r="B1460" s="143" t="s">
        <v>119</v>
      </c>
      <c r="C1460" s="19" t="s">
        <v>40</v>
      </c>
      <c r="E1460" s="34" t="s">
        <v>92</v>
      </c>
      <c r="G1460" s="62" t="s">
        <v>41</v>
      </c>
      <c r="H1460" s="34">
        <v>18188</v>
      </c>
      <c r="N1460" s="67" t="s">
        <v>42</v>
      </c>
    </row>
    <row r="1461" spans="2:14" ht="32" x14ac:dyDescent="0.2">
      <c r="B1461" s="143" t="s">
        <v>120</v>
      </c>
      <c r="C1461" s="19" t="s">
        <v>40</v>
      </c>
      <c r="E1461" s="34" t="s">
        <v>92</v>
      </c>
      <c r="G1461" s="62" t="s">
        <v>41</v>
      </c>
      <c r="H1461" s="34">
        <v>18188</v>
      </c>
      <c r="N1461" s="67" t="s">
        <v>42</v>
      </c>
    </row>
    <row r="1462" spans="2:14" ht="17" x14ac:dyDescent="0.2">
      <c r="B1462" s="128" t="s">
        <v>121</v>
      </c>
      <c r="C1462" s="19"/>
      <c r="N1462" s="67" t="s">
        <v>45</v>
      </c>
    </row>
    <row r="1463" spans="2:14" ht="17" x14ac:dyDescent="0.2">
      <c r="B1463" s="145" t="s">
        <v>122</v>
      </c>
      <c r="C1463" s="19" t="s">
        <v>40</v>
      </c>
      <c r="E1463" s="34" t="s">
        <v>0</v>
      </c>
      <c r="G1463" s="62" t="s">
        <v>41</v>
      </c>
      <c r="H1463" s="34">
        <v>18188</v>
      </c>
      <c r="N1463" s="67" t="s">
        <v>42</v>
      </c>
    </row>
    <row r="1464" spans="2:14" ht="17" x14ac:dyDescent="0.2">
      <c r="B1464" s="139" t="s">
        <v>123</v>
      </c>
      <c r="C1464" s="19" t="s">
        <v>40</v>
      </c>
      <c r="E1464" s="34" t="s">
        <v>0</v>
      </c>
      <c r="G1464" s="62" t="s">
        <v>41</v>
      </c>
      <c r="H1464" s="34">
        <v>18188</v>
      </c>
      <c r="N1464" s="67" t="s">
        <v>42</v>
      </c>
    </row>
    <row r="1465" spans="2:14" ht="51" x14ac:dyDescent="0.2">
      <c r="B1465" s="167" t="s">
        <v>425</v>
      </c>
      <c r="C1465" s="19" t="s">
        <v>40</v>
      </c>
      <c r="E1465" s="34" t="s">
        <v>0</v>
      </c>
      <c r="G1465" s="62" t="s">
        <v>41</v>
      </c>
      <c r="H1465" s="34">
        <v>18188</v>
      </c>
      <c r="N1465" s="67" t="s">
        <v>42</v>
      </c>
    </row>
    <row r="1466" spans="2:14" ht="17" x14ac:dyDescent="0.2">
      <c r="B1466" s="139" t="s">
        <v>125</v>
      </c>
      <c r="C1466" s="19" t="s">
        <v>40</v>
      </c>
      <c r="E1466" s="34" t="s">
        <v>0</v>
      </c>
      <c r="G1466" s="62" t="s">
        <v>41</v>
      </c>
      <c r="H1466" s="34">
        <v>18188</v>
      </c>
      <c r="N1466" s="67" t="s">
        <v>42</v>
      </c>
    </row>
    <row r="1467" spans="2:14" ht="17" x14ac:dyDescent="0.2">
      <c r="B1467" s="145" t="s">
        <v>126</v>
      </c>
      <c r="C1467" s="19" t="s">
        <v>40</v>
      </c>
      <c r="E1467" s="34" t="s">
        <v>0</v>
      </c>
      <c r="G1467" s="62" t="s">
        <v>41</v>
      </c>
      <c r="H1467" s="34">
        <v>18188</v>
      </c>
      <c r="N1467" s="67" t="s">
        <v>42</v>
      </c>
    </row>
    <row r="1468" spans="2:14" ht="17" x14ac:dyDescent="0.2">
      <c r="B1468" s="166" t="s">
        <v>361</v>
      </c>
      <c r="C1468" s="19" t="s">
        <v>40</v>
      </c>
      <c r="E1468" s="34" t="s">
        <v>0</v>
      </c>
      <c r="G1468" s="62" t="s">
        <v>41</v>
      </c>
      <c r="H1468" s="34">
        <v>18188</v>
      </c>
      <c r="N1468" s="67" t="s">
        <v>42</v>
      </c>
    </row>
    <row r="1469" spans="2:14" ht="17" x14ac:dyDescent="0.2">
      <c r="B1469" s="166" t="s">
        <v>362</v>
      </c>
      <c r="C1469" s="19" t="s">
        <v>40</v>
      </c>
      <c r="E1469" s="34" t="s">
        <v>0</v>
      </c>
      <c r="G1469" s="62" t="s">
        <v>41</v>
      </c>
      <c r="H1469" s="34">
        <v>18188</v>
      </c>
      <c r="N1469" s="67" t="s">
        <v>42</v>
      </c>
    </row>
    <row r="1470" spans="2:14" ht="17" x14ac:dyDescent="0.2">
      <c r="B1470" s="220" t="s">
        <v>129</v>
      </c>
      <c r="C1470" s="19" t="s">
        <v>40</v>
      </c>
      <c r="E1470" s="34" t="s">
        <v>0</v>
      </c>
      <c r="G1470" s="62" t="s">
        <v>41</v>
      </c>
      <c r="H1470" s="34">
        <v>18188</v>
      </c>
      <c r="N1470" s="67" t="s">
        <v>42</v>
      </c>
    </row>
    <row r="1471" spans="2:14" ht="17" x14ac:dyDescent="0.2">
      <c r="B1471" s="166" t="s">
        <v>400</v>
      </c>
      <c r="C1471" s="19" t="s">
        <v>40</v>
      </c>
      <c r="E1471" s="34" t="s">
        <v>0</v>
      </c>
      <c r="G1471" s="62" t="s">
        <v>41</v>
      </c>
      <c r="H1471" s="34">
        <v>18188</v>
      </c>
      <c r="N1471" s="67" t="s">
        <v>42</v>
      </c>
    </row>
    <row r="1472" spans="2:14" ht="17" x14ac:dyDescent="0.2">
      <c r="B1472" s="168" t="s">
        <v>131</v>
      </c>
      <c r="C1472" s="19" t="s">
        <v>40</v>
      </c>
      <c r="E1472" s="34" t="s">
        <v>0</v>
      </c>
      <c r="G1472" s="62" t="s">
        <v>41</v>
      </c>
      <c r="H1472" s="34">
        <v>18188</v>
      </c>
      <c r="N1472" s="67" t="s">
        <v>42</v>
      </c>
    </row>
    <row r="1473" spans="2:14" ht="17" x14ac:dyDescent="0.2">
      <c r="B1473" s="147" t="s">
        <v>132</v>
      </c>
      <c r="C1473" s="19" t="s">
        <v>40</v>
      </c>
      <c r="E1473" s="34" t="s">
        <v>0</v>
      </c>
      <c r="G1473" s="62" t="s">
        <v>41</v>
      </c>
      <c r="H1473" s="34">
        <v>18188</v>
      </c>
      <c r="N1473" s="67" t="s">
        <v>42</v>
      </c>
    </row>
    <row r="1474" spans="2:14" ht="17" x14ac:dyDescent="0.2">
      <c r="B1474" s="147" t="s">
        <v>134</v>
      </c>
      <c r="C1474" s="19" t="s">
        <v>40</v>
      </c>
      <c r="E1474" s="34" t="s">
        <v>0</v>
      </c>
      <c r="G1474" s="62" t="s">
        <v>41</v>
      </c>
      <c r="H1474" s="34">
        <v>18188</v>
      </c>
      <c r="N1474" s="67" t="s">
        <v>42</v>
      </c>
    </row>
    <row r="1475" spans="2:14" ht="17" x14ac:dyDescent="0.2">
      <c r="B1475" s="147" t="s">
        <v>136</v>
      </c>
      <c r="C1475" s="19" t="s">
        <v>40</v>
      </c>
      <c r="E1475" s="34" t="s">
        <v>0</v>
      </c>
      <c r="G1475" s="62" t="s">
        <v>41</v>
      </c>
      <c r="H1475" s="34">
        <v>18188</v>
      </c>
      <c r="N1475" s="67" t="s">
        <v>42</v>
      </c>
    </row>
    <row r="1476" spans="2:14" ht="20" x14ac:dyDescent="0.25">
      <c r="B1476" s="230" t="s">
        <v>238</v>
      </c>
      <c r="C1476" s="19"/>
      <c r="E1476" s="34" t="s">
        <v>0</v>
      </c>
      <c r="N1476" s="67" t="s">
        <v>45</v>
      </c>
    </row>
    <row r="1477" spans="2:14" ht="17" x14ac:dyDescent="0.2">
      <c r="B1477" s="147" t="s">
        <v>346</v>
      </c>
      <c r="C1477" s="19" t="s">
        <v>40</v>
      </c>
      <c r="E1477" s="34" t="s">
        <v>0</v>
      </c>
      <c r="G1477" s="62" t="s">
        <v>41</v>
      </c>
      <c r="H1477" s="34">
        <v>18188</v>
      </c>
      <c r="N1477" s="67" t="s">
        <v>42</v>
      </c>
    </row>
    <row r="1478" spans="2:14" ht="17" x14ac:dyDescent="0.2">
      <c r="B1478" s="166" t="s">
        <v>347</v>
      </c>
      <c r="C1478" s="19" t="s">
        <v>40</v>
      </c>
      <c r="E1478" s="34" t="s">
        <v>0</v>
      </c>
      <c r="G1478" s="62" t="s">
        <v>41</v>
      </c>
      <c r="H1478" s="34">
        <v>18188</v>
      </c>
      <c r="N1478" s="67" t="s">
        <v>42</v>
      </c>
    </row>
    <row r="1479" spans="2:14" ht="17" x14ac:dyDescent="0.2">
      <c r="B1479" s="166" t="s">
        <v>426</v>
      </c>
      <c r="C1479" s="19" t="s">
        <v>40</v>
      </c>
      <c r="E1479" s="34" t="s">
        <v>0</v>
      </c>
      <c r="G1479" s="62" t="s">
        <v>41</v>
      </c>
      <c r="H1479" s="34">
        <v>18188</v>
      </c>
      <c r="N1479" s="67" t="s">
        <v>42</v>
      </c>
    </row>
    <row r="1480" spans="2:14" ht="17" x14ac:dyDescent="0.2">
      <c r="B1480" s="166" t="s">
        <v>427</v>
      </c>
      <c r="C1480" s="19" t="s">
        <v>40</v>
      </c>
      <c r="E1480" s="34" t="s">
        <v>0</v>
      </c>
      <c r="G1480" s="62" t="s">
        <v>41</v>
      </c>
      <c r="H1480" s="34">
        <v>18188</v>
      </c>
      <c r="N1480" s="67" t="s">
        <v>42</v>
      </c>
    </row>
    <row r="1481" spans="2:14" ht="17" x14ac:dyDescent="0.2">
      <c r="B1481" s="166" t="s">
        <v>350</v>
      </c>
      <c r="C1481" s="19" t="s">
        <v>40</v>
      </c>
      <c r="E1481" s="34" t="s">
        <v>0</v>
      </c>
      <c r="G1481" s="62" t="s">
        <v>41</v>
      </c>
      <c r="H1481" s="34">
        <v>18188</v>
      </c>
      <c r="N1481" s="67" t="s">
        <v>42</v>
      </c>
    </row>
    <row r="1482" spans="2:14" ht="23" x14ac:dyDescent="0.3">
      <c r="B1482" s="148" t="s">
        <v>137</v>
      </c>
      <c r="C1482" s="19"/>
      <c r="N1482" s="67" t="s">
        <v>45</v>
      </c>
    </row>
    <row r="1483" spans="2:14" ht="23" x14ac:dyDescent="0.3">
      <c r="B1483" s="148" t="s">
        <v>138</v>
      </c>
      <c r="C1483" s="19"/>
      <c r="N1483" s="67" t="s">
        <v>45</v>
      </c>
    </row>
    <row r="1484" spans="2:14" ht="30" customHeight="1" x14ac:dyDescent="0.2">
      <c r="B1484" s="168" t="s">
        <v>330</v>
      </c>
      <c r="C1484" s="19" t="s">
        <v>40</v>
      </c>
      <c r="E1484" s="34" t="s">
        <v>0</v>
      </c>
      <c r="G1484" s="62" t="s">
        <v>41</v>
      </c>
      <c r="H1484" s="34">
        <v>18188</v>
      </c>
      <c r="N1484" s="67" t="s">
        <v>42</v>
      </c>
    </row>
    <row r="1485" spans="2:14" ht="34" x14ac:dyDescent="0.2">
      <c r="B1485" s="147" t="s">
        <v>331</v>
      </c>
      <c r="C1485" s="19" t="s">
        <v>40</v>
      </c>
      <c r="E1485" s="34" t="s">
        <v>0</v>
      </c>
      <c r="G1485" s="62" t="s">
        <v>41</v>
      </c>
      <c r="H1485" s="34">
        <v>18188</v>
      </c>
      <c r="N1485" s="67" t="s">
        <v>42</v>
      </c>
    </row>
    <row r="1486" spans="2:14" ht="34" x14ac:dyDescent="0.2">
      <c r="B1486" s="168" t="s">
        <v>405</v>
      </c>
      <c r="C1486" s="19" t="s">
        <v>40</v>
      </c>
      <c r="E1486" s="34" t="s">
        <v>0</v>
      </c>
      <c r="G1486" s="62" t="s">
        <v>41</v>
      </c>
      <c r="H1486" s="34">
        <v>18188</v>
      </c>
      <c r="N1486" s="67" t="s">
        <v>42</v>
      </c>
    </row>
    <row r="1487" spans="2:14" ht="34" x14ac:dyDescent="0.2">
      <c r="B1487" s="168" t="s">
        <v>406</v>
      </c>
      <c r="C1487" s="19" t="s">
        <v>40</v>
      </c>
      <c r="E1487" s="34" t="s">
        <v>0</v>
      </c>
      <c r="G1487" s="62" t="s">
        <v>41</v>
      </c>
      <c r="H1487" s="34">
        <v>18188</v>
      </c>
      <c r="N1487" s="67" t="s">
        <v>42</v>
      </c>
    </row>
    <row r="1488" spans="2:14" ht="17" x14ac:dyDescent="0.2">
      <c r="B1488" s="168" t="s">
        <v>407</v>
      </c>
      <c r="C1488" s="19" t="s">
        <v>40</v>
      </c>
      <c r="E1488" s="34" t="s">
        <v>0</v>
      </c>
      <c r="G1488" s="62" t="s">
        <v>41</v>
      </c>
      <c r="H1488" s="34">
        <v>18188</v>
      </c>
      <c r="N1488" s="67" t="s">
        <v>42</v>
      </c>
    </row>
    <row r="1489" spans="2:14" ht="23" x14ac:dyDescent="0.3">
      <c r="B1489" s="148" t="s">
        <v>144</v>
      </c>
      <c r="C1489" s="19"/>
      <c r="N1489" s="67" t="s">
        <v>45</v>
      </c>
    </row>
    <row r="1490" spans="2:14" ht="17" x14ac:dyDescent="0.2">
      <c r="B1490" s="147" t="s">
        <v>145</v>
      </c>
      <c r="C1490" s="19" t="s">
        <v>40</v>
      </c>
      <c r="E1490" s="34" t="s">
        <v>0</v>
      </c>
      <c r="G1490" s="62" t="s">
        <v>41</v>
      </c>
      <c r="H1490" s="34">
        <v>18188</v>
      </c>
      <c r="N1490" s="67" t="s">
        <v>42</v>
      </c>
    </row>
    <row r="1491" spans="2:14" ht="17" x14ac:dyDescent="0.2">
      <c r="B1491" s="168" t="s">
        <v>428</v>
      </c>
      <c r="C1491" s="19" t="s">
        <v>40</v>
      </c>
      <c r="E1491" s="34" t="s">
        <v>0</v>
      </c>
      <c r="G1491" s="62" t="s">
        <v>41</v>
      </c>
      <c r="H1491" s="34">
        <v>18188</v>
      </c>
      <c r="N1491" s="67" t="s">
        <v>42</v>
      </c>
    </row>
    <row r="1492" spans="2:14" ht="17" x14ac:dyDescent="0.2">
      <c r="B1492" s="168" t="s">
        <v>429</v>
      </c>
      <c r="C1492" s="19" t="s">
        <v>40</v>
      </c>
      <c r="E1492" s="34" t="s">
        <v>0</v>
      </c>
      <c r="G1492" s="62" t="s">
        <v>41</v>
      </c>
      <c r="H1492" s="34">
        <v>18188</v>
      </c>
      <c r="N1492" s="67" t="s">
        <v>42</v>
      </c>
    </row>
    <row r="1493" spans="2:14" ht="17" x14ac:dyDescent="0.2">
      <c r="B1493" s="168" t="s">
        <v>430</v>
      </c>
      <c r="C1493" s="19" t="s">
        <v>40</v>
      </c>
      <c r="E1493" s="34" t="s">
        <v>0</v>
      </c>
      <c r="G1493" s="62" t="s">
        <v>41</v>
      </c>
      <c r="H1493" s="34">
        <v>18188</v>
      </c>
      <c r="N1493" s="67" t="s">
        <v>42</v>
      </c>
    </row>
    <row r="1494" spans="2:14" ht="17" x14ac:dyDescent="0.2">
      <c r="B1494" s="168" t="s">
        <v>149</v>
      </c>
      <c r="C1494" s="19" t="s">
        <v>40</v>
      </c>
      <c r="E1494" s="34" t="s">
        <v>0</v>
      </c>
      <c r="G1494" s="62" t="s">
        <v>41</v>
      </c>
      <c r="H1494" s="34">
        <v>18188</v>
      </c>
      <c r="N1494" s="67" t="s">
        <v>42</v>
      </c>
    </row>
    <row r="1495" spans="2:14" ht="20" x14ac:dyDescent="0.25">
      <c r="B1495" s="149" t="s">
        <v>150</v>
      </c>
      <c r="C1495" s="19"/>
      <c r="G1495" s="62"/>
      <c r="H1495" s="34"/>
      <c r="N1495" s="67" t="s">
        <v>45</v>
      </c>
    </row>
    <row r="1496" spans="2:14" ht="17" x14ac:dyDescent="0.2">
      <c r="B1496" s="150" t="s">
        <v>151</v>
      </c>
      <c r="C1496" s="19"/>
      <c r="N1496" s="67" t="s">
        <v>45</v>
      </c>
    </row>
    <row r="1497" spans="2:14" ht="17" x14ac:dyDescent="0.2">
      <c r="B1497" s="151" t="s">
        <v>152</v>
      </c>
      <c r="C1497" s="19" t="s">
        <v>40</v>
      </c>
      <c r="E1497" s="34" t="s">
        <v>0</v>
      </c>
      <c r="G1497" s="62" t="s">
        <v>41</v>
      </c>
      <c r="H1497" s="34">
        <v>18188</v>
      </c>
      <c r="N1497" s="67" t="s">
        <v>42</v>
      </c>
    </row>
    <row r="1498" spans="2:14" ht="17" x14ac:dyDescent="0.2">
      <c r="B1498" s="151" t="s">
        <v>153</v>
      </c>
      <c r="C1498" s="19" t="s">
        <v>40</v>
      </c>
      <c r="E1498" s="34" t="s">
        <v>0</v>
      </c>
      <c r="G1498" s="62" t="s">
        <v>41</v>
      </c>
      <c r="H1498" s="34">
        <v>18188</v>
      </c>
      <c r="N1498" s="67" t="s">
        <v>42</v>
      </c>
    </row>
    <row r="1499" spans="2:14" ht="17" x14ac:dyDescent="0.2">
      <c r="B1499" s="152" t="s">
        <v>154</v>
      </c>
      <c r="C1499" s="19" t="s">
        <v>40</v>
      </c>
      <c r="E1499" s="34" t="s">
        <v>0</v>
      </c>
      <c r="G1499" s="62" t="s">
        <v>41</v>
      </c>
      <c r="H1499" s="34">
        <v>18188</v>
      </c>
      <c r="N1499" s="67" t="s">
        <v>42</v>
      </c>
    </row>
    <row r="1500" spans="2:14" ht="17" x14ac:dyDescent="0.2">
      <c r="B1500" s="143" t="s">
        <v>155</v>
      </c>
      <c r="C1500" s="19" t="s">
        <v>40</v>
      </c>
      <c r="E1500" s="34" t="s">
        <v>0</v>
      </c>
      <c r="G1500" s="62" t="s">
        <v>41</v>
      </c>
      <c r="H1500" s="34">
        <v>18188</v>
      </c>
      <c r="N1500" s="67" t="s">
        <v>42</v>
      </c>
    </row>
    <row r="1501" spans="2:14" ht="17" x14ac:dyDescent="0.2">
      <c r="B1501" s="153" t="s">
        <v>156</v>
      </c>
      <c r="N1501" s="67" t="s">
        <v>45</v>
      </c>
    </row>
    <row r="1502" spans="2:14" ht="17" x14ac:dyDescent="0.2">
      <c r="B1502" s="153" t="s">
        <v>157</v>
      </c>
      <c r="C1502" s="19"/>
      <c r="N1502" s="67" t="s">
        <v>45</v>
      </c>
    </row>
    <row r="1503" spans="2:14" ht="17" x14ac:dyDescent="0.2">
      <c r="B1503" s="154" t="s">
        <v>158</v>
      </c>
      <c r="C1503" s="19" t="s">
        <v>40</v>
      </c>
      <c r="E1503" s="34" t="s">
        <v>0</v>
      </c>
      <c r="G1503" s="62" t="s">
        <v>41</v>
      </c>
      <c r="H1503" s="34">
        <v>18188</v>
      </c>
      <c r="N1503" s="67" t="s">
        <v>42</v>
      </c>
    </row>
    <row r="1504" spans="2:14" ht="17" x14ac:dyDescent="0.2">
      <c r="B1504" s="155" t="s">
        <v>159</v>
      </c>
      <c r="C1504" s="19" t="s">
        <v>40</v>
      </c>
      <c r="E1504" s="34" t="s">
        <v>0</v>
      </c>
      <c r="G1504" s="62" t="s">
        <v>41</v>
      </c>
      <c r="H1504" s="34">
        <v>18188</v>
      </c>
      <c r="N1504" s="67" t="s">
        <v>42</v>
      </c>
    </row>
    <row r="1505" spans="2:14" ht="17" x14ac:dyDescent="0.2">
      <c r="B1505" s="151" t="s">
        <v>160</v>
      </c>
      <c r="C1505" s="19" t="s">
        <v>40</v>
      </c>
      <c r="E1505" s="34" t="s">
        <v>0</v>
      </c>
      <c r="G1505" s="62" t="s">
        <v>41</v>
      </c>
      <c r="H1505" s="34">
        <v>18188</v>
      </c>
      <c r="N1505" s="67" t="s">
        <v>42</v>
      </c>
    </row>
    <row r="1506" spans="2:14" ht="17" x14ac:dyDescent="0.2">
      <c r="B1506" s="153" t="s">
        <v>161</v>
      </c>
      <c r="C1506" s="19"/>
      <c r="N1506" s="67" t="s">
        <v>45</v>
      </c>
    </row>
    <row r="1507" spans="2:14" ht="17" x14ac:dyDescent="0.2">
      <c r="B1507" s="156" t="s">
        <v>162</v>
      </c>
      <c r="C1507" s="19"/>
      <c r="N1507" s="67" t="s">
        <v>45</v>
      </c>
    </row>
    <row r="1508" spans="2:14" ht="48" x14ac:dyDescent="0.2">
      <c r="B1508" s="151" t="s">
        <v>163</v>
      </c>
      <c r="C1508" s="19" t="s">
        <v>40</v>
      </c>
      <c r="E1508" s="34" t="s">
        <v>0</v>
      </c>
      <c r="G1508" s="62" t="s">
        <v>41</v>
      </c>
      <c r="H1508" s="34">
        <v>18188</v>
      </c>
      <c r="N1508" s="67" t="s">
        <v>42</v>
      </c>
    </row>
    <row r="1509" spans="2:14" ht="17" x14ac:dyDescent="0.2">
      <c r="B1509" s="138" t="s">
        <v>164</v>
      </c>
      <c r="C1509" s="19" t="s">
        <v>40</v>
      </c>
      <c r="E1509" s="34" t="s">
        <v>0</v>
      </c>
      <c r="G1509" s="62" t="s">
        <v>41</v>
      </c>
      <c r="H1509" s="34">
        <v>18188</v>
      </c>
      <c r="N1509" s="67" t="s">
        <v>42</v>
      </c>
    </row>
    <row r="1510" spans="2:14" ht="17" x14ac:dyDescent="0.2">
      <c r="B1510" s="156" t="s">
        <v>165</v>
      </c>
      <c r="C1510" s="19"/>
      <c r="N1510" s="67" t="s">
        <v>45</v>
      </c>
    </row>
    <row r="1511" spans="2:14" ht="48" x14ac:dyDescent="0.2">
      <c r="B1511" s="151" t="s">
        <v>166</v>
      </c>
      <c r="C1511" s="19" t="s">
        <v>40</v>
      </c>
      <c r="E1511" s="34" t="s">
        <v>0</v>
      </c>
      <c r="G1511" s="62" t="s">
        <v>41</v>
      </c>
      <c r="H1511" s="34">
        <v>18188</v>
      </c>
      <c r="N1511" s="67" t="s">
        <v>42</v>
      </c>
    </row>
    <row r="1512" spans="2:14" ht="17" x14ac:dyDescent="0.2">
      <c r="B1512" s="138" t="s">
        <v>167</v>
      </c>
      <c r="C1512" s="19" t="s">
        <v>40</v>
      </c>
      <c r="E1512" s="34" t="s">
        <v>0</v>
      </c>
      <c r="G1512" s="62" t="s">
        <v>41</v>
      </c>
      <c r="H1512" s="34">
        <v>18188</v>
      </c>
      <c r="N1512" s="67" t="s">
        <v>42</v>
      </c>
    </row>
    <row r="1513" spans="2:14" ht="17" x14ac:dyDescent="0.2">
      <c r="B1513" s="157" t="s">
        <v>168</v>
      </c>
      <c r="N1513" s="67" t="s">
        <v>45</v>
      </c>
    </row>
    <row r="1514" spans="2:14" ht="51" x14ac:dyDescent="0.2">
      <c r="B1514" s="158" t="s">
        <v>169</v>
      </c>
      <c r="C1514" s="19" t="s">
        <v>40</v>
      </c>
      <c r="E1514" s="34" t="s">
        <v>0</v>
      </c>
      <c r="G1514" s="62" t="s">
        <v>41</v>
      </c>
      <c r="H1514" s="34">
        <v>18188</v>
      </c>
      <c r="N1514" s="67" t="s">
        <v>42</v>
      </c>
    </row>
    <row r="1515" spans="2:14" ht="17" x14ac:dyDescent="0.2">
      <c r="B1515" s="159" t="s">
        <v>170</v>
      </c>
      <c r="C1515" s="19" t="s">
        <v>40</v>
      </c>
      <c r="E1515" s="34" t="s">
        <v>0</v>
      </c>
      <c r="G1515" s="62" t="s">
        <v>41</v>
      </c>
      <c r="H1515" s="34">
        <v>18188</v>
      </c>
      <c r="N1515" s="67" t="s">
        <v>42</v>
      </c>
    </row>
    <row r="1516" spans="2:14" ht="17" x14ac:dyDescent="0.2">
      <c r="B1516" s="157" t="s">
        <v>171</v>
      </c>
      <c r="C1516" s="19"/>
      <c r="N1516" s="67" t="s">
        <v>45</v>
      </c>
    </row>
    <row r="1517" spans="2:14" ht="48" x14ac:dyDescent="0.2">
      <c r="B1517" s="144" t="s">
        <v>172</v>
      </c>
      <c r="C1517" s="19" t="s">
        <v>40</v>
      </c>
      <c r="E1517" s="34" t="s">
        <v>0</v>
      </c>
      <c r="G1517" s="62" t="s">
        <v>41</v>
      </c>
      <c r="H1517" s="34">
        <v>18188</v>
      </c>
      <c r="N1517" s="67" t="s">
        <v>42</v>
      </c>
    </row>
    <row r="1518" spans="2:14" ht="17" x14ac:dyDescent="0.2">
      <c r="B1518" s="160" t="s">
        <v>173</v>
      </c>
      <c r="C1518" s="19" t="s">
        <v>40</v>
      </c>
      <c r="E1518" s="34" t="s">
        <v>0</v>
      </c>
      <c r="G1518" s="62" t="s">
        <v>41</v>
      </c>
      <c r="H1518" s="34">
        <v>18188</v>
      </c>
      <c r="N1518" s="67" t="s">
        <v>42</v>
      </c>
    </row>
    <row r="1519" spans="2:14" ht="17" x14ac:dyDescent="0.2">
      <c r="B1519" s="161" t="s">
        <v>174</v>
      </c>
      <c r="N1519" s="67" t="s">
        <v>45</v>
      </c>
    </row>
    <row r="1520" spans="2:14" ht="51" x14ac:dyDescent="0.2">
      <c r="B1520" s="161" t="s">
        <v>175</v>
      </c>
      <c r="C1520" s="19"/>
      <c r="N1520" s="67" t="s">
        <v>45</v>
      </c>
    </row>
    <row r="1521" spans="2:14" ht="17" x14ac:dyDescent="0.2">
      <c r="B1521" s="131" t="s">
        <v>176</v>
      </c>
      <c r="C1521" s="19" t="s">
        <v>40</v>
      </c>
      <c r="E1521" s="34" t="s">
        <v>0</v>
      </c>
      <c r="G1521" s="62" t="s">
        <v>41</v>
      </c>
      <c r="H1521" s="34">
        <v>18188</v>
      </c>
      <c r="N1521" s="67" t="s">
        <v>42</v>
      </c>
    </row>
    <row r="1522" spans="2:14" ht="17" x14ac:dyDescent="0.2">
      <c r="B1522" s="160" t="s">
        <v>177</v>
      </c>
      <c r="C1522" s="19" t="s">
        <v>40</v>
      </c>
      <c r="E1522" s="34" t="s">
        <v>0</v>
      </c>
      <c r="G1522" s="62" t="s">
        <v>41</v>
      </c>
      <c r="H1522" s="34">
        <v>18188</v>
      </c>
      <c r="N1522" s="67" t="s">
        <v>42</v>
      </c>
    </row>
    <row r="1523" spans="2:14" ht="17" x14ac:dyDescent="0.2">
      <c r="B1523" s="131" t="s">
        <v>178</v>
      </c>
      <c r="C1523" s="19" t="s">
        <v>40</v>
      </c>
      <c r="E1523" s="34" t="s">
        <v>0</v>
      </c>
      <c r="G1523" s="62" t="s">
        <v>41</v>
      </c>
      <c r="H1523" s="34">
        <v>18188</v>
      </c>
      <c r="N1523" s="67" t="s">
        <v>42</v>
      </c>
    </row>
    <row r="1524" spans="2:14" ht="68" x14ac:dyDescent="0.2">
      <c r="B1524" s="165" t="s">
        <v>431</v>
      </c>
      <c r="C1524" s="19" t="s">
        <v>40</v>
      </c>
      <c r="E1524" s="34" t="s">
        <v>0</v>
      </c>
      <c r="G1524" s="62" t="s">
        <v>41</v>
      </c>
      <c r="H1524" s="34">
        <v>18188</v>
      </c>
      <c r="N1524" s="67" t="s">
        <v>42</v>
      </c>
    </row>
    <row r="1525" spans="2:14" ht="17" x14ac:dyDescent="0.2">
      <c r="B1525" s="131" t="s">
        <v>180</v>
      </c>
      <c r="C1525" s="19" t="s">
        <v>40</v>
      </c>
      <c r="E1525" s="34" t="s">
        <v>0</v>
      </c>
      <c r="G1525" s="62" t="s">
        <v>41</v>
      </c>
      <c r="H1525" s="34">
        <v>18188</v>
      </c>
      <c r="N1525" s="67" t="s">
        <v>42</v>
      </c>
    </row>
    <row r="1526" spans="2:14" ht="68" x14ac:dyDescent="0.2">
      <c r="B1526" s="131" t="s">
        <v>181</v>
      </c>
      <c r="C1526" s="19" t="s">
        <v>40</v>
      </c>
      <c r="E1526" s="34" t="s">
        <v>0</v>
      </c>
      <c r="G1526" s="62" t="s">
        <v>41</v>
      </c>
      <c r="H1526" s="34">
        <v>18188</v>
      </c>
      <c r="N1526" s="67" t="s">
        <v>42</v>
      </c>
    </row>
    <row r="1527" spans="2:14" ht="17" x14ac:dyDescent="0.2">
      <c r="B1527" s="160" t="s">
        <v>182</v>
      </c>
      <c r="C1527" s="19" t="s">
        <v>40</v>
      </c>
      <c r="E1527" s="34" t="s">
        <v>0</v>
      </c>
      <c r="G1527" s="62" t="s">
        <v>41</v>
      </c>
      <c r="H1527" s="34">
        <v>18188</v>
      </c>
      <c r="N1527" s="67" t="s">
        <v>42</v>
      </c>
    </row>
    <row r="1528" spans="2:14" ht="68" x14ac:dyDescent="0.2">
      <c r="B1528" s="160" t="s">
        <v>432</v>
      </c>
      <c r="C1528" s="19" t="s">
        <v>40</v>
      </c>
      <c r="E1528" s="34" t="s">
        <v>0</v>
      </c>
      <c r="G1528" s="62" t="s">
        <v>41</v>
      </c>
      <c r="H1528" s="34">
        <v>18188</v>
      </c>
      <c r="N1528" s="67" t="s">
        <v>42</v>
      </c>
    </row>
    <row r="1529" spans="2:14" ht="17" x14ac:dyDescent="0.2">
      <c r="B1529" s="162" t="s">
        <v>184</v>
      </c>
      <c r="C1529" s="19" t="s">
        <v>40</v>
      </c>
      <c r="E1529" s="34" t="s">
        <v>0</v>
      </c>
      <c r="G1529" s="62" t="s">
        <v>41</v>
      </c>
      <c r="H1529" s="34">
        <v>18188</v>
      </c>
      <c r="N1529" s="67" t="s">
        <v>42</v>
      </c>
    </row>
    <row r="1530" spans="2:14" ht="17" x14ac:dyDescent="0.2">
      <c r="B1530" s="162" t="s">
        <v>185</v>
      </c>
      <c r="C1530" s="19" t="s">
        <v>40</v>
      </c>
      <c r="E1530" s="34" t="s">
        <v>0</v>
      </c>
      <c r="G1530" s="62" t="s">
        <v>41</v>
      </c>
      <c r="H1530" s="34">
        <v>18188</v>
      </c>
      <c r="N1530" s="67" t="s">
        <v>42</v>
      </c>
    </row>
    <row r="1531" spans="2:14" ht="17" x14ac:dyDescent="0.2">
      <c r="N1531" s="67" t="s">
        <v>45</v>
      </c>
    </row>
    <row r="1532" spans="2:14" ht="17" x14ac:dyDescent="0.2">
      <c r="N1532" s="67" t="s">
        <v>45</v>
      </c>
    </row>
    <row r="1533" spans="2:14" ht="17" x14ac:dyDescent="0.2">
      <c r="N1533" s="67" t="s">
        <v>45</v>
      </c>
    </row>
    <row r="1534" spans="2:14" ht="50" x14ac:dyDescent="0.3">
      <c r="B1534" s="125" t="s">
        <v>433</v>
      </c>
      <c r="C1534" s="59"/>
      <c r="N1534" s="67" t="s">
        <v>45</v>
      </c>
    </row>
    <row r="1535" spans="2:14" ht="83.25" customHeight="1" x14ac:dyDescent="0.2">
      <c r="B1535" s="126" t="s">
        <v>434</v>
      </c>
      <c r="C1535" s="19"/>
      <c r="N1535" s="67" t="s">
        <v>45</v>
      </c>
    </row>
    <row r="1536" spans="2:14" ht="17" x14ac:dyDescent="0.2">
      <c r="B1536" s="127" t="s">
        <v>31</v>
      </c>
      <c r="C1536" s="19"/>
      <c r="N1536" s="67" t="s">
        <v>45</v>
      </c>
    </row>
    <row r="1537" spans="2:14" ht="17" x14ac:dyDescent="0.2">
      <c r="B1537" s="127" t="s">
        <v>328</v>
      </c>
      <c r="N1537" s="67" t="s">
        <v>45</v>
      </c>
    </row>
    <row r="1538" spans="2:14" ht="17" x14ac:dyDescent="0.2">
      <c r="B1538" s="128" t="s">
        <v>33</v>
      </c>
      <c r="N1538" s="67" t="s">
        <v>45</v>
      </c>
    </row>
    <row r="1539" spans="2:14" ht="17" x14ac:dyDescent="0.2">
      <c r="B1539" s="127" t="s">
        <v>34</v>
      </c>
      <c r="C1539" s="19"/>
      <c r="N1539" s="67" t="s">
        <v>45</v>
      </c>
    </row>
    <row r="1540" spans="2:14" ht="51" x14ac:dyDescent="0.2">
      <c r="B1540" s="163" t="s">
        <v>435</v>
      </c>
      <c r="C1540" s="19"/>
      <c r="N1540" s="67" t="s">
        <v>45</v>
      </c>
    </row>
    <row r="1541" spans="2:14" ht="17" x14ac:dyDescent="0.2">
      <c r="B1541" s="129" t="s">
        <v>36</v>
      </c>
      <c r="C1541" s="19"/>
      <c r="N1541" s="67" t="s">
        <v>45</v>
      </c>
    </row>
    <row r="1542" spans="2:14" ht="17" x14ac:dyDescent="0.2">
      <c r="B1542" s="129" t="s">
        <v>37</v>
      </c>
      <c r="C1542" s="19"/>
      <c r="N1542" s="67" t="s">
        <v>45</v>
      </c>
    </row>
    <row r="1543" spans="2:14" ht="17" x14ac:dyDescent="0.2">
      <c r="B1543" s="128" t="s">
        <v>38</v>
      </c>
      <c r="C1543" s="19"/>
      <c r="N1543" s="67" t="s">
        <v>45</v>
      </c>
    </row>
    <row r="1544" spans="2:14" ht="48" x14ac:dyDescent="0.2">
      <c r="B1544" s="130" t="s">
        <v>340</v>
      </c>
      <c r="C1544" s="19" t="s">
        <v>40</v>
      </c>
      <c r="J1544" s="34" t="s">
        <v>0</v>
      </c>
      <c r="L1544" s="62" t="s">
        <v>41</v>
      </c>
      <c r="M1544" s="34">
        <v>25292</v>
      </c>
      <c r="N1544" s="67" t="s">
        <v>42</v>
      </c>
    </row>
    <row r="1545" spans="2:14" ht="32" x14ac:dyDescent="0.2">
      <c r="B1545" s="130" t="s">
        <v>198</v>
      </c>
      <c r="C1545" s="19" t="s">
        <v>40</v>
      </c>
      <c r="J1545" s="34" t="s">
        <v>0</v>
      </c>
      <c r="L1545" s="62" t="s">
        <v>41</v>
      </c>
      <c r="M1545" s="34">
        <v>25292</v>
      </c>
      <c r="N1545" s="67" t="s">
        <v>42</v>
      </c>
    </row>
    <row r="1546" spans="2:14" ht="17" x14ac:dyDescent="0.2">
      <c r="B1546" s="128" t="s">
        <v>44</v>
      </c>
      <c r="C1546" s="19"/>
      <c r="N1546" s="67" t="s">
        <v>45</v>
      </c>
    </row>
    <row r="1547" spans="2:14" ht="17" x14ac:dyDescent="0.2">
      <c r="B1547" s="130" t="s">
        <v>46</v>
      </c>
      <c r="C1547" s="19" t="s">
        <v>40</v>
      </c>
      <c r="J1547" s="34" t="s">
        <v>0</v>
      </c>
      <c r="L1547" s="62" t="s">
        <v>41</v>
      </c>
      <c r="M1547" s="34">
        <v>25292</v>
      </c>
      <c r="N1547" s="67" t="s">
        <v>42</v>
      </c>
    </row>
    <row r="1548" spans="2:14" ht="17" x14ac:dyDescent="0.2">
      <c r="B1548" s="128" t="s">
        <v>47</v>
      </c>
      <c r="N1548" s="67" t="s">
        <v>45</v>
      </c>
    </row>
    <row r="1549" spans="2:14" ht="17" x14ac:dyDescent="0.2">
      <c r="B1549" s="131" t="s">
        <v>48</v>
      </c>
      <c r="C1549" s="19" t="s">
        <v>40</v>
      </c>
      <c r="J1549" s="34" t="s">
        <v>0</v>
      </c>
      <c r="L1549" s="62" t="s">
        <v>41</v>
      </c>
      <c r="M1549" s="34">
        <v>25292</v>
      </c>
      <c r="N1549" s="67" t="s">
        <v>42</v>
      </c>
    </row>
    <row r="1550" spans="2:14" ht="17" x14ac:dyDescent="0.2">
      <c r="B1550" s="131" t="s">
        <v>49</v>
      </c>
      <c r="C1550" s="19" t="s">
        <v>40</v>
      </c>
      <c r="J1550" s="34" t="s">
        <v>0</v>
      </c>
      <c r="L1550" s="62" t="s">
        <v>41</v>
      </c>
      <c r="M1550" s="34">
        <v>25292</v>
      </c>
      <c r="N1550" s="67" t="s">
        <v>42</v>
      </c>
    </row>
    <row r="1551" spans="2:14" ht="34" x14ac:dyDescent="0.2">
      <c r="B1551" s="131" t="s">
        <v>50</v>
      </c>
      <c r="C1551" s="19" t="s">
        <v>40</v>
      </c>
      <c r="J1551" s="34" t="s">
        <v>0</v>
      </c>
      <c r="L1551" s="62" t="s">
        <v>41</v>
      </c>
      <c r="M1551" s="34">
        <v>25292</v>
      </c>
      <c r="N1551" s="67" t="s">
        <v>42</v>
      </c>
    </row>
    <row r="1552" spans="2:14" ht="17" x14ac:dyDescent="0.2">
      <c r="B1552" s="128" t="s">
        <v>51</v>
      </c>
      <c r="C1552" s="19"/>
      <c r="N1552" s="67" t="s">
        <v>45</v>
      </c>
    </row>
    <row r="1553" spans="2:14" ht="36.75" customHeight="1" x14ac:dyDescent="0.2">
      <c r="B1553" s="131" t="s">
        <v>52</v>
      </c>
      <c r="C1553" s="19" t="s">
        <v>40</v>
      </c>
      <c r="J1553" s="34" t="s">
        <v>0</v>
      </c>
      <c r="L1553" s="62" t="s">
        <v>41</v>
      </c>
      <c r="M1553" s="34">
        <v>25292</v>
      </c>
      <c r="N1553" s="67" t="s">
        <v>42</v>
      </c>
    </row>
    <row r="1554" spans="2:14" ht="17" x14ac:dyDescent="0.2">
      <c r="B1554" s="132" t="s">
        <v>53</v>
      </c>
      <c r="C1554" s="19"/>
      <c r="N1554" s="67" t="s">
        <v>45</v>
      </c>
    </row>
    <row r="1555" spans="2:14" ht="51" x14ac:dyDescent="0.2">
      <c r="B1555" s="133" t="s">
        <v>54</v>
      </c>
      <c r="C1555" s="19" t="s">
        <v>40</v>
      </c>
      <c r="J1555" s="34" t="s">
        <v>0</v>
      </c>
      <c r="L1555" s="62" t="s">
        <v>41</v>
      </c>
      <c r="M1555" s="34">
        <v>25292</v>
      </c>
      <c r="N1555" s="67" t="s">
        <v>42</v>
      </c>
    </row>
    <row r="1556" spans="2:14" ht="17" x14ac:dyDescent="0.2">
      <c r="B1556" s="128" t="s">
        <v>55</v>
      </c>
      <c r="C1556" s="19"/>
      <c r="N1556" s="67" t="s">
        <v>45</v>
      </c>
    </row>
    <row r="1557" spans="2:14" ht="51" x14ac:dyDescent="0.2">
      <c r="B1557" s="134" t="s">
        <v>56</v>
      </c>
      <c r="C1557" s="19" t="s">
        <v>57</v>
      </c>
      <c r="J1557" s="34" t="s">
        <v>0</v>
      </c>
      <c r="L1557" s="62" t="s">
        <v>41</v>
      </c>
      <c r="M1557" s="34">
        <v>25292</v>
      </c>
      <c r="N1557" s="67" t="s">
        <v>42</v>
      </c>
    </row>
    <row r="1558" spans="2:14" ht="40" x14ac:dyDescent="0.2">
      <c r="B1558" s="285" t="s">
        <v>393</v>
      </c>
      <c r="N1558" s="67" t="s">
        <v>45</v>
      </c>
    </row>
    <row r="1559" spans="2:14" ht="17" x14ac:dyDescent="0.2">
      <c r="B1559" s="132" t="s">
        <v>60</v>
      </c>
      <c r="C1559" s="19"/>
      <c r="N1559" s="67" t="s">
        <v>45</v>
      </c>
    </row>
    <row r="1560" spans="2:14" ht="17" x14ac:dyDescent="0.2">
      <c r="B1560" s="135" t="s">
        <v>61</v>
      </c>
      <c r="C1560" s="19" t="s">
        <v>40</v>
      </c>
      <c r="J1560" s="34" t="s">
        <v>0</v>
      </c>
      <c r="L1560" s="62" t="s">
        <v>41</v>
      </c>
      <c r="M1560" s="34">
        <v>25292</v>
      </c>
      <c r="N1560" s="67" t="s">
        <v>42</v>
      </c>
    </row>
    <row r="1561" spans="2:14" ht="17" x14ac:dyDescent="0.2">
      <c r="B1561" s="136" t="s">
        <v>62</v>
      </c>
      <c r="C1561" s="19" t="s">
        <v>40</v>
      </c>
      <c r="J1561" s="34" t="s">
        <v>0</v>
      </c>
      <c r="L1561" s="62" t="s">
        <v>41</v>
      </c>
      <c r="M1561" s="34">
        <v>25292</v>
      </c>
      <c r="N1561" s="67" t="s">
        <v>42</v>
      </c>
    </row>
    <row r="1562" spans="2:14" ht="96" x14ac:dyDescent="0.2">
      <c r="B1562" s="137" t="s">
        <v>63</v>
      </c>
      <c r="C1562" s="19" t="s">
        <v>40</v>
      </c>
      <c r="J1562" s="34" t="s">
        <v>0</v>
      </c>
      <c r="L1562" s="62" t="s">
        <v>41</v>
      </c>
      <c r="M1562" s="34">
        <v>25292</v>
      </c>
      <c r="N1562" s="67" t="s">
        <v>42</v>
      </c>
    </row>
    <row r="1563" spans="2:14" ht="17" x14ac:dyDescent="0.2">
      <c r="B1563" s="136" t="s">
        <v>64</v>
      </c>
      <c r="C1563" s="19" t="s">
        <v>40</v>
      </c>
      <c r="J1563" s="34" t="s">
        <v>0</v>
      </c>
      <c r="L1563" s="62" t="s">
        <v>41</v>
      </c>
      <c r="M1563" s="34">
        <v>25292</v>
      </c>
      <c r="N1563" s="67" t="s">
        <v>42</v>
      </c>
    </row>
    <row r="1564" spans="2:14" ht="17" x14ac:dyDescent="0.2">
      <c r="B1564" s="128" t="s">
        <v>65</v>
      </c>
      <c r="M1564" s="34">
        <v>25292</v>
      </c>
      <c r="N1564" s="67" t="s">
        <v>45</v>
      </c>
    </row>
    <row r="1565" spans="2:14" ht="17" x14ac:dyDescent="0.2">
      <c r="B1565" s="174" t="s">
        <v>66</v>
      </c>
      <c r="C1565" s="19" t="s">
        <v>40</v>
      </c>
      <c r="J1565" s="34" t="s">
        <v>0</v>
      </c>
      <c r="L1565" s="62" t="s">
        <v>41</v>
      </c>
      <c r="M1565" s="34">
        <v>25292</v>
      </c>
      <c r="N1565" s="67" t="s">
        <v>42</v>
      </c>
    </row>
    <row r="1566" spans="2:14" ht="17" x14ac:dyDescent="0.2">
      <c r="B1566" s="138" t="s">
        <v>67</v>
      </c>
      <c r="C1566" s="19" t="s">
        <v>40</v>
      </c>
      <c r="J1566" s="34" t="s">
        <v>0</v>
      </c>
      <c r="L1566" s="62" t="s">
        <v>41</v>
      </c>
      <c r="M1566" s="34">
        <v>25292</v>
      </c>
      <c r="N1566" s="67" t="s">
        <v>42</v>
      </c>
    </row>
    <row r="1567" spans="2:14" ht="17" x14ac:dyDescent="0.2">
      <c r="B1567" s="166" t="s">
        <v>274</v>
      </c>
      <c r="C1567" s="19" t="s">
        <v>40</v>
      </c>
      <c r="J1567" s="34" t="s">
        <v>0</v>
      </c>
      <c r="L1567" s="62" t="s">
        <v>41</v>
      </c>
      <c r="M1567" s="34">
        <v>25292</v>
      </c>
      <c r="N1567" s="67" t="s">
        <v>42</v>
      </c>
    </row>
    <row r="1568" spans="2:14" ht="17" x14ac:dyDescent="0.2">
      <c r="B1568" s="166" t="s">
        <v>436</v>
      </c>
      <c r="C1568" s="19" t="s">
        <v>40</v>
      </c>
      <c r="J1568" s="34" t="s">
        <v>0</v>
      </c>
      <c r="L1568" s="62" t="s">
        <v>41</v>
      </c>
      <c r="M1568" s="34">
        <v>25292</v>
      </c>
      <c r="N1568" s="67" t="s">
        <v>42</v>
      </c>
    </row>
    <row r="1569" spans="2:14" ht="17" x14ac:dyDescent="0.2">
      <c r="B1569" s="166" t="s">
        <v>437</v>
      </c>
      <c r="C1569" s="19" t="s">
        <v>40</v>
      </c>
      <c r="J1569" s="34" t="s">
        <v>0</v>
      </c>
      <c r="L1569" s="62" t="s">
        <v>41</v>
      </c>
      <c r="M1569" s="34">
        <v>25292</v>
      </c>
      <c r="N1569" s="67" t="s">
        <v>42</v>
      </c>
    </row>
    <row r="1570" spans="2:14" ht="17" x14ac:dyDescent="0.2">
      <c r="B1570" s="166" t="s">
        <v>418</v>
      </c>
      <c r="C1570" s="19" t="s">
        <v>40</v>
      </c>
      <c r="J1570" s="34" t="s">
        <v>0</v>
      </c>
      <c r="L1570" s="62" t="s">
        <v>41</v>
      </c>
      <c r="M1570" s="34">
        <v>25292</v>
      </c>
      <c r="N1570" s="67" t="s">
        <v>42</v>
      </c>
    </row>
    <row r="1571" spans="2:14" ht="17" x14ac:dyDescent="0.2">
      <c r="B1571" s="139" t="s">
        <v>72</v>
      </c>
      <c r="C1571" s="19" t="s">
        <v>40</v>
      </c>
      <c r="J1571" s="34" t="s">
        <v>0</v>
      </c>
      <c r="L1571" s="62" t="s">
        <v>41</v>
      </c>
      <c r="M1571" s="34">
        <v>25292</v>
      </c>
      <c r="N1571" s="67" t="s">
        <v>42</v>
      </c>
    </row>
    <row r="1572" spans="2:14" ht="17" x14ac:dyDescent="0.2">
      <c r="B1572" s="237" t="s">
        <v>73</v>
      </c>
      <c r="C1572" s="19" t="s">
        <v>40</v>
      </c>
      <c r="J1572" s="34" t="s">
        <v>0</v>
      </c>
      <c r="L1572" s="62" t="s">
        <v>41</v>
      </c>
      <c r="M1572" s="34">
        <v>25292</v>
      </c>
      <c r="N1572" s="67" t="s">
        <v>42</v>
      </c>
    </row>
    <row r="1573" spans="2:14" ht="17" x14ac:dyDescent="0.2">
      <c r="B1573" s="139" t="s">
        <v>74</v>
      </c>
      <c r="C1573" s="19" t="s">
        <v>40</v>
      </c>
      <c r="J1573" s="34" t="s">
        <v>0</v>
      </c>
      <c r="L1573" s="62" t="s">
        <v>41</v>
      </c>
      <c r="M1573" s="34">
        <v>25292</v>
      </c>
      <c r="N1573" s="67" t="s">
        <v>42</v>
      </c>
    </row>
    <row r="1574" spans="2:14" ht="17" x14ac:dyDescent="0.2">
      <c r="B1574" s="139" t="s">
        <v>75</v>
      </c>
      <c r="C1574" s="19" t="s">
        <v>40</v>
      </c>
      <c r="J1574" s="34" t="s">
        <v>0</v>
      </c>
      <c r="L1574" s="62" t="s">
        <v>41</v>
      </c>
      <c r="M1574" s="34">
        <v>25292</v>
      </c>
      <c r="N1574" s="67" t="s">
        <v>42</v>
      </c>
    </row>
    <row r="1575" spans="2:14" ht="17" x14ac:dyDescent="0.2">
      <c r="B1575" s="138" t="s">
        <v>76</v>
      </c>
      <c r="C1575" s="19" t="s">
        <v>40</v>
      </c>
      <c r="J1575" s="34" t="s">
        <v>0</v>
      </c>
      <c r="L1575" s="62" t="s">
        <v>41</v>
      </c>
      <c r="M1575" s="34">
        <v>25292</v>
      </c>
      <c r="N1575" s="67" t="s">
        <v>42</v>
      </c>
    </row>
    <row r="1576" spans="2:14" ht="68" x14ac:dyDescent="0.2">
      <c r="B1576" s="138" t="s">
        <v>204</v>
      </c>
      <c r="C1576" s="19" t="s">
        <v>40</v>
      </c>
      <c r="J1576" s="34" t="s">
        <v>0</v>
      </c>
      <c r="L1576" s="62" t="s">
        <v>41</v>
      </c>
      <c r="M1576" s="34">
        <v>25292</v>
      </c>
      <c r="N1576" s="67" t="s">
        <v>42</v>
      </c>
    </row>
    <row r="1577" spans="2:14" ht="17" x14ac:dyDescent="0.2">
      <c r="B1577" s="166" t="s">
        <v>419</v>
      </c>
      <c r="C1577" s="19" t="s">
        <v>40</v>
      </c>
      <c r="J1577" s="34" t="s">
        <v>0</v>
      </c>
      <c r="L1577" s="62" t="s">
        <v>41</v>
      </c>
      <c r="M1577" s="34">
        <v>25292</v>
      </c>
      <c r="N1577" s="67" t="s">
        <v>42</v>
      </c>
    </row>
    <row r="1578" spans="2:14" ht="17" x14ac:dyDescent="0.2">
      <c r="B1578" s="166" t="s">
        <v>438</v>
      </c>
      <c r="C1578" s="19" t="s">
        <v>40</v>
      </c>
      <c r="J1578" s="34" t="s">
        <v>0</v>
      </c>
      <c r="L1578" s="62" t="s">
        <v>41</v>
      </c>
      <c r="M1578" s="34">
        <v>25292</v>
      </c>
      <c r="N1578" s="67" t="s">
        <v>42</v>
      </c>
    </row>
    <row r="1579" spans="2:14" ht="17" x14ac:dyDescent="0.2">
      <c r="B1579" s="138" t="s">
        <v>80</v>
      </c>
      <c r="C1579" s="19" t="s">
        <v>40</v>
      </c>
      <c r="J1579" s="34" t="s">
        <v>0</v>
      </c>
      <c r="L1579" s="62" t="s">
        <v>41</v>
      </c>
      <c r="M1579" s="34">
        <v>25292</v>
      </c>
      <c r="N1579" s="67" t="s">
        <v>42</v>
      </c>
    </row>
    <row r="1580" spans="2:14" ht="17" x14ac:dyDescent="0.2">
      <c r="B1580" s="138" t="s">
        <v>81</v>
      </c>
      <c r="C1580" s="19" t="s">
        <v>40</v>
      </c>
      <c r="J1580" s="34" t="s">
        <v>0</v>
      </c>
      <c r="L1580" s="62" t="s">
        <v>41</v>
      </c>
      <c r="M1580" s="34">
        <v>25292</v>
      </c>
      <c r="N1580" s="67" t="s">
        <v>42</v>
      </c>
    </row>
    <row r="1581" spans="2:14" ht="17" x14ac:dyDescent="0.2">
      <c r="B1581" s="138" t="s">
        <v>82</v>
      </c>
      <c r="C1581" s="19" t="s">
        <v>40</v>
      </c>
      <c r="J1581" s="34" t="s">
        <v>0</v>
      </c>
      <c r="L1581" s="62" t="s">
        <v>41</v>
      </c>
      <c r="M1581" s="34">
        <v>25292</v>
      </c>
      <c r="N1581" s="67" t="s">
        <v>42</v>
      </c>
    </row>
    <row r="1582" spans="2:14" ht="17" x14ac:dyDescent="0.2">
      <c r="B1582" s="166" t="s">
        <v>424</v>
      </c>
      <c r="C1582" s="19" t="s">
        <v>40</v>
      </c>
      <c r="J1582" s="34" t="s">
        <v>0</v>
      </c>
      <c r="L1582" s="62" t="s">
        <v>41</v>
      </c>
      <c r="M1582" s="34">
        <v>25292</v>
      </c>
      <c r="N1582" s="67" t="s">
        <v>42</v>
      </c>
    </row>
    <row r="1583" spans="2:14" ht="17" x14ac:dyDescent="0.2">
      <c r="B1583" s="138" t="s">
        <v>84</v>
      </c>
      <c r="C1583" s="19" t="s">
        <v>40</v>
      </c>
      <c r="J1583" s="34" t="s">
        <v>0</v>
      </c>
      <c r="L1583" s="62" t="s">
        <v>41</v>
      </c>
      <c r="M1583" s="34">
        <v>25292</v>
      </c>
      <c r="N1583" s="67" t="s">
        <v>42</v>
      </c>
    </row>
    <row r="1584" spans="2:14" ht="17" x14ac:dyDescent="0.2">
      <c r="B1584" s="139" t="s">
        <v>85</v>
      </c>
      <c r="C1584" s="19" t="s">
        <v>40</v>
      </c>
      <c r="J1584" s="34" t="s">
        <v>0</v>
      </c>
      <c r="L1584" s="62" t="s">
        <v>41</v>
      </c>
      <c r="M1584" s="34">
        <v>25292</v>
      </c>
      <c r="N1584" s="67" t="s">
        <v>42</v>
      </c>
    </row>
    <row r="1585" spans="2:14" ht="17" x14ac:dyDescent="0.2">
      <c r="B1585" s="140" t="s">
        <v>86</v>
      </c>
      <c r="N1585" s="67" t="s">
        <v>45</v>
      </c>
    </row>
    <row r="1586" spans="2:14" ht="17" x14ac:dyDescent="0.2">
      <c r="B1586" s="141" t="s">
        <v>87</v>
      </c>
      <c r="C1586" s="19" t="s">
        <v>40</v>
      </c>
      <c r="J1586" s="34" t="s">
        <v>0</v>
      </c>
      <c r="L1586" s="62" t="s">
        <v>41</v>
      </c>
      <c r="M1586" s="34">
        <v>25292</v>
      </c>
      <c r="N1586" s="67" t="s">
        <v>42</v>
      </c>
    </row>
    <row r="1587" spans="2:14" ht="32" x14ac:dyDescent="0.2">
      <c r="B1587" s="140" t="s">
        <v>88</v>
      </c>
      <c r="C1587" s="19"/>
      <c r="N1587" s="67" t="s">
        <v>45</v>
      </c>
    </row>
    <row r="1588" spans="2:14" ht="32" x14ac:dyDescent="0.2">
      <c r="B1588" s="142" t="s">
        <v>89</v>
      </c>
      <c r="C1588" s="19" t="s">
        <v>40</v>
      </c>
      <c r="J1588" s="34" t="s">
        <v>0</v>
      </c>
      <c r="L1588" s="62" t="s">
        <v>41</v>
      </c>
      <c r="M1588" s="34">
        <v>25292</v>
      </c>
      <c r="N1588" s="67" t="s">
        <v>42</v>
      </c>
    </row>
    <row r="1589" spans="2:14" ht="17" x14ac:dyDescent="0.2">
      <c r="B1589" s="140" t="s">
        <v>90</v>
      </c>
      <c r="C1589" s="19"/>
      <c r="N1589" s="67" t="s">
        <v>45</v>
      </c>
    </row>
    <row r="1590" spans="2:14" ht="32" x14ac:dyDescent="0.2">
      <c r="B1590" s="142" t="s">
        <v>91</v>
      </c>
      <c r="C1590" s="19" t="s">
        <v>40</v>
      </c>
      <c r="J1590" s="34" t="s">
        <v>92</v>
      </c>
      <c r="L1590" s="62" t="s">
        <v>41</v>
      </c>
      <c r="M1590" s="34">
        <v>25292</v>
      </c>
      <c r="N1590" s="67" t="s">
        <v>42</v>
      </c>
    </row>
    <row r="1591" spans="2:14" ht="17" x14ac:dyDescent="0.2">
      <c r="B1591" s="140" t="s">
        <v>93</v>
      </c>
      <c r="C1591" s="19"/>
      <c r="N1591" s="67" t="s">
        <v>45</v>
      </c>
    </row>
    <row r="1592" spans="2:14" ht="32" x14ac:dyDescent="0.2">
      <c r="B1592" s="142" t="s">
        <v>94</v>
      </c>
      <c r="C1592" s="19" t="s">
        <v>40</v>
      </c>
      <c r="J1592" s="34" t="s">
        <v>92</v>
      </c>
      <c r="L1592" s="62" t="s">
        <v>41</v>
      </c>
      <c r="M1592" s="34">
        <v>25292</v>
      </c>
      <c r="N1592" s="67" t="s">
        <v>42</v>
      </c>
    </row>
    <row r="1593" spans="2:14" ht="48" x14ac:dyDescent="0.2">
      <c r="B1593" s="143" t="s">
        <v>95</v>
      </c>
      <c r="C1593" s="19" t="s">
        <v>40</v>
      </c>
      <c r="J1593" s="34" t="s">
        <v>92</v>
      </c>
      <c r="L1593" s="62" t="s">
        <v>41</v>
      </c>
      <c r="M1593" s="34">
        <v>25292</v>
      </c>
      <c r="N1593" s="67" t="s">
        <v>42</v>
      </c>
    </row>
    <row r="1594" spans="2:14" ht="17" x14ac:dyDescent="0.2">
      <c r="B1594" s="144" t="s">
        <v>96</v>
      </c>
      <c r="C1594" s="19" t="s">
        <v>40</v>
      </c>
      <c r="J1594" s="34" t="s">
        <v>92</v>
      </c>
      <c r="L1594" s="62" t="s">
        <v>41</v>
      </c>
      <c r="M1594" s="34">
        <v>25292</v>
      </c>
      <c r="N1594" s="67" t="s">
        <v>42</v>
      </c>
    </row>
    <row r="1595" spans="2:14" ht="32" x14ac:dyDescent="0.2">
      <c r="B1595" s="143" t="s">
        <v>97</v>
      </c>
      <c r="C1595" s="19" t="s">
        <v>40</v>
      </c>
      <c r="J1595" s="34" t="s">
        <v>92</v>
      </c>
      <c r="L1595" s="62" t="s">
        <v>41</v>
      </c>
      <c r="M1595" s="34">
        <v>25292</v>
      </c>
      <c r="N1595" s="67" t="s">
        <v>42</v>
      </c>
    </row>
    <row r="1596" spans="2:14" ht="17" x14ac:dyDescent="0.2">
      <c r="B1596" s="142" t="s">
        <v>98</v>
      </c>
      <c r="C1596" s="19" t="s">
        <v>40</v>
      </c>
      <c r="J1596" s="34" t="s">
        <v>92</v>
      </c>
      <c r="L1596" s="62" t="s">
        <v>41</v>
      </c>
      <c r="M1596" s="34">
        <v>25292</v>
      </c>
      <c r="N1596" s="67" t="s">
        <v>42</v>
      </c>
    </row>
    <row r="1597" spans="2:14" ht="17" x14ac:dyDescent="0.2">
      <c r="B1597" s="144" t="s">
        <v>99</v>
      </c>
      <c r="C1597" s="19" t="s">
        <v>40</v>
      </c>
      <c r="J1597" s="34" t="s">
        <v>92</v>
      </c>
      <c r="L1597" s="62" t="s">
        <v>41</v>
      </c>
      <c r="M1597" s="34">
        <v>25292</v>
      </c>
      <c r="N1597" s="67" t="s">
        <v>42</v>
      </c>
    </row>
    <row r="1598" spans="2:14" ht="17" x14ac:dyDescent="0.2">
      <c r="B1598" s="143" t="s">
        <v>100</v>
      </c>
      <c r="C1598" s="19" t="s">
        <v>40</v>
      </c>
      <c r="J1598" s="34" t="s">
        <v>92</v>
      </c>
      <c r="L1598" s="62" t="s">
        <v>41</v>
      </c>
      <c r="M1598" s="34">
        <v>25292</v>
      </c>
      <c r="N1598" s="67" t="s">
        <v>42</v>
      </c>
    </row>
    <row r="1599" spans="2:14" ht="17" x14ac:dyDescent="0.2">
      <c r="B1599" s="140" t="s">
        <v>101</v>
      </c>
      <c r="N1599" s="67" t="s">
        <v>45</v>
      </c>
    </row>
    <row r="1600" spans="2:14" ht="17" x14ac:dyDescent="0.2">
      <c r="B1600" s="141" t="s">
        <v>87</v>
      </c>
      <c r="C1600" s="19" t="s">
        <v>40</v>
      </c>
      <c r="J1600" s="34" t="s">
        <v>0</v>
      </c>
      <c r="L1600" s="62" t="s">
        <v>41</v>
      </c>
      <c r="M1600" s="34">
        <v>25292</v>
      </c>
      <c r="N1600" s="67" t="s">
        <v>42</v>
      </c>
    </row>
    <row r="1601" spans="2:14" ht="32" x14ac:dyDescent="0.2">
      <c r="B1601" s="142" t="s">
        <v>102</v>
      </c>
      <c r="C1601" s="19" t="s">
        <v>40</v>
      </c>
      <c r="J1601" s="34" t="s">
        <v>0</v>
      </c>
      <c r="L1601" s="62" t="s">
        <v>41</v>
      </c>
      <c r="M1601" s="34">
        <v>25292</v>
      </c>
      <c r="N1601" s="67" t="s">
        <v>42</v>
      </c>
    </row>
    <row r="1602" spans="2:14" ht="48" x14ac:dyDescent="0.2">
      <c r="B1602" s="143" t="s">
        <v>108</v>
      </c>
      <c r="C1602" s="19" t="s">
        <v>40</v>
      </c>
      <c r="J1602" s="34" t="s">
        <v>0</v>
      </c>
      <c r="L1602" s="62" t="s">
        <v>41</v>
      </c>
      <c r="M1602" s="34">
        <v>25292</v>
      </c>
      <c r="N1602" s="67" t="s">
        <v>42</v>
      </c>
    </row>
    <row r="1603" spans="2:14" ht="17" x14ac:dyDescent="0.2">
      <c r="B1603" s="144" t="s">
        <v>96</v>
      </c>
      <c r="C1603" s="19" t="s">
        <v>40</v>
      </c>
      <c r="J1603" s="34" t="s">
        <v>0</v>
      </c>
      <c r="L1603" s="62" t="s">
        <v>41</v>
      </c>
      <c r="M1603" s="34">
        <v>25292</v>
      </c>
      <c r="N1603" s="67" t="s">
        <v>42</v>
      </c>
    </row>
    <row r="1604" spans="2:14" ht="32" x14ac:dyDescent="0.2">
      <c r="B1604" s="143" t="s">
        <v>109</v>
      </c>
      <c r="C1604" s="19" t="s">
        <v>40</v>
      </c>
      <c r="J1604" s="34" t="s">
        <v>0</v>
      </c>
      <c r="L1604" s="62" t="s">
        <v>41</v>
      </c>
      <c r="M1604" s="34">
        <v>25292</v>
      </c>
      <c r="N1604" s="67" t="s">
        <v>42</v>
      </c>
    </row>
    <row r="1605" spans="2:14" ht="32" x14ac:dyDescent="0.2">
      <c r="B1605" s="142" t="s">
        <v>110</v>
      </c>
      <c r="C1605" s="19" t="s">
        <v>40</v>
      </c>
      <c r="J1605" s="34" t="s">
        <v>0</v>
      </c>
      <c r="L1605" s="62" t="s">
        <v>41</v>
      </c>
      <c r="M1605" s="34">
        <v>25292</v>
      </c>
      <c r="N1605" s="67" t="s">
        <v>42</v>
      </c>
    </row>
    <row r="1606" spans="2:14" ht="17" x14ac:dyDescent="0.2">
      <c r="B1606" s="144" t="s">
        <v>99</v>
      </c>
      <c r="C1606" s="19" t="s">
        <v>40</v>
      </c>
      <c r="J1606" s="34" t="s">
        <v>0</v>
      </c>
      <c r="L1606" s="62" t="s">
        <v>41</v>
      </c>
      <c r="M1606" s="34">
        <v>25292</v>
      </c>
      <c r="N1606" s="67" t="s">
        <v>42</v>
      </c>
    </row>
    <row r="1607" spans="2:14" ht="17" x14ac:dyDescent="0.2">
      <c r="B1607" s="143" t="s">
        <v>111</v>
      </c>
      <c r="C1607" s="19" t="s">
        <v>40</v>
      </c>
      <c r="J1607" s="34" t="s">
        <v>0</v>
      </c>
      <c r="L1607" s="62" t="s">
        <v>41</v>
      </c>
      <c r="M1607" s="34">
        <v>25292</v>
      </c>
      <c r="N1607" s="67" t="s">
        <v>42</v>
      </c>
    </row>
    <row r="1608" spans="2:14" ht="17" x14ac:dyDescent="0.2">
      <c r="B1608" s="140" t="s">
        <v>107</v>
      </c>
      <c r="N1608" s="67" t="s">
        <v>45</v>
      </c>
    </row>
    <row r="1609" spans="2:14" ht="17" x14ac:dyDescent="0.2">
      <c r="B1609" s="141" t="s">
        <v>87</v>
      </c>
      <c r="C1609" s="19" t="s">
        <v>40</v>
      </c>
      <c r="J1609" s="34" t="s">
        <v>0</v>
      </c>
      <c r="L1609" s="62" t="s">
        <v>41</v>
      </c>
      <c r="M1609" s="34">
        <v>25292</v>
      </c>
      <c r="N1609" s="67" t="s">
        <v>42</v>
      </c>
    </row>
    <row r="1610" spans="2:14" ht="32" x14ac:dyDescent="0.2">
      <c r="B1610" s="142" t="s">
        <v>102</v>
      </c>
      <c r="C1610" s="19" t="s">
        <v>40</v>
      </c>
      <c r="J1610" s="34" t="s">
        <v>0</v>
      </c>
      <c r="L1610" s="62" t="s">
        <v>41</v>
      </c>
      <c r="M1610" s="34">
        <v>25292</v>
      </c>
      <c r="N1610" s="67" t="s">
        <v>42</v>
      </c>
    </row>
    <row r="1611" spans="2:14" ht="48" x14ac:dyDescent="0.2">
      <c r="B1611" s="143" t="s">
        <v>113</v>
      </c>
      <c r="C1611" s="19" t="s">
        <v>40</v>
      </c>
      <c r="J1611" s="34" t="s">
        <v>0</v>
      </c>
      <c r="L1611" s="62" t="s">
        <v>41</v>
      </c>
      <c r="M1611" s="34">
        <v>25292</v>
      </c>
      <c r="N1611" s="67" t="s">
        <v>42</v>
      </c>
    </row>
    <row r="1612" spans="2:14" ht="17" x14ac:dyDescent="0.2">
      <c r="B1612" s="144" t="s">
        <v>96</v>
      </c>
      <c r="C1612" s="19" t="s">
        <v>40</v>
      </c>
      <c r="J1612" s="34" t="s">
        <v>0</v>
      </c>
      <c r="L1612" s="62" t="s">
        <v>41</v>
      </c>
      <c r="M1612" s="34">
        <v>25292</v>
      </c>
      <c r="N1612" s="67" t="s">
        <v>42</v>
      </c>
    </row>
    <row r="1613" spans="2:14" ht="32" x14ac:dyDescent="0.2">
      <c r="B1613" s="143" t="s">
        <v>97</v>
      </c>
      <c r="C1613" s="19" t="s">
        <v>40</v>
      </c>
      <c r="J1613" s="34" t="s">
        <v>0</v>
      </c>
      <c r="L1613" s="62" t="s">
        <v>41</v>
      </c>
      <c r="M1613" s="34">
        <v>25292</v>
      </c>
      <c r="N1613" s="67" t="s">
        <v>42</v>
      </c>
    </row>
    <row r="1614" spans="2:14" ht="32" x14ac:dyDescent="0.2">
      <c r="B1614" s="142" t="s">
        <v>114</v>
      </c>
      <c r="C1614" s="19" t="s">
        <v>40</v>
      </c>
      <c r="J1614" s="34" t="s">
        <v>0</v>
      </c>
      <c r="L1614" s="62" t="s">
        <v>41</v>
      </c>
      <c r="M1614" s="34">
        <v>25292</v>
      </c>
      <c r="N1614" s="67" t="s">
        <v>42</v>
      </c>
    </row>
    <row r="1615" spans="2:14" ht="17" x14ac:dyDescent="0.2">
      <c r="B1615" s="144" t="s">
        <v>99</v>
      </c>
      <c r="C1615" s="19" t="s">
        <v>40</v>
      </c>
      <c r="J1615" s="34" t="s">
        <v>0</v>
      </c>
      <c r="L1615" s="62" t="s">
        <v>41</v>
      </c>
      <c r="M1615" s="34">
        <v>25292</v>
      </c>
      <c r="N1615" s="67" t="s">
        <v>42</v>
      </c>
    </row>
    <row r="1616" spans="2:14" ht="17" x14ac:dyDescent="0.2">
      <c r="B1616" s="143" t="s">
        <v>115</v>
      </c>
      <c r="C1616" s="19" t="s">
        <v>40</v>
      </c>
      <c r="J1616" s="34" t="s">
        <v>0</v>
      </c>
      <c r="L1616" s="62" t="s">
        <v>41</v>
      </c>
      <c r="M1616" s="34">
        <v>25292</v>
      </c>
      <c r="N1616" s="67" t="s">
        <v>42</v>
      </c>
    </row>
    <row r="1617" spans="2:14" ht="17" x14ac:dyDescent="0.2">
      <c r="B1617" s="251" t="s">
        <v>112</v>
      </c>
      <c r="C1617" s="252"/>
      <c r="N1617" s="67" t="s">
        <v>45</v>
      </c>
    </row>
    <row r="1618" spans="2:14" ht="17" x14ac:dyDescent="0.2">
      <c r="B1618" s="213" t="s">
        <v>87</v>
      </c>
      <c r="C1618" s="252" t="s">
        <v>40</v>
      </c>
      <c r="J1618" s="34" t="s">
        <v>0</v>
      </c>
      <c r="L1618" s="62" t="s">
        <v>41</v>
      </c>
      <c r="M1618" s="34">
        <v>25292</v>
      </c>
      <c r="N1618" s="67" t="s">
        <v>42</v>
      </c>
    </row>
    <row r="1619" spans="2:14" ht="32" x14ac:dyDescent="0.2">
      <c r="B1619" s="253" t="s">
        <v>102</v>
      </c>
      <c r="C1619" s="252" t="s">
        <v>40</v>
      </c>
      <c r="J1619" s="34" t="s">
        <v>0</v>
      </c>
      <c r="L1619" s="62" t="s">
        <v>41</v>
      </c>
      <c r="M1619" s="34">
        <v>25292</v>
      </c>
      <c r="N1619" s="67" t="s">
        <v>42</v>
      </c>
    </row>
    <row r="1620" spans="2:14" ht="48" x14ac:dyDescent="0.2">
      <c r="B1620" s="238" t="s">
        <v>280</v>
      </c>
      <c r="C1620" s="252" t="s">
        <v>40</v>
      </c>
      <c r="J1620" s="34" t="s">
        <v>0</v>
      </c>
      <c r="L1620" s="62" t="s">
        <v>41</v>
      </c>
      <c r="M1620" s="34">
        <v>25292</v>
      </c>
      <c r="N1620" s="67" t="s">
        <v>42</v>
      </c>
    </row>
    <row r="1621" spans="2:14" ht="17" x14ac:dyDescent="0.2">
      <c r="B1621" s="216" t="s">
        <v>96</v>
      </c>
      <c r="C1621" s="252" t="s">
        <v>40</v>
      </c>
      <c r="J1621" s="34" t="s">
        <v>0</v>
      </c>
      <c r="L1621" s="62" t="s">
        <v>41</v>
      </c>
      <c r="M1621" s="34">
        <v>25292</v>
      </c>
      <c r="N1621" s="67" t="s">
        <v>42</v>
      </c>
    </row>
    <row r="1622" spans="2:14" ht="32" x14ac:dyDescent="0.2">
      <c r="B1622" s="238" t="s">
        <v>281</v>
      </c>
      <c r="C1622" s="252" t="s">
        <v>40</v>
      </c>
      <c r="J1622" s="34" t="s">
        <v>0</v>
      </c>
      <c r="L1622" s="62" t="s">
        <v>41</v>
      </c>
      <c r="M1622" s="34">
        <v>25292</v>
      </c>
      <c r="N1622" s="67" t="s">
        <v>42</v>
      </c>
    </row>
    <row r="1623" spans="2:14" ht="32" x14ac:dyDescent="0.2">
      <c r="B1623" s="253" t="s">
        <v>282</v>
      </c>
      <c r="C1623" s="252" t="s">
        <v>40</v>
      </c>
      <c r="J1623" s="34" t="s">
        <v>0</v>
      </c>
      <c r="L1623" s="62" t="s">
        <v>41</v>
      </c>
      <c r="M1623" s="34">
        <v>25292</v>
      </c>
      <c r="N1623" s="67" t="s">
        <v>42</v>
      </c>
    </row>
    <row r="1624" spans="2:14" ht="17" x14ac:dyDescent="0.2">
      <c r="B1624" s="215" t="s">
        <v>99</v>
      </c>
      <c r="C1624" s="252" t="s">
        <v>40</v>
      </c>
      <c r="J1624" s="34" t="s">
        <v>0</v>
      </c>
      <c r="L1624" s="62" t="s">
        <v>41</v>
      </c>
      <c r="M1624" s="34">
        <v>25292</v>
      </c>
      <c r="N1624" s="67" t="s">
        <v>42</v>
      </c>
    </row>
    <row r="1625" spans="2:14" ht="17" x14ac:dyDescent="0.2">
      <c r="B1625" s="217" t="s">
        <v>283</v>
      </c>
      <c r="C1625" s="252" t="s">
        <v>40</v>
      </c>
      <c r="J1625" s="34" t="s">
        <v>0</v>
      </c>
      <c r="L1625" s="62" t="s">
        <v>41</v>
      </c>
      <c r="M1625" s="34">
        <v>25292</v>
      </c>
      <c r="N1625" s="67" t="s">
        <v>42</v>
      </c>
    </row>
    <row r="1626" spans="2:14" ht="34" x14ac:dyDescent="0.2">
      <c r="B1626" s="132" t="s">
        <v>116</v>
      </c>
      <c r="N1626" s="67" t="s">
        <v>45</v>
      </c>
    </row>
    <row r="1627" spans="2:14" ht="64" x14ac:dyDescent="0.2">
      <c r="B1627" s="143" t="s">
        <v>117</v>
      </c>
      <c r="C1627" s="19" t="s">
        <v>40</v>
      </c>
      <c r="J1627" s="34" t="s">
        <v>92</v>
      </c>
      <c r="L1627" s="62" t="s">
        <v>41</v>
      </c>
      <c r="M1627" s="34">
        <v>25292</v>
      </c>
      <c r="N1627" s="67" t="s">
        <v>42</v>
      </c>
    </row>
    <row r="1628" spans="2:14" ht="64" x14ac:dyDescent="0.2">
      <c r="B1628" s="143" t="s">
        <v>118</v>
      </c>
      <c r="C1628" s="19" t="s">
        <v>40</v>
      </c>
      <c r="J1628" s="34" t="s">
        <v>92</v>
      </c>
      <c r="L1628" s="62" t="s">
        <v>41</v>
      </c>
      <c r="M1628" s="34">
        <v>25292</v>
      </c>
      <c r="N1628" s="67" t="s">
        <v>42</v>
      </c>
    </row>
    <row r="1629" spans="2:14" ht="17" x14ac:dyDescent="0.2">
      <c r="B1629" s="143" t="s">
        <v>119</v>
      </c>
      <c r="C1629" s="19" t="s">
        <v>40</v>
      </c>
      <c r="J1629" s="34" t="s">
        <v>92</v>
      </c>
      <c r="L1629" s="62" t="s">
        <v>41</v>
      </c>
      <c r="M1629" s="34">
        <v>25292</v>
      </c>
      <c r="N1629" s="67" t="s">
        <v>42</v>
      </c>
    </row>
    <row r="1630" spans="2:14" ht="32" x14ac:dyDescent="0.2">
      <c r="B1630" s="143" t="s">
        <v>120</v>
      </c>
      <c r="C1630" s="19" t="s">
        <v>40</v>
      </c>
      <c r="J1630" s="34" t="s">
        <v>92</v>
      </c>
      <c r="L1630" s="62" t="s">
        <v>41</v>
      </c>
      <c r="M1630" s="34">
        <v>25292</v>
      </c>
      <c r="N1630" s="67" t="s">
        <v>42</v>
      </c>
    </row>
    <row r="1631" spans="2:14" ht="17" x14ac:dyDescent="0.2">
      <c r="B1631" s="128" t="s">
        <v>121</v>
      </c>
      <c r="C1631" s="19"/>
      <c r="N1631" s="67" t="s">
        <v>45</v>
      </c>
    </row>
    <row r="1632" spans="2:14" ht="17" x14ac:dyDescent="0.2">
      <c r="B1632" s="145" t="s">
        <v>122</v>
      </c>
      <c r="C1632" s="19" t="s">
        <v>40</v>
      </c>
      <c r="J1632" s="34" t="s">
        <v>0</v>
      </c>
      <c r="L1632" s="62" t="s">
        <v>41</v>
      </c>
      <c r="M1632" s="34">
        <v>25292</v>
      </c>
      <c r="N1632" s="67" t="s">
        <v>42</v>
      </c>
    </row>
    <row r="1633" spans="2:14" ht="17" x14ac:dyDescent="0.2">
      <c r="B1633" s="139" t="s">
        <v>123</v>
      </c>
      <c r="C1633" s="19" t="s">
        <v>40</v>
      </c>
      <c r="J1633" s="34" t="s">
        <v>0</v>
      </c>
      <c r="L1633" s="62" t="s">
        <v>41</v>
      </c>
      <c r="M1633" s="34">
        <v>25292</v>
      </c>
      <c r="N1633" s="67" t="s">
        <v>42</v>
      </c>
    </row>
    <row r="1634" spans="2:14" ht="17" x14ac:dyDescent="0.2">
      <c r="B1634" s="167" t="s">
        <v>439</v>
      </c>
      <c r="C1634" s="19" t="s">
        <v>40</v>
      </c>
      <c r="J1634" s="34" t="s">
        <v>0</v>
      </c>
      <c r="L1634" s="62" t="s">
        <v>41</v>
      </c>
      <c r="M1634" s="34">
        <v>25292</v>
      </c>
      <c r="N1634" s="67" t="s">
        <v>42</v>
      </c>
    </row>
    <row r="1635" spans="2:14" ht="17" x14ac:dyDescent="0.2">
      <c r="B1635" s="139" t="s">
        <v>125</v>
      </c>
      <c r="C1635" s="19" t="s">
        <v>40</v>
      </c>
      <c r="J1635" s="34" t="s">
        <v>0</v>
      </c>
      <c r="L1635" s="62" t="s">
        <v>41</v>
      </c>
      <c r="M1635" s="34">
        <v>25292</v>
      </c>
      <c r="N1635" s="67" t="s">
        <v>42</v>
      </c>
    </row>
    <row r="1636" spans="2:14" ht="17" x14ac:dyDescent="0.2">
      <c r="B1636" s="145" t="s">
        <v>126</v>
      </c>
      <c r="C1636" s="19" t="s">
        <v>40</v>
      </c>
      <c r="J1636" s="34" t="s">
        <v>0</v>
      </c>
      <c r="L1636" s="62" t="s">
        <v>41</v>
      </c>
      <c r="M1636" s="34">
        <v>25292</v>
      </c>
      <c r="N1636" s="67" t="s">
        <v>42</v>
      </c>
    </row>
    <row r="1637" spans="2:14" ht="17" x14ac:dyDescent="0.2">
      <c r="B1637" s="166" t="s">
        <v>440</v>
      </c>
      <c r="C1637" s="19" t="s">
        <v>40</v>
      </c>
      <c r="J1637" s="34" t="s">
        <v>0</v>
      </c>
      <c r="L1637" s="62" t="s">
        <v>41</v>
      </c>
      <c r="M1637" s="34">
        <v>25292</v>
      </c>
      <c r="N1637" s="67" t="s">
        <v>42</v>
      </c>
    </row>
    <row r="1638" spans="2:14" ht="17" x14ac:dyDescent="0.2">
      <c r="B1638" s="166" t="s">
        <v>441</v>
      </c>
      <c r="C1638" s="19" t="s">
        <v>40</v>
      </c>
      <c r="J1638" s="34" t="s">
        <v>0</v>
      </c>
      <c r="L1638" s="62" t="s">
        <v>41</v>
      </c>
      <c r="M1638" s="34">
        <v>25292</v>
      </c>
      <c r="N1638" s="67" t="s">
        <v>42</v>
      </c>
    </row>
    <row r="1639" spans="2:14" ht="17" x14ac:dyDescent="0.2">
      <c r="B1639" s="220" t="s">
        <v>129</v>
      </c>
      <c r="C1639" s="19" t="s">
        <v>40</v>
      </c>
      <c r="J1639" s="34" t="s">
        <v>0</v>
      </c>
      <c r="L1639" s="62" t="s">
        <v>41</v>
      </c>
      <c r="M1639" s="34">
        <v>25292</v>
      </c>
      <c r="N1639" s="67" t="s">
        <v>42</v>
      </c>
    </row>
    <row r="1640" spans="2:14" ht="17" x14ac:dyDescent="0.2">
      <c r="B1640" s="138" t="s">
        <v>400</v>
      </c>
      <c r="C1640" s="19" t="s">
        <v>40</v>
      </c>
      <c r="J1640" s="34" t="s">
        <v>0</v>
      </c>
      <c r="L1640" s="62" t="s">
        <v>41</v>
      </c>
      <c r="M1640" s="34">
        <v>25292</v>
      </c>
      <c r="N1640" s="67" t="s">
        <v>42</v>
      </c>
    </row>
    <row r="1641" spans="2:14" ht="17" x14ac:dyDescent="0.2">
      <c r="B1641" s="147" t="s">
        <v>131</v>
      </c>
      <c r="C1641" s="19" t="s">
        <v>40</v>
      </c>
      <c r="J1641" s="34" t="s">
        <v>0</v>
      </c>
      <c r="L1641" s="62" t="s">
        <v>41</v>
      </c>
      <c r="M1641" s="34">
        <v>25292</v>
      </c>
      <c r="N1641" s="67" t="s">
        <v>42</v>
      </c>
    </row>
    <row r="1642" spans="2:14" ht="17" x14ac:dyDescent="0.2">
      <c r="B1642" s="147" t="s">
        <v>132</v>
      </c>
      <c r="C1642" s="19" t="s">
        <v>40</v>
      </c>
      <c r="J1642" s="34" t="s">
        <v>0</v>
      </c>
      <c r="L1642" s="62" t="s">
        <v>41</v>
      </c>
      <c r="M1642" s="34">
        <v>25292</v>
      </c>
      <c r="N1642" s="67" t="s">
        <v>42</v>
      </c>
    </row>
    <row r="1643" spans="2:14" ht="17" x14ac:dyDescent="0.2">
      <c r="B1643" s="147" t="s">
        <v>134</v>
      </c>
      <c r="C1643" s="19" t="s">
        <v>40</v>
      </c>
      <c r="J1643" s="34" t="s">
        <v>0</v>
      </c>
      <c r="L1643" s="62" t="s">
        <v>41</v>
      </c>
      <c r="M1643" s="34">
        <v>25292</v>
      </c>
      <c r="N1643" s="67" t="s">
        <v>42</v>
      </c>
    </row>
    <row r="1644" spans="2:14" ht="17" x14ac:dyDescent="0.2">
      <c r="B1644" s="147" t="s">
        <v>136</v>
      </c>
      <c r="C1644" s="19" t="s">
        <v>40</v>
      </c>
      <c r="J1644" s="34" t="s">
        <v>0</v>
      </c>
      <c r="L1644" s="62" t="s">
        <v>41</v>
      </c>
      <c r="M1644" s="34">
        <v>25292</v>
      </c>
      <c r="N1644" s="67" t="s">
        <v>42</v>
      </c>
    </row>
    <row r="1645" spans="2:14" ht="20" x14ac:dyDescent="0.25">
      <c r="B1645" s="230" t="s">
        <v>238</v>
      </c>
      <c r="C1645" s="19"/>
      <c r="J1645" s="34" t="s">
        <v>0</v>
      </c>
      <c r="N1645" s="67" t="s">
        <v>45</v>
      </c>
    </row>
    <row r="1646" spans="2:14" ht="17" x14ac:dyDescent="0.2">
      <c r="B1646" s="147" t="s">
        <v>346</v>
      </c>
      <c r="C1646" s="19" t="s">
        <v>40</v>
      </c>
      <c r="J1646" s="34" t="s">
        <v>0</v>
      </c>
      <c r="L1646" s="62" t="s">
        <v>41</v>
      </c>
      <c r="M1646" s="34">
        <v>25292</v>
      </c>
      <c r="N1646" s="67" t="s">
        <v>42</v>
      </c>
    </row>
    <row r="1647" spans="2:14" ht="17" x14ac:dyDescent="0.2">
      <c r="B1647" s="138" t="s">
        <v>347</v>
      </c>
      <c r="C1647" s="19" t="s">
        <v>40</v>
      </c>
      <c r="J1647" s="34" t="s">
        <v>0</v>
      </c>
      <c r="L1647" s="62" t="s">
        <v>41</v>
      </c>
      <c r="M1647" s="34">
        <v>25292</v>
      </c>
      <c r="N1647" s="67" t="s">
        <v>42</v>
      </c>
    </row>
    <row r="1648" spans="2:14" ht="17" x14ac:dyDescent="0.2">
      <c r="B1648" s="166" t="s">
        <v>442</v>
      </c>
      <c r="C1648" s="19" t="s">
        <v>40</v>
      </c>
      <c r="J1648" s="34" t="s">
        <v>0</v>
      </c>
      <c r="L1648" s="62" t="s">
        <v>41</v>
      </c>
      <c r="M1648" s="34">
        <v>25292</v>
      </c>
      <c r="N1648" s="67" t="s">
        <v>42</v>
      </c>
    </row>
    <row r="1649" spans="2:14" ht="17" x14ac:dyDescent="0.2">
      <c r="B1649" s="166" t="s">
        <v>427</v>
      </c>
      <c r="C1649" s="19" t="s">
        <v>40</v>
      </c>
      <c r="J1649" s="34" t="s">
        <v>0</v>
      </c>
      <c r="L1649" s="62" t="s">
        <v>41</v>
      </c>
      <c r="M1649" s="34">
        <v>25292</v>
      </c>
      <c r="N1649" s="67" t="s">
        <v>42</v>
      </c>
    </row>
    <row r="1650" spans="2:14" ht="17" x14ac:dyDescent="0.2">
      <c r="B1650" s="166" t="s">
        <v>350</v>
      </c>
      <c r="C1650" s="19" t="s">
        <v>40</v>
      </c>
      <c r="J1650" s="34" t="s">
        <v>0</v>
      </c>
      <c r="L1650" s="62" t="s">
        <v>41</v>
      </c>
      <c r="M1650" s="34">
        <v>25292</v>
      </c>
      <c r="N1650" s="67" t="s">
        <v>42</v>
      </c>
    </row>
    <row r="1651" spans="2:14" ht="23" x14ac:dyDescent="0.3">
      <c r="B1651" s="148" t="s">
        <v>137</v>
      </c>
      <c r="C1651" s="19"/>
      <c r="N1651" s="67" t="s">
        <v>45</v>
      </c>
    </row>
    <row r="1652" spans="2:14" ht="23" x14ac:dyDescent="0.3">
      <c r="B1652" s="148" t="s">
        <v>138</v>
      </c>
      <c r="C1652" s="19"/>
      <c r="N1652" s="67" t="s">
        <v>45</v>
      </c>
    </row>
    <row r="1653" spans="2:14" ht="17" x14ac:dyDescent="0.2">
      <c r="B1653" s="168" t="s">
        <v>330</v>
      </c>
      <c r="C1653" s="19" t="s">
        <v>40</v>
      </c>
      <c r="J1653" s="34" t="s">
        <v>0</v>
      </c>
      <c r="L1653" s="62" t="s">
        <v>41</v>
      </c>
      <c r="M1653" s="34">
        <v>25292</v>
      </c>
      <c r="N1653" s="67" t="s">
        <v>42</v>
      </c>
    </row>
    <row r="1654" spans="2:14" ht="34" x14ac:dyDescent="0.2">
      <c r="B1654" s="147" t="s">
        <v>331</v>
      </c>
      <c r="C1654" s="19" t="s">
        <v>40</v>
      </c>
      <c r="J1654" s="34" t="s">
        <v>0</v>
      </c>
      <c r="L1654" s="62" t="s">
        <v>41</v>
      </c>
      <c r="M1654" s="34">
        <v>25292</v>
      </c>
      <c r="N1654" s="67" t="s">
        <v>42</v>
      </c>
    </row>
    <row r="1655" spans="2:14" ht="34" x14ac:dyDescent="0.2">
      <c r="B1655" s="147" t="s">
        <v>405</v>
      </c>
      <c r="C1655" s="19" t="s">
        <v>40</v>
      </c>
      <c r="J1655" s="34" t="s">
        <v>0</v>
      </c>
      <c r="L1655" s="62" t="s">
        <v>41</v>
      </c>
      <c r="M1655" s="34">
        <v>25292</v>
      </c>
      <c r="N1655" s="67" t="s">
        <v>42</v>
      </c>
    </row>
    <row r="1656" spans="2:14" ht="34" x14ac:dyDescent="0.2">
      <c r="B1656" s="147" t="s">
        <v>406</v>
      </c>
      <c r="C1656" s="19" t="s">
        <v>40</v>
      </c>
      <c r="J1656" s="34" t="s">
        <v>0</v>
      </c>
      <c r="L1656" s="62" t="s">
        <v>41</v>
      </c>
      <c r="M1656" s="34">
        <v>25292</v>
      </c>
      <c r="N1656" s="67" t="s">
        <v>42</v>
      </c>
    </row>
    <row r="1657" spans="2:14" ht="17" x14ac:dyDescent="0.2">
      <c r="B1657" s="147" t="s">
        <v>407</v>
      </c>
      <c r="C1657" s="19" t="s">
        <v>40</v>
      </c>
      <c r="J1657" s="34" t="s">
        <v>0</v>
      </c>
      <c r="L1657" s="62" t="s">
        <v>41</v>
      </c>
      <c r="M1657" s="34">
        <v>25292</v>
      </c>
      <c r="N1657" s="67" t="s">
        <v>42</v>
      </c>
    </row>
    <row r="1658" spans="2:14" ht="23" x14ac:dyDescent="0.3">
      <c r="B1658" s="148" t="s">
        <v>144</v>
      </c>
      <c r="C1658" s="19"/>
      <c r="N1658" s="67" t="s">
        <v>45</v>
      </c>
    </row>
    <row r="1659" spans="2:14" ht="17" x14ac:dyDescent="0.2">
      <c r="B1659" s="147" t="s">
        <v>145</v>
      </c>
      <c r="C1659" s="19" t="s">
        <v>40</v>
      </c>
      <c r="J1659" s="34" t="s">
        <v>0</v>
      </c>
      <c r="L1659" s="62" t="s">
        <v>41</v>
      </c>
      <c r="M1659" s="34">
        <v>25292</v>
      </c>
      <c r="N1659" s="67" t="s">
        <v>42</v>
      </c>
    </row>
    <row r="1660" spans="2:14" ht="17" x14ac:dyDescent="0.2">
      <c r="B1660" s="147" t="s">
        <v>363</v>
      </c>
      <c r="C1660" s="19" t="s">
        <v>40</v>
      </c>
      <c r="J1660" s="34" t="s">
        <v>0</v>
      </c>
      <c r="L1660" s="62" t="s">
        <v>41</v>
      </c>
      <c r="M1660" s="34">
        <v>25292</v>
      </c>
      <c r="N1660" s="67" t="s">
        <v>42</v>
      </c>
    </row>
    <row r="1661" spans="2:14" ht="17" x14ac:dyDescent="0.2">
      <c r="B1661" s="147" t="s">
        <v>364</v>
      </c>
      <c r="C1661" s="19" t="s">
        <v>40</v>
      </c>
      <c r="J1661" s="34" t="s">
        <v>0</v>
      </c>
      <c r="L1661" s="62" t="s">
        <v>41</v>
      </c>
      <c r="M1661" s="34">
        <v>25292</v>
      </c>
      <c r="N1661" s="67" t="s">
        <v>42</v>
      </c>
    </row>
    <row r="1662" spans="2:14" ht="17" x14ac:dyDescent="0.2">
      <c r="B1662" s="168" t="s">
        <v>430</v>
      </c>
      <c r="C1662" s="19" t="s">
        <v>40</v>
      </c>
      <c r="J1662" s="34" t="s">
        <v>0</v>
      </c>
      <c r="L1662" s="62" t="s">
        <v>41</v>
      </c>
      <c r="M1662" s="34">
        <v>25292</v>
      </c>
      <c r="N1662" s="67" t="s">
        <v>42</v>
      </c>
    </row>
    <row r="1663" spans="2:14" ht="17" x14ac:dyDescent="0.2">
      <c r="B1663" s="147" t="s">
        <v>149</v>
      </c>
      <c r="C1663" s="19" t="s">
        <v>40</v>
      </c>
      <c r="J1663" s="34" t="s">
        <v>0</v>
      </c>
      <c r="L1663" s="62" t="s">
        <v>41</v>
      </c>
      <c r="M1663" s="34">
        <v>25292</v>
      </c>
      <c r="N1663" s="67" t="s">
        <v>42</v>
      </c>
    </row>
    <row r="1664" spans="2:14" ht="20" x14ac:dyDescent="0.25">
      <c r="B1664" s="149" t="s">
        <v>150</v>
      </c>
      <c r="C1664" s="19"/>
      <c r="N1664" s="67" t="s">
        <v>45</v>
      </c>
    </row>
    <row r="1665" spans="2:14" ht="17" x14ac:dyDescent="0.2">
      <c r="B1665" s="150" t="s">
        <v>151</v>
      </c>
      <c r="C1665" s="19"/>
      <c r="N1665" s="67" t="s">
        <v>45</v>
      </c>
    </row>
    <row r="1666" spans="2:14" ht="17" x14ac:dyDescent="0.2">
      <c r="B1666" s="151" t="s">
        <v>152</v>
      </c>
      <c r="C1666" s="19" t="s">
        <v>40</v>
      </c>
      <c r="J1666" s="34" t="s">
        <v>0</v>
      </c>
      <c r="L1666" s="62" t="s">
        <v>41</v>
      </c>
      <c r="M1666" s="34">
        <v>25292</v>
      </c>
      <c r="N1666" s="67" t="s">
        <v>42</v>
      </c>
    </row>
    <row r="1667" spans="2:14" ht="17" x14ac:dyDescent="0.2">
      <c r="B1667" s="151" t="s">
        <v>153</v>
      </c>
      <c r="C1667" s="19" t="s">
        <v>40</v>
      </c>
      <c r="J1667" s="34" t="s">
        <v>0</v>
      </c>
      <c r="L1667" s="62" t="s">
        <v>41</v>
      </c>
      <c r="M1667" s="34">
        <v>25292</v>
      </c>
      <c r="N1667" s="67" t="s">
        <v>42</v>
      </c>
    </row>
    <row r="1668" spans="2:14" ht="17" x14ac:dyDescent="0.2">
      <c r="B1668" s="152" t="s">
        <v>154</v>
      </c>
      <c r="C1668" s="19" t="s">
        <v>40</v>
      </c>
      <c r="J1668" s="34" t="s">
        <v>0</v>
      </c>
      <c r="L1668" s="62" t="s">
        <v>41</v>
      </c>
      <c r="M1668" s="34">
        <v>25292</v>
      </c>
      <c r="N1668" s="67" t="s">
        <v>42</v>
      </c>
    </row>
    <row r="1669" spans="2:14" ht="17" x14ac:dyDescent="0.2">
      <c r="B1669" s="143" t="s">
        <v>155</v>
      </c>
      <c r="C1669" s="19" t="s">
        <v>40</v>
      </c>
      <c r="J1669" s="34" t="s">
        <v>0</v>
      </c>
      <c r="L1669" s="62" t="s">
        <v>41</v>
      </c>
      <c r="M1669" s="34">
        <v>25292</v>
      </c>
      <c r="N1669" s="67" t="s">
        <v>42</v>
      </c>
    </row>
    <row r="1670" spans="2:14" ht="17" x14ac:dyDescent="0.2">
      <c r="B1670" s="153" t="s">
        <v>156</v>
      </c>
      <c r="N1670" s="67" t="s">
        <v>45</v>
      </c>
    </row>
    <row r="1671" spans="2:14" ht="17" x14ac:dyDescent="0.2">
      <c r="B1671" s="153" t="s">
        <v>157</v>
      </c>
      <c r="C1671" s="19"/>
      <c r="N1671" s="67" t="s">
        <v>45</v>
      </c>
    </row>
    <row r="1672" spans="2:14" ht="17" x14ac:dyDescent="0.2">
      <c r="B1672" s="154" t="s">
        <v>158</v>
      </c>
      <c r="C1672" s="19" t="s">
        <v>40</v>
      </c>
      <c r="J1672" s="34" t="s">
        <v>0</v>
      </c>
      <c r="L1672" s="62" t="s">
        <v>41</v>
      </c>
      <c r="M1672" s="34">
        <v>25292</v>
      </c>
      <c r="N1672" s="67" t="s">
        <v>42</v>
      </c>
    </row>
    <row r="1673" spans="2:14" ht="17" x14ac:dyDescent="0.2">
      <c r="B1673" s="155" t="s">
        <v>159</v>
      </c>
      <c r="C1673" s="19" t="s">
        <v>40</v>
      </c>
      <c r="J1673" s="34" t="s">
        <v>0</v>
      </c>
      <c r="L1673" s="62" t="s">
        <v>41</v>
      </c>
      <c r="M1673" s="34">
        <v>25292</v>
      </c>
      <c r="N1673" s="67" t="s">
        <v>42</v>
      </c>
    </row>
    <row r="1674" spans="2:14" ht="17" x14ac:dyDescent="0.2">
      <c r="B1674" s="151" t="s">
        <v>160</v>
      </c>
      <c r="C1674" s="19" t="s">
        <v>40</v>
      </c>
      <c r="J1674" s="34" t="s">
        <v>0</v>
      </c>
      <c r="L1674" s="62" t="s">
        <v>41</v>
      </c>
      <c r="M1674" s="34">
        <v>25292</v>
      </c>
      <c r="N1674" s="67" t="s">
        <v>42</v>
      </c>
    </row>
    <row r="1675" spans="2:14" ht="17" x14ac:dyDescent="0.2">
      <c r="B1675" s="153" t="s">
        <v>161</v>
      </c>
      <c r="C1675" s="19"/>
      <c r="N1675" s="67" t="s">
        <v>45</v>
      </c>
    </row>
    <row r="1676" spans="2:14" ht="17" x14ac:dyDescent="0.2">
      <c r="B1676" s="156" t="s">
        <v>162</v>
      </c>
      <c r="C1676" s="19"/>
      <c r="N1676" s="67" t="s">
        <v>45</v>
      </c>
    </row>
    <row r="1677" spans="2:14" ht="48" x14ac:dyDescent="0.2">
      <c r="B1677" s="151" t="s">
        <v>163</v>
      </c>
      <c r="C1677" s="19" t="s">
        <v>40</v>
      </c>
      <c r="J1677" s="34" t="s">
        <v>0</v>
      </c>
      <c r="L1677" s="62" t="s">
        <v>41</v>
      </c>
      <c r="M1677" s="34">
        <v>25292</v>
      </c>
      <c r="N1677" s="67" t="s">
        <v>42</v>
      </c>
    </row>
    <row r="1678" spans="2:14" ht="17" x14ac:dyDescent="0.2">
      <c r="B1678" s="166" t="s">
        <v>443</v>
      </c>
      <c r="C1678" s="19" t="s">
        <v>40</v>
      </c>
      <c r="J1678" s="34" t="s">
        <v>0</v>
      </c>
      <c r="L1678" s="62" t="s">
        <v>41</v>
      </c>
      <c r="M1678" s="34">
        <v>25292</v>
      </c>
      <c r="N1678" s="67" t="s">
        <v>42</v>
      </c>
    </row>
    <row r="1679" spans="2:14" ht="17" x14ac:dyDescent="0.2">
      <c r="B1679" s="156" t="s">
        <v>165</v>
      </c>
      <c r="C1679" s="19"/>
      <c r="N1679" s="67" t="s">
        <v>45</v>
      </c>
    </row>
    <row r="1680" spans="2:14" ht="48" x14ac:dyDescent="0.2">
      <c r="B1680" s="151" t="s">
        <v>166</v>
      </c>
      <c r="C1680" s="19" t="s">
        <v>40</v>
      </c>
      <c r="J1680" s="34" t="s">
        <v>0</v>
      </c>
      <c r="L1680" s="62" t="s">
        <v>41</v>
      </c>
      <c r="M1680" s="34">
        <v>25292</v>
      </c>
      <c r="N1680" s="67" t="s">
        <v>42</v>
      </c>
    </row>
    <row r="1681" spans="2:14" ht="17" x14ac:dyDescent="0.2">
      <c r="B1681" s="138" t="s">
        <v>167</v>
      </c>
      <c r="C1681" s="19" t="s">
        <v>40</v>
      </c>
      <c r="J1681" s="34" t="s">
        <v>0</v>
      </c>
      <c r="L1681" s="62" t="s">
        <v>41</v>
      </c>
      <c r="M1681" s="34">
        <v>25292</v>
      </c>
      <c r="N1681" s="67" t="s">
        <v>42</v>
      </c>
    </row>
    <row r="1682" spans="2:14" ht="17" x14ac:dyDescent="0.2">
      <c r="B1682" s="157" t="s">
        <v>168</v>
      </c>
      <c r="N1682" s="67" t="s">
        <v>45</v>
      </c>
    </row>
    <row r="1683" spans="2:14" ht="51" x14ac:dyDescent="0.2">
      <c r="B1683" s="158" t="s">
        <v>169</v>
      </c>
      <c r="C1683" s="19" t="s">
        <v>40</v>
      </c>
      <c r="J1683" s="34" t="s">
        <v>0</v>
      </c>
      <c r="L1683" s="62" t="s">
        <v>41</v>
      </c>
      <c r="M1683" s="34">
        <v>25292</v>
      </c>
      <c r="N1683" s="67" t="s">
        <v>42</v>
      </c>
    </row>
    <row r="1684" spans="2:14" ht="17" x14ac:dyDescent="0.2">
      <c r="B1684" s="159" t="s">
        <v>170</v>
      </c>
      <c r="C1684" s="19" t="s">
        <v>40</v>
      </c>
      <c r="J1684" s="34" t="s">
        <v>0</v>
      </c>
      <c r="L1684" s="62" t="s">
        <v>41</v>
      </c>
      <c r="M1684" s="34">
        <v>25292</v>
      </c>
      <c r="N1684" s="67" t="s">
        <v>42</v>
      </c>
    </row>
    <row r="1685" spans="2:14" ht="17" x14ac:dyDescent="0.2">
      <c r="B1685" s="157" t="s">
        <v>171</v>
      </c>
      <c r="C1685" s="19"/>
      <c r="N1685" s="67" t="s">
        <v>45</v>
      </c>
    </row>
    <row r="1686" spans="2:14" ht="48" x14ac:dyDescent="0.2">
      <c r="B1686" s="144" t="s">
        <v>172</v>
      </c>
      <c r="C1686" s="19" t="s">
        <v>40</v>
      </c>
      <c r="J1686" s="34" t="s">
        <v>0</v>
      </c>
      <c r="L1686" s="62" t="s">
        <v>41</v>
      </c>
      <c r="M1686" s="34">
        <v>25292</v>
      </c>
      <c r="N1686" s="67" t="s">
        <v>42</v>
      </c>
    </row>
    <row r="1687" spans="2:14" ht="17" x14ac:dyDescent="0.2">
      <c r="B1687" s="160" t="s">
        <v>173</v>
      </c>
      <c r="C1687" s="19" t="s">
        <v>40</v>
      </c>
      <c r="J1687" s="34" t="s">
        <v>0</v>
      </c>
      <c r="L1687" s="62" t="s">
        <v>41</v>
      </c>
      <c r="M1687" s="34">
        <v>25292</v>
      </c>
      <c r="N1687" s="67" t="s">
        <v>42</v>
      </c>
    </row>
    <row r="1688" spans="2:14" ht="17" x14ac:dyDescent="0.2">
      <c r="B1688" s="161" t="s">
        <v>174</v>
      </c>
      <c r="N1688" s="67" t="s">
        <v>45</v>
      </c>
    </row>
    <row r="1689" spans="2:14" ht="51" x14ac:dyDescent="0.2">
      <c r="B1689" s="161" t="s">
        <v>175</v>
      </c>
      <c r="C1689" s="19"/>
      <c r="N1689" s="67" t="s">
        <v>45</v>
      </c>
    </row>
    <row r="1690" spans="2:14" ht="17" x14ac:dyDescent="0.2">
      <c r="B1690" s="131" t="s">
        <v>176</v>
      </c>
      <c r="C1690" s="19" t="s">
        <v>40</v>
      </c>
      <c r="J1690" s="34" t="s">
        <v>0</v>
      </c>
      <c r="L1690" s="62" t="s">
        <v>41</v>
      </c>
      <c r="M1690" s="34">
        <v>25292</v>
      </c>
      <c r="N1690" s="67" t="s">
        <v>42</v>
      </c>
    </row>
    <row r="1691" spans="2:14" ht="17" x14ac:dyDescent="0.2">
      <c r="B1691" s="160" t="s">
        <v>177</v>
      </c>
      <c r="C1691" s="19" t="s">
        <v>40</v>
      </c>
      <c r="J1691" s="34" t="s">
        <v>0</v>
      </c>
      <c r="L1691" s="62" t="s">
        <v>41</v>
      </c>
      <c r="M1691" s="34">
        <v>25292</v>
      </c>
      <c r="N1691" s="67" t="s">
        <v>42</v>
      </c>
    </row>
    <row r="1692" spans="2:14" ht="17" x14ac:dyDescent="0.2">
      <c r="B1692" s="131" t="s">
        <v>178</v>
      </c>
      <c r="C1692" s="19" t="s">
        <v>40</v>
      </c>
      <c r="J1692" s="34" t="s">
        <v>0</v>
      </c>
      <c r="L1692" s="62" t="s">
        <v>41</v>
      </c>
      <c r="M1692" s="34">
        <v>25292</v>
      </c>
      <c r="N1692" s="67" t="s">
        <v>42</v>
      </c>
    </row>
    <row r="1693" spans="2:14" ht="68" x14ac:dyDescent="0.2">
      <c r="B1693" s="131" t="s">
        <v>365</v>
      </c>
      <c r="C1693" s="19" t="s">
        <v>40</v>
      </c>
      <c r="J1693" s="34" t="s">
        <v>0</v>
      </c>
      <c r="L1693" s="62" t="s">
        <v>41</v>
      </c>
      <c r="M1693" s="34">
        <v>25292</v>
      </c>
      <c r="N1693" s="67" t="s">
        <v>42</v>
      </c>
    </row>
    <row r="1694" spans="2:14" ht="17" x14ac:dyDescent="0.2">
      <c r="B1694" s="131" t="s">
        <v>180</v>
      </c>
      <c r="C1694" s="19" t="s">
        <v>40</v>
      </c>
      <c r="J1694" s="34" t="s">
        <v>0</v>
      </c>
      <c r="L1694" s="62" t="s">
        <v>41</v>
      </c>
      <c r="M1694" s="34">
        <v>25292</v>
      </c>
      <c r="N1694" s="67" t="s">
        <v>42</v>
      </c>
    </row>
    <row r="1695" spans="2:14" ht="68" x14ac:dyDescent="0.2">
      <c r="B1695" s="131" t="s">
        <v>181</v>
      </c>
      <c r="C1695" s="19" t="s">
        <v>40</v>
      </c>
      <c r="J1695" s="34" t="s">
        <v>0</v>
      </c>
      <c r="L1695" s="62" t="s">
        <v>41</v>
      </c>
      <c r="M1695" s="34">
        <v>25292</v>
      </c>
      <c r="N1695" s="67" t="s">
        <v>42</v>
      </c>
    </row>
    <row r="1696" spans="2:14" ht="17" x14ac:dyDescent="0.2">
      <c r="B1696" s="160" t="s">
        <v>182</v>
      </c>
      <c r="C1696" s="19" t="s">
        <v>40</v>
      </c>
      <c r="J1696" s="34" t="s">
        <v>0</v>
      </c>
      <c r="L1696" s="62" t="s">
        <v>41</v>
      </c>
      <c r="M1696" s="34">
        <v>25292</v>
      </c>
      <c r="N1696" s="67" t="s">
        <v>42</v>
      </c>
    </row>
    <row r="1697" spans="2:14" ht="68" x14ac:dyDescent="0.2">
      <c r="B1697" s="160" t="s">
        <v>366</v>
      </c>
      <c r="C1697" s="19" t="s">
        <v>40</v>
      </c>
      <c r="J1697" s="34" t="s">
        <v>0</v>
      </c>
      <c r="L1697" s="62" t="s">
        <v>41</v>
      </c>
      <c r="M1697" s="34">
        <v>25292</v>
      </c>
      <c r="N1697" s="67" t="s">
        <v>42</v>
      </c>
    </row>
    <row r="1698" spans="2:14" ht="17" x14ac:dyDescent="0.2">
      <c r="B1698" s="162" t="s">
        <v>184</v>
      </c>
      <c r="C1698" s="19" t="s">
        <v>40</v>
      </c>
      <c r="J1698" s="34" t="s">
        <v>0</v>
      </c>
      <c r="L1698" s="62" t="s">
        <v>41</v>
      </c>
      <c r="M1698" s="34">
        <v>25292</v>
      </c>
      <c r="N1698" s="67" t="s">
        <v>42</v>
      </c>
    </row>
    <row r="1699" spans="2:14" ht="17" x14ac:dyDescent="0.2">
      <c r="B1699" s="162" t="s">
        <v>185</v>
      </c>
      <c r="C1699" s="19" t="s">
        <v>40</v>
      </c>
      <c r="J1699" s="34" t="s">
        <v>0</v>
      </c>
      <c r="L1699" s="62" t="s">
        <v>41</v>
      </c>
      <c r="M1699" s="34">
        <v>25292</v>
      </c>
      <c r="N1699" s="67" t="s">
        <v>42</v>
      </c>
    </row>
    <row r="1700" spans="2:14" ht="17" x14ac:dyDescent="0.2">
      <c r="N1700" s="67" t="s">
        <v>45</v>
      </c>
    </row>
    <row r="1701" spans="2:14" ht="17" x14ac:dyDescent="0.2">
      <c r="N1701" s="67" t="s">
        <v>45</v>
      </c>
    </row>
    <row r="1702" spans="2:14" ht="17" x14ac:dyDescent="0.2">
      <c r="N1702" s="67" t="s">
        <v>45</v>
      </c>
    </row>
    <row r="1703" spans="2:14" ht="50" x14ac:dyDescent="0.3">
      <c r="B1703" s="125" t="s">
        <v>444</v>
      </c>
      <c r="C1703" s="59"/>
      <c r="N1703" s="67" t="s">
        <v>45</v>
      </c>
    </row>
    <row r="1704" spans="2:14" ht="69" x14ac:dyDescent="0.2">
      <c r="B1704" s="126" t="s">
        <v>445</v>
      </c>
      <c r="C1704" s="19"/>
      <c r="N1704" s="67" t="s">
        <v>45</v>
      </c>
    </row>
    <row r="1705" spans="2:14" ht="17" x14ac:dyDescent="0.2">
      <c r="B1705" s="127" t="s">
        <v>31</v>
      </c>
      <c r="C1705" s="19"/>
      <c r="N1705" s="67" t="s">
        <v>45</v>
      </c>
    </row>
    <row r="1706" spans="2:14" ht="17" x14ac:dyDescent="0.2">
      <c r="B1706" s="127" t="s">
        <v>328</v>
      </c>
      <c r="N1706" s="67" t="s">
        <v>45</v>
      </c>
    </row>
    <row r="1707" spans="2:14" ht="17" x14ac:dyDescent="0.2">
      <c r="B1707" s="128" t="s">
        <v>33</v>
      </c>
      <c r="N1707" s="67" t="s">
        <v>45</v>
      </c>
    </row>
    <row r="1708" spans="2:14" ht="17" x14ac:dyDescent="0.2">
      <c r="B1708" s="127" t="s">
        <v>34</v>
      </c>
      <c r="C1708" s="19"/>
      <c r="N1708" s="67" t="s">
        <v>45</v>
      </c>
    </row>
    <row r="1709" spans="2:14" ht="51" x14ac:dyDescent="0.2">
      <c r="B1709" s="127" t="s">
        <v>446</v>
      </c>
      <c r="C1709" s="19"/>
      <c r="N1709" s="67" t="s">
        <v>45</v>
      </c>
    </row>
    <row r="1710" spans="2:14" ht="17" x14ac:dyDescent="0.2">
      <c r="B1710" s="129" t="s">
        <v>36</v>
      </c>
      <c r="C1710" s="19"/>
      <c r="N1710" s="67" t="s">
        <v>45</v>
      </c>
    </row>
    <row r="1711" spans="2:14" ht="17" x14ac:dyDescent="0.2">
      <c r="B1711" s="129" t="s">
        <v>37</v>
      </c>
      <c r="C1711" s="19"/>
      <c r="N1711" s="67" t="s">
        <v>45</v>
      </c>
    </row>
    <row r="1712" spans="2:14" ht="17" x14ac:dyDescent="0.2">
      <c r="B1712" s="128" t="s">
        <v>38</v>
      </c>
      <c r="C1712" s="19"/>
      <c r="N1712" s="67" t="s">
        <v>45</v>
      </c>
    </row>
    <row r="1713" spans="2:14" ht="48" x14ac:dyDescent="0.2">
      <c r="B1713" s="130" t="s">
        <v>340</v>
      </c>
      <c r="C1713" s="19" t="s">
        <v>40</v>
      </c>
      <c r="E1713" s="34" t="s">
        <v>0</v>
      </c>
      <c r="G1713" s="62" t="s">
        <v>41</v>
      </c>
      <c r="H1713" s="34">
        <v>18223</v>
      </c>
      <c r="N1713" s="67" t="s">
        <v>42</v>
      </c>
    </row>
    <row r="1714" spans="2:14" ht="32" x14ac:dyDescent="0.2">
      <c r="B1714" s="130" t="s">
        <v>198</v>
      </c>
      <c r="C1714" s="19" t="s">
        <v>40</v>
      </c>
      <c r="E1714" s="34" t="s">
        <v>0</v>
      </c>
      <c r="G1714" s="62" t="s">
        <v>41</v>
      </c>
      <c r="H1714" s="34">
        <v>18223</v>
      </c>
      <c r="N1714" s="67" t="s">
        <v>42</v>
      </c>
    </row>
    <row r="1715" spans="2:14" ht="17" x14ac:dyDescent="0.2">
      <c r="B1715" s="128" t="s">
        <v>44</v>
      </c>
      <c r="C1715" s="19"/>
      <c r="N1715" s="67" t="s">
        <v>45</v>
      </c>
    </row>
    <row r="1716" spans="2:14" ht="17" x14ac:dyDescent="0.2">
      <c r="B1716" s="130" t="s">
        <v>46</v>
      </c>
      <c r="C1716" s="19" t="s">
        <v>40</v>
      </c>
      <c r="E1716" s="34" t="s">
        <v>0</v>
      </c>
      <c r="G1716" s="62" t="s">
        <v>41</v>
      </c>
      <c r="H1716" s="34">
        <v>18223</v>
      </c>
      <c r="N1716" s="67" t="s">
        <v>42</v>
      </c>
    </row>
    <row r="1717" spans="2:14" ht="17" x14ac:dyDescent="0.2">
      <c r="B1717" s="128" t="s">
        <v>47</v>
      </c>
      <c r="N1717" s="67" t="s">
        <v>45</v>
      </c>
    </row>
    <row r="1718" spans="2:14" ht="17" x14ac:dyDescent="0.2">
      <c r="B1718" s="131" t="s">
        <v>48</v>
      </c>
      <c r="C1718" s="19" t="s">
        <v>40</v>
      </c>
      <c r="E1718" s="34" t="s">
        <v>0</v>
      </c>
      <c r="G1718" s="62" t="s">
        <v>41</v>
      </c>
      <c r="H1718" s="34">
        <v>18223</v>
      </c>
      <c r="N1718" s="67" t="s">
        <v>42</v>
      </c>
    </row>
    <row r="1719" spans="2:14" ht="17" x14ac:dyDescent="0.2">
      <c r="B1719" s="131" t="s">
        <v>49</v>
      </c>
      <c r="C1719" s="19" t="s">
        <v>40</v>
      </c>
      <c r="E1719" s="34" t="s">
        <v>0</v>
      </c>
      <c r="G1719" s="62" t="s">
        <v>41</v>
      </c>
      <c r="H1719" s="34">
        <v>18223</v>
      </c>
      <c r="N1719" s="67" t="s">
        <v>42</v>
      </c>
    </row>
    <row r="1720" spans="2:14" ht="34" x14ac:dyDescent="0.2">
      <c r="B1720" s="131" t="s">
        <v>50</v>
      </c>
      <c r="C1720" s="19" t="s">
        <v>40</v>
      </c>
      <c r="E1720" s="34" t="s">
        <v>0</v>
      </c>
      <c r="G1720" s="62" t="s">
        <v>41</v>
      </c>
      <c r="H1720" s="34">
        <v>18223</v>
      </c>
      <c r="N1720" s="67" t="s">
        <v>42</v>
      </c>
    </row>
    <row r="1721" spans="2:14" ht="17" x14ac:dyDescent="0.2">
      <c r="B1721" s="128" t="s">
        <v>51</v>
      </c>
      <c r="C1721" s="19"/>
      <c r="N1721" s="67" t="s">
        <v>45</v>
      </c>
    </row>
    <row r="1722" spans="2:14" ht="30.75" customHeight="1" x14ac:dyDescent="0.2">
      <c r="B1722" s="131" t="s">
        <v>52</v>
      </c>
      <c r="C1722" s="19" t="s">
        <v>40</v>
      </c>
      <c r="E1722" s="34" t="s">
        <v>0</v>
      </c>
      <c r="G1722" s="62" t="s">
        <v>41</v>
      </c>
      <c r="H1722" s="34">
        <v>18223</v>
      </c>
      <c r="N1722" s="67" t="s">
        <v>42</v>
      </c>
    </row>
    <row r="1723" spans="2:14" ht="17" x14ac:dyDescent="0.2">
      <c r="B1723" s="132" t="s">
        <v>53</v>
      </c>
      <c r="C1723" s="19"/>
      <c r="N1723" s="67" t="s">
        <v>45</v>
      </c>
    </row>
    <row r="1724" spans="2:14" ht="51" x14ac:dyDescent="0.2">
      <c r="B1724" s="133" t="s">
        <v>54</v>
      </c>
      <c r="C1724" s="19" t="s">
        <v>40</v>
      </c>
      <c r="E1724" s="34" t="s">
        <v>0</v>
      </c>
      <c r="G1724" s="62" t="s">
        <v>41</v>
      </c>
      <c r="H1724" s="34">
        <v>18223</v>
      </c>
      <c r="N1724" s="67" t="s">
        <v>42</v>
      </c>
    </row>
    <row r="1725" spans="2:14" ht="17" x14ac:dyDescent="0.2">
      <c r="B1725" s="128" t="s">
        <v>55</v>
      </c>
      <c r="C1725" s="19"/>
      <c r="N1725" s="67" t="s">
        <v>45</v>
      </c>
    </row>
    <row r="1726" spans="2:14" ht="51" x14ac:dyDescent="0.2">
      <c r="B1726" s="134" t="s">
        <v>56</v>
      </c>
      <c r="C1726" s="19" t="s">
        <v>57</v>
      </c>
      <c r="E1726" s="34" t="s">
        <v>0</v>
      </c>
      <c r="G1726" s="62" t="s">
        <v>41</v>
      </c>
      <c r="H1726" s="34">
        <v>18223</v>
      </c>
      <c r="N1726" s="67" t="s">
        <v>42</v>
      </c>
    </row>
    <row r="1727" spans="2:14" ht="40" x14ac:dyDescent="0.2">
      <c r="B1727" s="285" t="s">
        <v>393</v>
      </c>
      <c r="N1727" s="67" t="s">
        <v>45</v>
      </c>
    </row>
    <row r="1728" spans="2:14" ht="17" x14ac:dyDescent="0.2">
      <c r="B1728" s="132" t="s">
        <v>60</v>
      </c>
      <c r="C1728" s="19"/>
      <c r="N1728" s="67" t="s">
        <v>45</v>
      </c>
    </row>
    <row r="1729" spans="2:14" ht="17" x14ac:dyDescent="0.2">
      <c r="B1729" s="135" t="s">
        <v>61</v>
      </c>
      <c r="C1729" s="19" t="s">
        <v>40</v>
      </c>
      <c r="E1729" s="34" t="s">
        <v>0</v>
      </c>
      <c r="G1729" s="62" t="s">
        <v>41</v>
      </c>
      <c r="H1729" s="34">
        <v>18223</v>
      </c>
      <c r="N1729" s="67" t="s">
        <v>42</v>
      </c>
    </row>
    <row r="1730" spans="2:14" ht="17" x14ac:dyDescent="0.2">
      <c r="B1730" s="136" t="s">
        <v>62</v>
      </c>
      <c r="C1730" s="19" t="s">
        <v>40</v>
      </c>
      <c r="E1730" s="34" t="s">
        <v>0</v>
      </c>
      <c r="G1730" s="62" t="s">
        <v>41</v>
      </c>
      <c r="H1730" s="34">
        <v>18223</v>
      </c>
      <c r="N1730" s="67" t="s">
        <v>42</v>
      </c>
    </row>
    <row r="1731" spans="2:14" ht="96" x14ac:dyDescent="0.2">
      <c r="B1731" s="137" t="s">
        <v>63</v>
      </c>
      <c r="C1731" s="19" t="s">
        <v>40</v>
      </c>
      <c r="E1731" s="34" t="s">
        <v>0</v>
      </c>
      <c r="G1731" s="62" t="s">
        <v>41</v>
      </c>
      <c r="H1731" s="34">
        <v>18223</v>
      </c>
      <c r="N1731" s="67" t="s">
        <v>42</v>
      </c>
    </row>
    <row r="1732" spans="2:14" ht="17" x14ac:dyDescent="0.2">
      <c r="B1732" s="136" t="s">
        <v>64</v>
      </c>
      <c r="C1732" s="19" t="s">
        <v>40</v>
      </c>
      <c r="E1732" s="34" t="s">
        <v>0</v>
      </c>
      <c r="G1732" s="62" t="s">
        <v>41</v>
      </c>
      <c r="H1732" s="34">
        <v>18223</v>
      </c>
      <c r="N1732" s="67" t="s">
        <v>42</v>
      </c>
    </row>
    <row r="1733" spans="2:14" ht="17" x14ac:dyDescent="0.2">
      <c r="B1733" s="128" t="s">
        <v>65</v>
      </c>
      <c r="N1733" s="67" t="s">
        <v>45</v>
      </c>
    </row>
    <row r="1734" spans="2:14" ht="17" x14ac:dyDescent="0.2">
      <c r="B1734" s="237" t="s">
        <v>66</v>
      </c>
      <c r="C1734" s="19" t="s">
        <v>40</v>
      </c>
      <c r="E1734" s="34" t="s">
        <v>0</v>
      </c>
      <c r="G1734" s="62" t="s">
        <v>41</v>
      </c>
      <c r="H1734" s="34">
        <v>18223</v>
      </c>
      <c r="N1734" s="67" t="s">
        <v>42</v>
      </c>
    </row>
    <row r="1735" spans="2:14" ht="17" x14ac:dyDescent="0.2">
      <c r="B1735" s="138" t="s">
        <v>67</v>
      </c>
      <c r="C1735" s="19" t="s">
        <v>40</v>
      </c>
      <c r="E1735" s="34" t="s">
        <v>0</v>
      </c>
      <c r="G1735" s="62" t="s">
        <v>41</v>
      </c>
      <c r="H1735" s="34">
        <v>18223</v>
      </c>
      <c r="N1735" s="67" t="s">
        <v>42</v>
      </c>
    </row>
    <row r="1736" spans="2:14" ht="17" x14ac:dyDescent="0.2">
      <c r="B1736" s="138" t="s">
        <v>274</v>
      </c>
      <c r="C1736" s="19" t="s">
        <v>40</v>
      </c>
      <c r="E1736" s="34" t="s">
        <v>0</v>
      </c>
      <c r="G1736" s="62" t="s">
        <v>41</v>
      </c>
      <c r="H1736" s="34">
        <v>18223</v>
      </c>
      <c r="N1736" s="67" t="s">
        <v>42</v>
      </c>
    </row>
    <row r="1737" spans="2:14" ht="17" x14ac:dyDescent="0.2">
      <c r="B1737" s="138" t="s">
        <v>447</v>
      </c>
      <c r="C1737" s="19" t="s">
        <v>40</v>
      </c>
      <c r="E1737" s="34" t="s">
        <v>0</v>
      </c>
      <c r="G1737" s="62" t="s">
        <v>41</v>
      </c>
      <c r="H1737" s="34">
        <v>18223</v>
      </c>
      <c r="N1737" s="67" t="s">
        <v>42</v>
      </c>
    </row>
    <row r="1738" spans="2:14" ht="17" x14ac:dyDescent="0.2">
      <c r="B1738" s="138" t="s">
        <v>448</v>
      </c>
      <c r="C1738" s="19" t="s">
        <v>40</v>
      </c>
      <c r="E1738" s="34" t="s">
        <v>0</v>
      </c>
      <c r="G1738" s="62" t="s">
        <v>41</v>
      </c>
      <c r="H1738" s="34">
        <v>18223</v>
      </c>
      <c r="N1738" s="67" t="s">
        <v>42</v>
      </c>
    </row>
    <row r="1739" spans="2:14" ht="17" x14ac:dyDescent="0.2">
      <c r="B1739" s="138" t="s">
        <v>418</v>
      </c>
      <c r="C1739" s="19" t="s">
        <v>40</v>
      </c>
      <c r="E1739" s="34" t="s">
        <v>0</v>
      </c>
      <c r="G1739" s="62" t="s">
        <v>41</v>
      </c>
      <c r="H1739" s="34">
        <v>18223</v>
      </c>
      <c r="N1739" s="67" t="s">
        <v>42</v>
      </c>
    </row>
    <row r="1740" spans="2:14" ht="17" x14ac:dyDescent="0.2">
      <c r="B1740" s="139" t="s">
        <v>72</v>
      </c>
      <c r="C1740" s="19" t="s">
        <v>40</v>
      </c>
      <c r="E1740" s="34" t="s">
        <v>0</v>
      </c>
      <c r="G1740" s="62" t="s">
        <v>41</v>
      </c>
      <c r="H1740" s="34">
        <v>18223</v>
      </c>
      <c r="N1740" s="67" t="s">
        <v>42</v>
      </c>
    </row>
    <row r="1741" spans="2:14" ht="17" x14ac:dyDescent="0.2">
      <c r="B1741" s="237" t="s">
        <v>73</v>
      </c>
      <c r="C1741" s="19" t="s">
        <v>40</v>
      </c>
      <c r="E1741" s="34" t="s">
        <v>0</v>
      </c>
      <c r="G1741" s="62" t="s">
        <v>41</v>
      </c>
      <c r="H1741" s="34">
        <v>18223</v>
      </c>
      <c r="N1741" s="67" t="s">
        <v>42</v>
      </c>
    </row>
    <row r="1742" spans="2:14" ht="17" x14ac:dyDescent="0.2">
      <c r="B1742" s="139" t="s">
        <v>74</v>
      </c>
      <c r="C1742" s="19" t="s">
        <v>40</v>
      </c>
      <c r="E1742" s="34" t="s">
        <v>0</v>
      </c>
      <c r="G1742" s="62" t="s">
        <v>41</v>
      </c>
      <c r="H1742" s="34">
        <v>18223</v>
      </c>
      <c r="N1742" s="67" t="s">
        <v>42</v>
      </c>
    </row>
    <row r="1743" spans="2:14" ht="17" x14ac:dyDescent="0.2">
      <c r="B1743" s="139" t="s">
        <v>75</v>
      </c>
      <c r="C1743" s="19" t="s">
        <v>40</v>
      </c>
      <c r="E1743" s="34" t="s">
        <v>0</v>
      </c>
      <c r="G1743" s="62" t="s">
        <v>41</v>
      </c>
      <c r="H1743" s="34">
        <v>18223</v>
      </c>
      <c r="N1743" s="67" t="s">
        <v>42</v>
      </c>
    </row>
    <row r="1744" spans="2:14" ht="17" x14ac:dyDescent="0.2">
      <c r="B1744" s="138" t="s">
        <v>76</v>
      </c>
      <c r="C1744" s="19" t="s">
        <v>40</v>
      </c>
      <c r="E1744" s="34" t="s">
        <v>0</v>
      </c>
      <c r="G1744" s="62" t="s">
        <v>41</v>
      </c>
      <c r="H1744" s="34">
        <v>18223</v>
      </c>
      <c r="N1744" s="67" t="s">
        <v>42</v>
      </c>
    </row>
    <row r="1745" spans="2:14" ht="68" x14ac:dyDescent="0.2">
      <c r="B1745" s="138" t="s">
        <v>204</v>
      </c>
      <c r="C1745" s="19" t="s">
        <v>40</v>
      </c>
      <c r="E1745" s="34" t="s">
        <v>0</v>
      </c>
      <c r="G1745" s="62" t="s">
        <v>41</v>
      </c>
      <c r="H1745" s="34">
        <v>18223</v>
      </c>
      <c r="N1745" s="67" t="s">
        <v>42</v>
      </c>
    </row>
    <row r="1746" spans="2:14" ht="17" x14ac:dyDescent="0.2">
      <c r="B1746" s="138" t="s">
        <v>419</v>
      </c>
      <c r="C1746" s="19" t="s">
        <v>40</v>
      </c>
      <c r="E1746" s="34" t="s">
        <v>0</v>
      </c>
      <c r="G1746" s="62" t="s">
        <v>41</v>
      </c>
      <c r="H1746" s="34">
        <v>18223</v>
      </c>
      <c r="N1746" s="67" t="s">
        <v>42</v>
      </c>
    </row>
    <row r="1747" spans="2:14" ht="34" x14ac:dyDescent="0.2">
      <c r="B1747" s="138" t="s">
        <v>449</v>
      </c>
      <c r="C1747" s="19" t="s">
        <v>40</v>
      </c>
      <c r="E1747" s="34" t="s">
        <v>0</v>
      </c>
      <c r="G1747" s="62" t="s">
        <v>41</v>
      </c>
      <c r="H1747" s="34">
        <v>18223</v>
      </c>
      <c r="N1747" s="67" t="s">
        <v>42</v>
      </c>
    </row>
    <row r="1748" spans="2:14" ht="17" x14ac:dyDescent="0.2">
      <c r="B1748" s="138" t="s">
        <v>80</v>
      </c>
      <c r="C1748" s="19" t="s">
        <v>40</v>
      </c>
      <c r="E1748" s="34" t="s">
        <v>0</v>
      </c>
      <c r="G1748" s="62" t="s">
        <v>41</v>
      </c>
      <c r="H1748" s="34">
        <v>18223</v>
      </c>
      <c r="N1748" s="67" t="s">
        <v>42</v>
      </c>
    </row>
    <row r="1749" spans="2:14" ht="17" x14ac:dyDescent="0.2">
      <c r="B1749" s="138" t="s">
        <v>81</v>
      </c>
      <c r="C1749" s="19" t="s">
        <v>40</v>
      </c>
      <c r="E1749" s="34" t="s">
        <v>0</v>
      </c>
      <c r="G1749" s="62" t="s">
        <v>41</v>
      </c>
      <c r="H1749" s="34">
        <v>18223</v>
      </c>
      <c r="N1749" s="67" t="s">
        <v>42</v>
      </c>
    </row>
    <row r="1750" spans="2:14" ht="17" x14ac:dyDescent="0.2">
      <c r="B1750" s="138" t="s">
        <v>82</v>
      </c>
      <c r="C1750" s="19" t="s">
        <v>40</v>
      </c>
      <c r="E1750" s="34" t="s">
        <v>0</v>
      </c>
      <c r="G1750" s="62" t="s">
        <v>41</v>
      </c>
      <c r="H1750" s="34">
        <v>18223</v>
      </c>
      <c r="N1750" s="67" t="s">
        <v>42</v>
      </c>
    </row>
    <row r="1751" spans="2:14" ht="17" x14ac:dyDescent="0.2">
      <c r="B1751" s="138" t="s">
        <v>450</v>
      </c>
      <c r="C1751" s="19" t="s">
        <v>40</v>
      </c>
      <c r="E1751" s="34" t="s">
        <v>0</v>
      </c>
      <c r="G1751" s="62" t="s">
        <v>41</v>
      </c>
      <c r="H1751" s="34">
        <v>18223</v>
      </c>
      <c r="N1751" s="67" t="s">
        <v>42</v>
      </c>
    </row>
    <row r="1752" spans="2:14" ht="17" x14ac:dyDescent="0.2">
      <c r="B1752" s="138" t="s">
        <v>84</v>
      </c>
      <c r="C1752" s="19" t="s">
        <v>40</v>
      </c>
      <c r="E1752" s="34" t="s">
        <v>0</v>
      </c>
      <c r="G1752" s="62" t="s">
        <v>41</v>
      </c>
      <c r="H1752" s="34">
        <v>18223</v>
      </c>
      <c r="N1752" s="67" t="s">
        <v>42</v>
      </c>
    </row>
    <row r="1753" spans="2:14" ht="17" x14ac:dyDescent="0.2">
      <c r="B1753" s="139" t="s">
        <v>85</v>
      </c>
      <c r="C1753" s="19" t="s">
        <v>40</v>
      </c>
      <c r="E1753" s="34" t="s">
        <v>0</v>
      </c>
      <c r="G1753" s="62" t="s">
        <v>41</v>
      </c>
      <c r="H1753" s="34">
        <v>18223</v>
      </c>
      <c r="N1753" s="67" t="s">
        <v>42</v>
      </c>
    </row>
    <row r="1754" spans="2:14" ht="17" x14ac:dyDescent="0.2">
      <c r="B1754" s="140" t="s">
        <v>86</v>
      </c>
      <c r="N1754" s="67" t="s">
        <v>45</v>
      </c>
    </row>
    <row r="1755" spans="2:14" ht="17" x14ac:dyDescent="0.2">
      <c r="B1755" s="141" t="s">
        <v>87</v>
      </c>
      <c r="C1755" s="19" t="s">
        <v>40</v>
      </c>
      <c r="E1755" s="34" t="s">
        <v>0</v>
      </c>
      <c r="G1755" s="62" t="s">
        <v>41</v>
      </c>
      <c r="H1755" s="34">
        <v>18223</v>
      </c>
      <c r="N1755" s="67" t="s">
        <v>42</v>
      </c>
    </row>
    <row r="1756" spans="2:14" ht="32" x14ac:dyDescent="0.2">
      <c r="B1756" s="140" t="s">
        <v>88</v>
      </c>
      <c r="C1756" s="19"/>
      <c r="N1756" s="67" t="s">
        <v>45</v>
      </c>
    </row>
    <row r="1757" spans="2:14" ht="32" x14ac:dyDescent="0.2">
      <c r="B1757" s="142" t="s">
        <v>89</v>
      </c>
      <c r="C1757" s="19" t="s">
        <v>40</v>
      </c>
      <c r="E1757" s="34" t="s">
        <v>0</v>
      </c>
      <c r="G1757" s="62" t="s">
        <v>41</v>
      </c>
      <c r="H1757" s="34">
        <v>18223</v>
      </c>
      <c r="N1757" s="67" t="s">
        <v>42</v>
      </c>
    </row>
    <row r="1758" spans="2:14" ht="17" x14ac:dyDescent="0.2">
      <c r="B1758" s="140" t="s">
        <v>90</v>
      </c>
      <c r="C1758" s="19"/>
      <c r="N1758" s="67" t="s">
        <v>45</v>
      </c>
    </row>
    <row r="1759" spans="2:14" ht="32" x14ac:dyDescent="0.2">
      <c r="B1759" s="142" t="s">
        <v>91</v>
      </c>
      <c r="C1759" s="19" t="s">
        <v>40</v>
      </c>
      <c r="E1759" s="34" t="s">
        <v>92</v>
      </c>
      <c r="G1759" s="62" t="s">
        <v>41</v>
      </c>
      <c r="H1759" s="34">
        <v>18223</v>
      </c>
      <c r="N1759" s="67" t="s">
        <v>42</v>
      </c>
    </row>
    <row r="1760" spans="2:14" ht="17" x14ac:dyDescent="0.2">
      <c r="B1760" s="140" t="s">
        <v>93</v>
      </c>
      <c r="C1760" s="19"/>
      <c r="N1760" s="67" t="s">
        <v>45</v>
      </c>
    </row>
    <row r="1761" spans="2:14" ht="32" x14ac:dyDescent="0.2">
      <c r="B1761" s="142" t="s">
        <v>94</v>
      </c>
      <c r="C1761" s="19" t="s">
        <v>40</v>
      </c>
      <c r="E1761" s="34" t="s">
        <v>92</v>
      </c>
      <c r="G1761" s="62" t="s">
        <v>41</v>
      </c>
      <c r="H1761" s="34">
        <v>18223</v>
      </c>
      <c r="N1761" s="67" t="s">
        <v>42</v>
      </c>
    </row>
    <row r="1762" spans="2:14" ht="48" x14ac:dyDescent="0.2">
      <c r="B1762" s="143" t="s">
        <v>95</v>
      </c>
      <c r="C1762" s="19" t="s">
        <v>40</v>
      </c>
      <c r="E1762" s="34" t="s">
        <v>92</v>
      </c>
      <c r="G1762" s="62" t="s">
        <v>41</v>
      </c>
      <c r="H1762" s="34">
        <v>18223</v>
      </c>
      <c r="N1762" s="67" t="s">
        <v>42</v>
      </c>
    </row>
    <row r="1763" spans="2:14" ht="17" x14ac:dyDescent="0.2">
      <c r="B1763" s="144" t="s">
        <v>96</v>
      </c>
      <c r="C1763" s="19" t="s">
        <v>40</v>
      </c>
      <c r="E1763" s="34" t="s">
        <v>92</v>
      </c>
      <c r="G1763" s="62" t="s">
        <v>41</v>
      </c>
      <c r="H1763" s="34">
        <v>18223</v>
      </c>
      <c r="N1763" s="67" t="s">
        <v>42</v>
      </c>
    </row>
    <row r="1764" spans="2:14" ht="32" x14ac:dyDescent="0.2">
      <c r="B1764" s="143" t="s">
        <v>97</v>
      </c>
      <c r="C1764" s="19" t="s">
        <v>40</v>
      </c>
      <c r="E1764" s="34" t="s">
        <v>92</v>
      </c>
      <c r="G1764" s="62" t="s">
        <v>41</v>
      </c>
      <c r="H1764" s="34">
        <v>18223</v>
      </c>
      <c r="N1764" s="67" t="s">
        <v>42</v>
      </c>
    </row>
    <row r="1765" spans="2:14" ht="17" x14ac:dyDescent="0.2">
      <c r="B1765" s="142" t="s">
        <v>98</v>
      </c>
      <c r="C1765" s="19" t="s">
        <v>40</v>
      </c>
      <c r="E1765" s="34" t="s">
        <v>92</v>
      </c>
      <c r="G1765" s="62" t="s">
        <v>41</v>
      </c>
      <c r="H1765" s="34">
        <v>18223</v>
      </c>
      <c r="N1765" s="67" t="s">
        <v>42</v>
      </c>
    </row>
    <row r="1766" spans="2:14" ht="17" x14ac:dyDescent="0.2">
      <c r="B1766" s="144" t="s">
        <v>99</v>
      </c>
      <c r="C1766" s="19" t="s">
        <v>40</v>
      </c>
      <c r="E1766" s="34" t="s">
        <v>92</v>
      </c>
      <c r="G1766" s="62" t="s">
        <v>41</v>
      </c>
      <c r="H1766" s="34">
        <v>18223</v>
      </c>
      <c r="N1766" s="67" t="s">
        <v>42</v>
      </c>
    </row>
    <row r="1767" spans="2:14" ht="17" x14ac:dyDescent="0.2">
      <c r="B1767" s="143" t="s">
        <v>100</v>
      </c>
      <c r="C1767" s="19" t="s">
        <v>40</v>
      </c>
      <c r="E1767" s="34" t="s">
        <v>92</v>
      </c>
      <c r="G1767" s="62" t="s">
        <v>41</v>
      </c>
      <c r="H1767" s="34">
        <v>18223</v>
      </c>
      <c r="N1767" s="67" t="s">
        <v>42</v>
      </c>
    </row>
    <row r="1768" spans="2:14" ht="17" x14ac:dyDescent="0.2">
      <c r="B1768" s="140" t="s">
        <v>101</v>
      </c>
      <c r="N1768" s="67" t="s">
        <v>45</v>
      </c>
    </row>
    <row r="1769" spans="2:14" ht="17" x14ac:dyDescent="0.2">
      <c r="B1769" s="141" t="s">
        <v>87</v>
      </c>
      <c r="C1769" s="19" t="s">
        <v>40</v>
      </c>
      <c r="E1769" s="34" t="s">
        <v>0</v>
      </c>
      <c r="G1769" s="62" t="s">
        <v>41</v>
      </c>
      <c r="H1769" s="34">
        <v>18223</v>
      </c>
      <c r="N1769" s="67" t="s">
        <v>42</v>
      </c>
    </row>
    <row r="1770" spans="2:14" ht="32" x14ac:dyDescent="0.2">
      <c r="B1770" s="142" t="s">
        <v>102</v>
      </c>
      <c r="C1770" s="19" t="s">
        <v>40</v>
      </c>
      <c r="E1770" s="34" t="s">
        <v>0</v>
      </c>
      <c r="G1770" s="62" t="s">
        <v>41</v>
      </c>
      <c r="H1770" s="34">
        <v>18223</v>
      </c>
      <c r="N1770" s="67" t="s">
        <v>42</v>
      </c>
    </row>
    <row r="1771" spans="2:14" ht="48" x14ac:dyDescent="0.2">
      <c r="B1771" s="143" t="s">
        <v>108</v>
      </c>
      <c r="C1771" s="19" t="s">
        <v>40</v>
      </c>
      <c r="E1771" s="34" t="s">
        <v>0</v>
      </c>
      <c r="G1771" s="62" t="s">
        <v>41</v>
      </c>
      <c r="H1771" s="34">
        <v>18223</v>
      </c>
      <c r="N1771" s="67" t="s">
        <v>42</v>
      </c>
    </row>
    <row r="1772" spans="2:14" ht="17" x14ac:dyDescent="0.2">
      <c r="B1772" s="144" t="s">
        <v>96</v>
      </c>
      <c r="C1772" s="19" t="s">
        <v>40</v>
      </c>
      <c r="E1772" s="34" t="s">
        <v>0</v>
      </c>
      <c r="G1772" s="62" t="s">
        <v>41</v>
      </c>
      <c r="H1772" s="34">
        <v>18223</v>
      </c>
      <c r="N1772" s="67" t="s">
        <v>42</v>
      </c>
    </row>
    <row r="1773" spans="2:14" ht="32" x14ac:dyDescent="0.2">
      <c r="B1773" s="143" t="s">
        <v>109</v>
      </c>
      <c r="C1773" s="19" t="s">
        <v>40</v>
      </c>
      <c r="E1773" s="34" t="s">
        <v>0</v>
      </c>
      <c r="G1773" s="62" t="s">
        <v>41</v>
      </c>
      <c r="H1773" s="34">
        <v>18223</v>
      </c>
      <c r="N1773" s="67" t="s">
        <v>42</v>
      </c>
    </row>
    <row r="1774" spans="2:14" ht="32" x14ac:dyDescent="0.2">
      <c r="B1774" s="142" t="s">
        <v>110</v>
      </c>
      <c r="C1774" s="19" t="s">
        <v>40</v>
      </c>
      <c r="E1774" s="34" t="s">
        <v>0</v>
      </c>
      <c r="G1774" s="62" t="s">
        <v>41</v>
      </c>
      <c r="H1774" s="34">
        <v>18223</v>
      </c>
      <c r="N1774" s="67" t="s">
        <v>42</v>
      </c>
    </row>
    <row r="1775" spans="2:14" ht="17" x14ac:dyDescent="0.2">
      <c r="B1775" s="144" t="s">
        <v>99</v>
      </c>
      <c r="C1775" s="19" t="s">
        <v>40</v>
      </c>
      <c r="E1775" s="34" t="s">
        <v>0</v>
      </c>
      <c r="G1775" s="62" t="s">
        <v>41</v>
      </c>
      <c r="H1775" s="34">
        <v>18223</v>
      </c>
      <c r="N1775" s="67" t="s">
        <v>42</v>
      </c>
    </row>
    <row r="1776" spans="2:14" ht="17" x14ac:dyDescent="0.2">
      <c r="B1776" s="143" t="s">
        <v>111</v>
      </c>
      <c r="C1776" s="19" t="s">
        <v>40</v>
      </c>
      <c r="E1776" s="34" t="s">
        <v>0</v>
      </c>
      <c r="N1776" s="67" t="s">
        <v>42</v>
      </c>
    </row>
    <row r="1777" spans="2:14" ht="17" x14ac:dyDescent="0.2">
      <c r="B1777" s="140" t="s">
        <v>107</v>
      </c>
      <c r="N1777" s="67" t="s">
        <v>45</v>
      </c>
    </row>
    <row r="1778" spans="2:14" ht="17" x14ac:dyDescent="0.2">
      <c r="B1778" s="141" t="s">
        <v>87</v>
      </c>
      <c r="C1778" s="19" t="s">
        <v>40</v>
      </c>
      <c r="E1778" s="34" t="s">
        <v>0</v>
      </c>
      <c r="G1778" s="62" t="s">
        <v>41</v>
      </c>
      <c r="H1778" s="34">
        <v>18223</v>
      </c>
      <c r="N1778" s="67" t="s">
        <v>42</v>
      </c>
    </row>
    <row r="1779" spans="2:14" ht="32" x14ac:dyDescent="0.2">
      <c r="B1779" s="142" t="s">
        <v>102</v>
      </c>
      <c r="C1779" s="19" t="s">
        <v>40</v>
      </c>
      <c r="E1779" s="34" t="s">
        <v>0</v>
      </c>
      <c r="G1779" s="62" t="s">
        <v>41</v>
      </c>
      <c r="H1779" s="34">
        <v>18223</v>
      </c>
      <c r="N1779" s="67" t="s">
        <v>42</v>
      </c>
    </row>
    <row r="1780" spans="2:14" ht="48" x14ac:dyDescent="0.2">
      <c r="B1780" s="143" t="s">
        <v>113</v>
      </c>
      <c r="C1780" s="19" t="s">
        <v>40</v>
      </c>
      <c r="E1780" s="34" t="s">
        <v>0</v>
      </c>
      <c r="G1780" s="62" t="s">
        <v>41</v>
      </c>
      <c r="H1780" s="34">
        <v>18223</v>
      </c>
      <c r="N1780" s="67" t="s">
        <v>42</v>
      </c>
    </row>
    <row r="1781" spans="2:14" ht="17" x14ac:dyDescent="0.2">
      <c r="B1781" s="144" t="s">
        <v>96</v>
      </c>
      <c r="C1781" s="19" t="s">
        <v>40</v>
      </c>
      <c r="E1781" s="34" t="s">
        <v>0</v>
      </c>
      <c r="G1781" s="62" t="s">
        <v>41</v>
      </c>
      <c r="H1781" s="34">
        <v>18223</v>
      </c>
      <c r="N1781" s="67" t="s">
        <v>42</v>
      </c>
    </row>
    <row r="1782" spans="2:14" ht="32" x14ac:dyDescent="0.2">
      <c r="B1782" s="143" t="s">
        <v>97</v>
      </c>
      <c r="C1782" s="19" t="s">
        <v>40</v>
      </c>
      <c r="E1782" s="34" t="s">
        <v>0</v>
      </c>
      <c r="G1782" s="62" t="s">
        <v>41</v>
      </c>
      <c r="H1782" s="34">
        <v>18223</v>
      </c>
      <c r="N1782" s="67" t="s">
        <v>42</v>
      </c>
    </row>
    <row r="1783" spans="2:14" ht="32" x14ac:dyDescent="0.2">
      <c r="B1783" s="142" t="s">
        <v>114</v>
      </c>
      <c r="C1783" s="19" t="s">
        <v>40</v>
      </c>
      <c r="E1783" s="34" t="s">
        <v>0</v>
      </c>
      <c r="G1783" s="62" t="s">
        <v>41</v>
      </c>
      <c r="H1783" s="34">
        <v>18223</v>
      </c>
      <c r="N1783" s="67" t="s">
        <v>42</v>
      </c>
    </row>
    <row r="1784" spans="2:14" ht="17" x14ac:dyDescent="0.2">
      <c r="B1784" s="144" t="s">
        <v>99</v>
      </c>
      <c r="C1784" s="19" t="s">
        <v>40</v>
      </c>
      <c r="E1784" s="34" t="s">
        <v>0</v>
      </c>
      <c r="G1784" s="62" t="s">
        <v>41</v>
      </c>
      <c r="H1784" s="34">
        <v>18223</v>
      </c>
      <c r="N1784" s="67" t="s">
        <v>42</v>
      </c>
    </row>
    <row r="1785" spans="2:14" ht="17" x14ac:dyDescent="0.2">
      <c r="B1785" s="143" t="s">
        <v>115</v>
      </c>
      <c r="C1785" s="19" t="s">
        <v>40</v>
      </c>
      <c r="E1785" s="34" t="s">
        <v>0</v>
      </c>
      <c r="N1785" s="67" t="s">
        <v>42</v>
      </c>
    </row>
    <row r="1786" spans="2:14" ht="17" x14ac:dyDescent="0.2">
      <c r="B1786" s="251" t="s">
        <v>112</v>
      </c>
      <c r="C1786" s="252"/>
      <c r="N1786" s="67" t="s">
        <v>45</v>
      </c>
    </row>
    <row r="1787" spans="2:14" ht="17" x14ac:dyDescent="0.2">
      <c r="B1787" s="213" t="s">
        <v>87</v>
      </c>
      <c r="C1787" s="252" t="s">
        <v>40</v>
      </c>
      <c r="N1787" s="67" t="s">
        <v>42</v>
      </c>
    </row>
    <row r="1788" spans="2:14" ht="32" x14ac:dyDescent="0.2">
      <c r="B1788" s="253" t="s">
        <v>102</v>
      </c>
      <c r="C1788" s="252" t="s">
        <v>40</v>
      </c>
      <c r="E1788" s="34" t="s">
        <v>0</v>
      </c>
      <c r="G1788" s="62" t="s">
        <v>41</v>
      </c>
      <c r="H1788" s="34">
        <v>18223</v>
      </c>
      <c r="N1788" s="67" t="s">
        <v>42</v>
      </c>
    </row>
    <row r="1789" spans="2:14" ht="48" x14ac:dyDescent="0.2">
      <c r="B1789" s="238" t="s">
        <v>280</v>
      </c>
      <c r="C1789" s="252" t="s">
        <v>40</v>
      </c>
      <c r="E1789" s="34" t="s">
        <v>0</v>
      </c>
      <c r="G1789" s="62" t="s">
        <v>41</v>
      </c>
      <c r="H1789" s="34">
        <v>18223</v>
      </c>
      <c r="N1789" s="67" t="s">
        <v>42</v>
      </c>
    </row>
    <row r="1790" spans="2:14" ht="17" x14ac:dyDescent="0.2">
      <c r="B1790" s="216" t="s">
        <v>96</v>
      </c>
      <c r="C1790" s="252" t="s">
        <v>40</v>
      </c>
      <c r="E1790" s="34" t="s">
        <v>0</v>
      </c>
      <c r="G1790" s="62" t="s">
        <v>41</v>
      </c>
      <c r="H1790" s="34">
        <v>18223</v>
      </c>
      <c r="N1790" s="67" t="s">
        <v>42</v>
      </c>
    </row>
    <row r="1791" spans="2:14" ht="32" x14ac:dyDescent="0.2">
      <c r="B1791" s="238" t="s">
        <v>281</v>
      </c>
      <c r="C1791" s="252" t="s">
        <v>40</v>
      </c>
      <c r="E1791" s="34" t="s">
        <v>0</v>
      </c>
      <c r="G1791" s="62" t="s">
        <v>41</v>
      </c>
      <c r="H1791" s="34">
        <v>18223</v>
      </c>
      <c r="N1791" s="67" t="s">
        <v>42</v>
      </c>
    </row>
    <row r="1792" spans="2:14" ht="32" x14ac:dyDescent="0.2">
      <c r="B1792" s="253" t="s">
        <v>282</v>
      </c>
      <c r="C1792" s="252" t="s">
        <v>40</v>
      </c>
      <c r="E1792" s="34" t="s">
        <v>0</v>
      </c>
      <c r="G1792" s="62" t="s">
        <v>41</v>
      </c>
      <c r="H1792" s="34">
        <v>18223</v>
      </c>
      <c r="N1792" s="67" t="s">
        <v>42</v>
      </c>
    </row>
    <row r="1793" spans="2:14" ht="17" x14ac:dyDescent="0.2">
      <c r="B1793" s="215" t="s">
        <v>99</v>
      </c>
      <c r="C1793" s="252" t="s">
        <v>40</v>
      </c>
      <c r="E1793" s="34" t="s">
        <v>0</v>
      </c>
      <c r="G1793" s="62" t="s">
        <v>41</v>
      </c>
      <c r="H1793" s="34">
        <v>18223</v>
      </c>
      <c r="N1793" s="67" t="s">
        <v>42</v>
      </c>
    </row>
    <row r="1794" spans="2:14" ht="32" x14ac:dyDescent="0.2">
      <c r="B1794" s="238" t="s">
        <v>451</v>
      </c>
      <c r="C1794" s="252" t="s">
        <v>40</v>
      </c>
      <c r="G1794" s="62" t="s">
        <v>41</v>
      </c>
      <c r="H1794" s="34">
        <v>18223</v>
      </c>
      <c r="N1794" s="67" t="s">
        <v>42</v>
      </c>
    </row>
    <row r="1795" spans="2:14" ht="17" x14ac:dyDescent="0.2">
      <c r="B1795" s="251" t="s">
        <v>279</v>
      </c>
      <c r="C1795" s="252"/>
      <c r="N1795" s="67" t="s">
        <v>45</v>
      </c>
    </row>
    <row r="1796" spans="2:14" ht="17" x14ac:dyDescent="0.2">
      <c r="B1796" s="213" t="s">
        <v>87</v>
      </c>
      <c r="C1796" s="252" t="s">
        <v>40</v>
      </c>
      <c r="E1796" s="34" t="s">
        <v>0</v>
      </c>
      <c r="G1796" s="62" t="s">
        <v>41</v>
      </c>
      <c r="H1796" s="34">
        <v>18223</v>
      </c>
      <c r="N1796" s="67" t="s">
        <v>42</v>
      </c>
    </row>
    <row r="1797" spans="2:14" ht="32" x14ac:dyDescent="0.2">
      <c r="B1797" s="253" t="s">
        <v>102</v>
      </c>
      <c r="C1797" s="252" t="s">
        <v>40</v>
      </c>
      <c r="E1797" s="34" t="s">
        <v>0</v>
      </c>
      <c r="G1797" s="62" t="s">
        <v>41</v>
      </c>
      <c r="H1797" s="34">
        <v>18223</v>
      </c>
      <c r="N1797" s="67" t="s">
        <v>42</v>
      </c>
    </row>
    <row r="1798" spans="2:14" ht="48" x14ac:dyDescent="0.2">
      <c r="B1798" s="238" t="s">
        <v>323</v>
      </c>
      <c r="C1798" s="252" t="s">
        <v>40</v>
      </c>
      <c r="E1798" s="34" t="s">
        <v>0</v>
      </c>
      <c r="G1798" s="62" t="s">
        <v>41</v>
      </c>
      <c r="H1798" s="34">
        <v>18223</v>
      </c>
      <c r="N1798" s="67" t="s">
        <v>42</v>
      </c>
    </row>
    <row r="1799" spans="2:14" ht="17" x14ac:dyDescent="0.2">
      <c r="B1799" s="216" t="s">
        <v>96</v>
      </c>
      <c r="C1799" s="252" t="s">
        <v>40</v>
      </c>
      <c r="E1799" s="34" t="s">
        <v>0</v>
      </c>
      <c r="G1799" s="62" t="s">
        <v>41</v>
      </c>
      <c r="H1799" s="34">
        <v>18223</v>
      </c>
      <c r="N1799" s="67" t="s">
        <v>42</v>
      </c>
    </row>
    <row r="1800" spans="2:14" ht="32" x14ac:dyDescent="0.2">
      <c r="B1800" s="238" t="s">
        <v>97</v>
      </c>
      <c r="C1800" s="252" t="s">
        <v>40</v>
      </c>
      <c r="E1800" s="34" t="s">
        <v>0</v>
      </c>
      <c r="G1800" s="62" t="s">
        <v>41</v>
      </c>
      <c r="H1800" s="34">
        <v>18223</v>
      </c>
      <c r="N1800" s="67" t="s">
        <v>42</v>
      </c>
    </row>
    <row r="1801" spans="2:14" ht="32" x14ac:dyDescent="0.2">
      <c r="B1801" s="253" t="s">
        <v>324</v>
      </c>
      <c r="C1801" s="252" t="s">
        <v>40</v>
      </c>
      <c r="E1801" s="34" t="s">
        <v>0</v>
      </c>
      <c r="G1801" s="62" t="s">
        <v>41</v>
      </c>
      <c r="H1801" s="34">
        <v>18223</v>
      </c>
      <c r="N1801" s="67" t="s">
        <v>42</v>
      </c>
    </row>
    <row r="1802" spans="2:14" ht="17" x14ac:dyDescent="0.2">
      <c r="B1802" s="215" t="s">
        <v>99</v>
      </c>
      <c r="C1802" s="252" t="s">
        <v>40</v>
      </c>
      <c r="E1802" s="34" t="s">
        <v>0</v>
      </c>
      <c r="G1802" s="62" t="s">
        <v>41</v>
      </c>
      <c r="H1802" s="34">
        <v>18223</v>
      </c>
      <c r="N1802" s="67" t="s">
        <v>42</v>
      </c>
    </row>
    <row r="1803" spans="2:14" ht="17" x14ac:dyDescent="0.2">
      <c r="B1803" s="238" t="s">
        <v>452</v>
      </c>
      <c r="C1803" s="252" t="s">
        <v>40</v>
      </c>
      <c r="E1803" s="34" t="s">
        <v>0</v>
      </c>
      <c r="G1803" s="62" t="s">
        <v>41</v>
      </c>
      <c r="H1803" s="34">
        <v>18223</v>
      </c>
      <c r="N1803" s="67" t="s">
        <v>42</v>
      </c>
    </row>
    <row r="1804" spans="2:14" ht="34" x14ac:dyDescent="0.2">
      <c r="B1804" s="132" t="s">
        <v>116</v>
      </c>
      <c r="N1804" s="67" t="s">
        <v>45</v>
      </c>
    </row>
    <row r="1805" spans="2:14" ht="64" x14ac:dyDescent="0.2">
      <c r="B1805" s="143" t="s">
        <v>117</v>
      </c>
      <c r="C1805" s="19" t="s">
        <v>40</v>
      </c>
      <c r="E1805" s="34" t="s">
        <v>92</v>
      </c>
      <c r="G1805" s="62" t="s">
        <v>41</v>
      </c>
      <c r="H1805" s="34">
        <v>18223</v>
      </c>
      <c r="N1805" s="67" t="s">
        <v>42</v>
      </c>
    </row>
    <row r="1806" spans="2:14" ht="64" x14ac:dyDescent="0.2">
      <c r="B1806" s="143" t="s">
        <v>118</v>
      </c>
      <c r="C1806" s="19" t="s">
        <v>40</v>
      </c>
      <c r="E1806" s="34" t="s">
        <v>92</v>
      </c>
      <c r="G1806" s="62" t="s">
        <v>41</v>
      </c>
      <c r="H1806" s="34">
        <v>18223</v>
      </c>
      <c r="N1806" s="67" t="s">
        <v>42</v>
      </c>
    </row>
    <row r="1807" spans="2:14" ht="17" x14ac:dyDescent="0.2">
      <c r="B1807" s="143" t="s">
        <v>119</v>
      </c>
      <c r="C1807" s="19" t="s">
        <v>40</v>
      </c>
      <c r="E1807" s="34" t="s">
        <v>92</v>
      </c>
      <c r="G1807" s="62" t="s">
        <v>41</v>
      </c>
      <c r="H1807" s="34">
        <v>18223</v>
      </c>
      <c r="N1807" s="67" t="s">
        <v>42</v>
      </c>
    </row>
    <row r="1808" spans="2:14" ht="32" x14ac:dyDescent="0.2">
      <c r="B1808" s="143" t="s">
        <v>120</v>
      </c>
      <c r="C1808" s="19" t="s">
        <v>40</v>
      </c>
      <c r="E1808" s="34" t="s">
        <v>92</v>
      </c>
      <c r="G1808" s="62" t="s">
        <v>41</v>
      </c>
      <c r="H1808" s="34">
        <v>18223</v>
      </c>
      <c r="N1808" s="67" t="s">
        <v>42</v>
      </c>
    </row>
    <row r="1809" spans="2:14" ht="17" x14ac:dyDescent="0.2">
      <c r="B1809" s="128" t="s">
        <v>121</v>
      </c>
      <c r="C1809" s="19"/>
      <c r="N1809" s="67" t="s">
        <v>45</v>
      </c>
    </row>
    <row r="1810" spans="2:14" ht="17" x14ac:dyDescent="0.2">
      <c r="B1810" s="145" t="s">
        <v>122</v>
      </c>
      <c r="C1810" s="19" t="s">
        <v>40</v>
      </c>
      <c r="E1810" s="34" t="s">
        <v>0</v>
      </c>
      <c r="G1810" s="62" t="s">
        <v>41</v>
      </c>
      <c r="H1810" s="34">
        <v>18223</v>
      </c>
      <c r="N1810" s="67" t="s">
        <v>42</v>
      </c>
    </row>
    <row r="1811" spans="2:14" ht="17" x14ac:dyDescent="0.2">
      <c r="B1811" s="139" t="s">
        <v>123</v>
      </c>
      <c r="C1811" s="19" t="s">
        <v>40</v>
      </c>
      <c r="E1811" s="34" t="s">
        <v>0</v>
      </c>
      <c r="G1811" s="62" t="s">
        <v>41</v>
      </c>
      <c r="H1811" s="34">
        <v>18223</v>
      </c>
      <c r="N1811" s="67" t="s">
        <v>42</v>
      </c>
    </row>
    <row r="1812" spans="2:14" ht="17" x14ac:dyDescent="0.2">
      <c r="B1812" s="139" t="s">
        <v>439</v>
      </c>
      <c r="C1812" s="19" t="s">
        <v>40</v>
      </c>
      <c r="E1812" s="34" t="s">
        <v>0</v>
      </c>
      <c r="G1812" s="62" t="s">
        <v>41</v>
      </c>
      <c r="H1812" s="34">
        <v>18223</v>
      </c>
      <c r="N1812" s="67" t="s">
        <v>42</v>
      </c>
    </row>
    <row r="1813" spans="2:14" ht="17" x14ac:dyDescent="0.2">
      <c r="B1813" s="139" t="s">
        <v>125</v>
      </c>
      <c r="C1813" s="19" t="s">
        <v>40</v>
      </c>
      <c r="E1813" s="34" t="s">
        <v>0</v>
      </c>
      <c r="G1813" s="62" t="s">
        <v>41</v>
      </c>
      <c r="H1813" s="34">
        <v>18223</v>
      </c>
      <c r="N1813" s="67" t="s">
        <v>42</v>
      </c>
    </row>
    <row r="1814" spans="2:14" ht="17" x14ac:dyDescent="0.2">
      <c r="B1814" s="145" t="s">
        <v>126</v>
      </c>
      <c r="C1814" s="19" t="s">
        <v>40</v>
      </c>
      <c r="E1814" s="34" t="s">
        <v>0</v>
      </c>
      <c r="G1814" s="62" t="s">
        <v>41</v>
      </c>
      <c r="H1814" s="34">
        <v>18223</v>
      </c>
      <c r="N1814" s="67" t="s">
        <v>42</v>
      </c>
    </row>
    <row r="1815" spans="2:14" ht="17" x14ac:dyDescent="0.2">
      <c r="B1815" s="138" t="s">
        <v>440</v>
      </c>
      <c r="C1815" s="19" t="s">
        <v>40</v>
      </c>
      <c r="E1815" s="34" t="s">
        <v>0</v>
      </c>
      <c r="G1815" s="62" t="s">
        <v>41</v>
      </c>
      <c r="H1815" s="34">
        <v>18223</v>
      </c>
      <c r="N1815" s="67" t="s">
        <v>42</v>
      </c>
    </row>
    <row r="1816" spans="2:14" ht="34" x14ac:dyDescent="0.2">
      <c r="B1816" s="138" t="s">
        <v>453</v>
      </c>
      <c r="C1816" s="19" t="s">
        <v>40</v>
      </c>
      <c r="E1816" s="34" t="s">
        <v>0</v>
      </c>
      <c r="G1816" s="62" t="s">
        <v>41</v>
      </c>
      <c r="H1816" s="34">
        <v>18223</v>
      </c>
      <c r="N1816" s="67" t="s">
        <v>42</v>
      </c>
    </row>
    <row r="1817" spans="2:14" ht="17" x14ac:dyDescent="0.2">
      <c r="B1817" s="146" t="s">
        <v>129</v>
      </c>
      <c r="C1817" s="19" t="s">
        <v>40</v>
      </c>
      <c r="E1817" s="34" t="s">
        <v>0</v>
      </c>
      <c r="G1817" s="62" t="s">
        <v>41</v>
      </c>
      <c r="H1817" s="34">
        <v>18223</v>
      </c>
      <c r="N1817" s="67" t="s">
        <v>42</v>
      </c>
    </row>
    <row r="1818" spans="2:14" ht="17" x14ac:dyDescent="0.2">
      <c r="B1818" s="138" t="s">
        <v>400</v>
      </c>
      <c r="C1818" s="19" t="s">
        <v>40</v>
      </c>
      <c r="E1818" s="34" t="s">
        <v>0</v>
      </c>
      <c r="G1818" s="62" t="s">
        <v>41</v>
      </c>
      <c r="H1818" s="34">
        <v>18223</v>
      </c>
      <c r="N1818" s="67" t="s">
        <v>42</v>
      </c>
    </row>
    <row r="1819" spans="2:14" ht="17" x14ac:dyDescent="0.2">
      <c r="B1819" s="147" t="s">
        <v>131</v>
      </c>
      <c r="C1819" s="19" t="s">
        <v>40</v>
      </c>
      <c r="E1819" s="34" t="s">
        <v>0</v>
      </c>
      <c r="G1819" s="62" t="s">
        <v>41</v>
      </c>
      <c r="H1819" s="34">
        <v>18223</v>
      </c>
      <c r="N1819" s="67" t="s">
        <v>42</v>
      </c>
    </row>
    <row r="1820" spans="2:14" ht="17" x14ac:dyDescent="0.2">
      <c r="B1820" s="147" t="s">
        <v>132</v>
      </c>
      <c r="C1820" s="19" t="s">
        <v>40</v>
      </c>
      <c r="E1820" s="34" t="s">
        <v>0</v>
      </c>
      <c r="G1820" s="62" t="s">
        <v>41</v>
      </c>
      <c r="H1820" s="34">
        <v>18223</v>
      </c>
      <c r="N1820" s="67" t="s">
        <v>42</v>
      </c>
    </row>
    <row r="1821" spans="2:14" ht="17" x14ac:dyDescent="0.2">
      <c r="B1821" s="147" t="s">
        <v>134</v>
      </c>
      <c r="C1821" s="19" t="s">
        <v>40</v>
      </c>
      <c r="E1821" s="34" t="s">
        <v>0</v>
      </c>
      <c r="G1821" s="62" t="s">
        <v>41</v>
      </c>
      <c r="H1821" s="34">
        <v>18223</v>
      </c>
      <c r="N1821" s="67" t="s">
        <v>42</v>
      </c>
    </row>
    <row r="1822" spans="2:14" ht="17" x14ac:dyDescent="0.2">
      <c r="B1822" s="147" t="s">
        <v>136</v>
      </c>
      <c r="C1822" s="19" t="s">
        <v>40</v>
      </c>
      <c r="G1822" s="62" t="s">
        <v>41</v>
      </c>
      <c r="H1822" s="34">
        <v>18223</v>
      </c>
      <c r="N1822" s="67" t="s">
        <v>42</v>
      </c>
    </row>
    <row r="1823" spans="2:14" ht="20" x14ac:dyDescent="0.25">
      <c r="B1823" s="230" t="s">
        <v>238</v>
      </c>
      <c r="C1823" s="19"/>
      <c r="G1823" s="62" t="s">
        <v>41</v>
      </c>
      <c r="H1823" s="34">
        <v>18223</v>
      </c>
      <c r="N1823" s="67" t="s">
        <v>45</v>
      </c>
    </row>
    <row r="1824" spans="2:14" ht="17" x14ac:dyDescent="0.2">
      <c r="B1824" s="147" t="s">
        <v>346</v>
      </c>
      <c r="C1824" s="19" t="s">
        <v>40</v>
      </c>
      <c r="E1824" s="34" t="s">
        <v>0</v>
      </c>
      <c r="G1824" s="62" t="s">
        <v>41</v>
      </c>
      <c r="H1824" s="34">
        <v>18223</v>
      </c>
      <c r="N1824" s="67" t="s">
        <v>42</v>
      </c>
    </row>
    <row r="1825" spans="2:14" ht="17" x14ac:dyDescent="0.2">
      <c r="B1825" s="138" t="s">
        <v>347</v>
      </c>
      <c r="C1825" s="19" t="s">
        <v>40</v>
      </c>
      <c r="E1825" s="34" t="s">
        <v>0</v>
      </c>
      <c r="G1825" s="62" t="s">
        <v>41</v>
      </c>
      <c r="H1825" s="34">
        <v>18223</v>
      </c>
      <c r="N1825" s="67" t="s">
        <v>42</v>
      </c>
    </row>
    <row r="1826" spans="2:14" ht="34" x14ac:dyDescent="0.2">
      <c r="B1826" s="138" t="s">
        <v>454</v>
      </c>
      <c r="C1826" s="19" t="s">
        <v>40</v>
      </c>
      <c r="E1826" s="34" t="s">
        <v>0</v>
      </c>
      <c r="G1826" s="62" t="s">
        <v>41</v>
      </c>
      <c r="H1826" s="34">
        <v>18223</v>
      </c>
      <c r="N1826" s="67" t="s">
        <v>42</v>
      </c>
    </row>
    <row r="1827" spans="2:14" ht="27" customHeight="1" x14ac:dyDescent="0.2">
      <c r="B1827" s="138" t="s">
        <v>455</v>
      </c>
      <c r="C1827" s="19" t="s">
        <v>40</v>
      </c>
      <c r="E1827" s="34" t="s">
        <v>0</v>
      </c>
      <c r="G1827" s="62" t="s">
        <v>41</v>
      </c>
      <c r="H1827" s="34">
        <v>18223</v>
      </c>
      <c r="N1827" s="67" t="s">
        <v>42</v>
      </c>
    </row>
    <row r="1828" spans="2:14" ht="17" x14ac:dyDescent="0.2">
      <c r="B1828" s="138" t="s">
        <v>350</v>
      </c>
      <c r="C1828" s="19" t="s">
        <v>40</v>
      </c>
      <c r="G1828" s="62" t="s">
        <v>41</v>
      </c>
      <c r="H1828" s="34">
        <v>18223</v>
      </c>
      <c r="N1828" s="67" t="s">
        <v>42</v>
      </c>
    </row>
    <row r="1829" spans="2:14" ht="23" x14ac:dyDescent="0.3">
      <c r="B1829" s="148" t="s">
        <v>137</v>
      </c>
      <c r="C1829" s="19"/>
      <c r="N1829" s="67" t="s">
        <v>45</v>
      </c>
    </row>
    <row r="1830" spans="2:14" ht="23" x14ac:dyDescent="0.3">
      <c r="B1830" s="148" t="s">
        <v>138</v>
      </c>
      <c r="C1830" s="19"/>
      <c r="N1830" s="67" t="s">
        <v>45</v>
      </c>
    </row>
    <row r="1831" spans="2:14" ht="17" x14ac:dyDescent="0.2">
      <c r="B1831" s="147" t="s">
        <v>330</v>
      </c>
      <c r="C1831" s="19" t="s">
        <v>40</v>
      </c>
      <c r="E1831" s="34" t="s">
        <v>0</v>
      </c>
      <c r="G1831" s="62" t="s">
        <v>41</v>
      </c>
      <c r="H1831" s="34">
        <v>18223</v>
      </c>
      <c r="N1831" s="67" t="s">
        <v>42</v>
      </c>
    </row>
    <row r="1832" spans="2:14" ht="34" x14ac:dyDescent="0.2">
      <c r="B1832" s="147" t="s">
        <v>331</v>
      </c>
      <c r="C1832" s="19" t="s">
        <v>40</v>
      </c>
      <c r="E1832" s="34" t="s">
        <v>0</v>
      </c>
      <c r="G1832" s="62" t="s">
        <v>41</v>
      </c>
      <c r="H1832" s="34">
        <v>18223</v>
      </c>
      <c r="N1832" s="67" t="s">
        <v>42</v>
      </c>
    </row>
    <row r="1833" spans="2:14" ht="34" x14ac:dyDescent="0.2">
      <c r="B1833" s="147" t="s">
        <v>405</v>
      </c>
      <c r="C1833" s="19" t="s">
        <v>40</v>
      </c>
      <c r="E1833" s="173" t="s">
        <v>0</v>
      </c>
      <c r="G1833" s="62" t="s">
        <v>41</v>
      </c>
      <c r="H1833" s="34">
        <v>18223</v>
      </c>
      <c r="N1833" s="67" t="s">
        <v>42</v>
      </c>
    </row>
    <row r="1834" spans="2:14" ht="34" x14ac:dyDescent="0.2">
      <c r="B1834" s="147" t="s">
        <v>406</v>
      </c>
      <c r="C1834" s="19" t="s">
        <v>40</v>
      </c>
      <c r="E1834" s="34" t="s">
        <v>0</v>
      </c>
      <c r="G1834" s="62" t="s">
        <v>41</v>
      </c>
      <c r="H1834" s="34">
        <v>18223</v>
      </c>
      <c r="N1834" s="67" t="s">
        <v>42</v>
      </c>
    </row>
    <row r="1835" spans="2:14" ht="17" x14ac:dyDescent="0.2">
      <c r="B1835" s="147" t="s">
        <v>407</v>
      </c>
      <c r="C1835" s="19" t="s">
        <v>40</v>
      </c>
      <c r="E1835" s="34" t="s">
        <v>0</v>
      </c>
      <c r="G1835" s="62" t="s">
        <v>41</v>
      </c>
      <c r="H1835" s="34">
        <v>18223</v>
      </c>
      <c r="N1835" s="67" t="s">
        <v>42</v>
      </c>
    </row>
    <row r="1836" spans="2:14" ht="23" x14ac:dyDescent="0.3">
      <c r="B1836" s="148" t="s">
        <v>144</v>
      </c>
      <c r="C1836" s="19"/>
      <c r="N1836" s="67" t="s">
        <v>45</v>
      </c>
    </row>
    <row r="1837" spans="2:14" ht="17" x14ac:dyDescent="0.2">
      <c r="B1837" s="147" t="s">
        <v>145</v>
      </c>
      <c r="C1837" s="19" t="s">
        <v>40</v>
      </c>
      <c r="E1837" s="34" t="s">
        <v>0</v>
      </c>
      <c r="G1837" s="62" t="s">
        <v>41</v>
      </c>
      <c r="H1837" s="34">
        <v>18223</v>
      </c>
      <c r="N1837" s="67" t="s">
        <v>42</v>
      </c>
    </row>
    <row r="1838" spans="2:14" ht="17" x14ac:dyDescent="0.2">
      <c r="B1838" s="147" t="s">
        <v>456</v>
      </c>
      <c r="C1838" s="19" t="s">
        <v>40</v>
      </c>
      <c r="E1838" s="34" t="s">
        <v>0</v>
      </c>
      <c r="G1838" s="62" t="s">
        <v>41</v>
      </c>
      <c r="H1838" s="34">
        <v>18223</v>
      </c>
      <c r="N1838" s="67" t="s">
        <v>42</v>
      </c>
    </row>
    <row r="1839" spans="2:14" ht="17" x14ac:dyDescent="0.2">
      <c r="B1839" s="147" t="s">
        <v>457</v>
      </c>
      <c r="C1839" s="19" t="s">
        <v>40</v>
      </c>
      <c r="E1839" s="34" t="s">
        <v>0</v>
      </c>
      <c r="G1839" s="62" t="s">
        <v>41</v>
      </c>
      <c r="H1839" s="34">
        <v>18223</v>
      </c>
      <c r="N1839" s="67" t="s">
        <v>42</v>
      </c>
    </row>
    <row r="1840" spans="2:14" ht="17" x14ac:dyDescent="0.2">
      <c r="B1840" s="147" t="s">
        <v>430</v>
      </c>
      <c r="C1840" s="19" t="s">
        <v>40</v>
      </c>
      <c r="E1840" s="34" t="s">
        <v>0</v>
      </c>
      <c r="G1840" s="62" t="s">
        <v>41</v>
      </c>
      <c r="H1840" s="34">
        <v>18223</v>
      </c>
      <c r="N1840" s="67" t="s">
        <v>42</v>
      </c>
    </row>
    <row r="1841" spans="2:14" ht="17" x14ac:dyDescent="0.2">
      <c r="B1841" s="147" t="s">
        <v>149</v>
      </c>
      <c r="C1841" s="19" t="s">
        <v>40</v>
      </c>
      <c r="E1841" s="34" t="s">
        <v>0</v>
      </c>
      <c r="G1841" s="62" t="s">
        <v>41</v>
      </c>
      <c r="H1841" s="34">
        <v>18223</v>
      </c>
      <c r="N1841" s="67" t="s">
        <v>42</v>
      </c>
    </row>
    <row r="1842" spans="2:14" ht="20" x14ac:dyDescent="0.25">
      <c r="B1842" s="149" t="s">
        <v>150</v>
      </c>
      <c r="C1842" s="19"/>
      <c r="N1842" s="67" t="s">
        <v>45</v>
      </c>
    </row>
    <row r="1843" spans="2:14" ht="17" x14ac:dyDescent="0.2">
      <c r="B1843" s="150" t="s">
        <v>151</v>
      </c>
      <c r="C1843" s="19"/>
      <c r="N1843" s="67" t="s">
        <v>45</v>
      </c>
    </row>
    <row r="1844" spans="2:14" ht="17" x14ac:dyDescent="0.2">
      <c r="B1844" s="151" t="s">
        <v>152</v>
      </c>
      <c r="C1844" s="19" t="s">
        <v>40</v>
      </c>
      <c r="E1844" s="34" t="s">
        <v>0</v>
      </c>
      <c r="G1844" s="62" t="s">
        <v>41</v>
      </c>
      <c r="H1844" s="34">
        <v>18223</v>
      </c>
      <c r="N1844" s="67" t="s">
        <v>42</v>
      </c>
    </row>
    <row r="1845" spans="2:14" ht="17" x14ac:dyDescent="0.2">
      <c r="B1845" s="151" t="s">
        <v>153</v>
      </c>
      <c r="C1845" s="19" t="s">
        <v>40</v>
      </c>
      <c r="E1845" s="34" t="s">
        <v>0</v>
      </c>
      <c r="G1845" s="62" t="s">
        <v>41</v>
      </c>
      <c r="H1845" s="34">
        <v>18223</v>
      </c>
      <c r="N1845" s="67" t="s">
        <v>42</v>
      </c>
    </row>
    <row r="1846" spans="2:14" ht="17" x14ac:dyDescent="0.2">
      <c r="B1846" s="152" t="s">
        <v>154</v>
      </c>
      <c r="C1846" s="19" t="s">
        <v>40</v>
      </c>
      <c r="E1846" s="34" t="s">
        <v>0</v>
      </c>
      <c r="G1846" s="62" t="s">
        <v>41</v>
      </c>
      <c r="H1846" s="34">
        <v>18223</v>
      </c>
      <c r="N1846" s="67" t="s">
        <v>42</v>
      </c>
    </row>
    <row r="1847" spans="2:14" ht="17" x14ac:dyDescent="0.2">
      <c r="B1847" s="143" t="s">
        <v>155</v>
      </c>
      <c r="C1847" s="19" t="s">
        <v>40</v>
      </c>
      <c r="E1847" s="34" t="s">
        <v>0</v>
      </c>
      <c r="G1847" s="62" t="s">
        <v>41</v>
      </c>
      <c r="H1847" s="34">
        <v>18223</v>
      </c>
      <c r="N1847" s="67" t="s">
        <v>42</v>
      </c>
    </row>
    <row r="1848" spans="2:14" ht="17" x14ac:dyDescent="0.2">
      <c r="B1848" s="153" t="s">
        <v>156</v>
      </c>
      <c r="N1848" s="67" t="s">
        <v>45</v>
      </c>
    </row>
    <row r="1849" spans="2:14" ht="17" x14ac:dyDescent="0.2">
      <c r="B1849" s="153" t="s">
        <v>157</v>
      </c>
      <c r="C1849" s="19"/>
      <c r="N1849" s="67" t="s">
        <v>45</v>
      </c>
    </row>
    <row r="1850" spans="2:14" ht="17" x14ac:dyDescent="0.2">
      <c r="B1850" s="154" t="s">
        <v>158</v>
      </c>
      <c r="C1850" s="19" t="s">
        <v>40</v>
      </c>
      <c r="E1850" s="34" t="s">
        <v>0</v>
      </c>
      <c r="G1850" s="62" t="s">
        <v>41</v>
      </c>
      <c r="H1850" s="34">
        <v>18223</v>
      </c>
      <c r="N1850" s="67" t="s">
        <v>42</v>
      </c>
    </row>
    <row r="1851" spans="2:14" ht="17" x14ac:dyDescent="0.2">
      <c r="B1851" s="155" t="s">
        <v>159</v>
      </c>
      <c r="C1851" s="19" t="s">
        <v>40</v>
      </c>
      <c r="E1851" s="34" t="s">
        <v>0</v>
      </c>
      <c r="G1851" s="62" t="s">
        <v>41</v>
      </c>
      <c r="H1851" s="34">
        <v>18223</v>
      </c>
      <c r="N1851" s="67" t="s">
        <v>42</v>
      </c>
    </row>
    <row r="1852" spans="2:14" ht="17" x14ac:dyDescent="0.2">
      <c r="B1852" s="151" t="s">
        <v>160</v>
      </c>
      <c r="C1852" s="19" t="s">
        <v>40</v>
      </c>
      <c r="E1852" s="34" t="s">
        <v>0</v>
      </c>
      <c r="G1852" s="62" t="s">
        <v>41</v>
      </c>
      <c r="H1852" s="34">
        <v>18223</v>
      </c>
      <c r="N1852" s="67" t="s">
        <v>42</v>
      </c>
    </row>
    <row r="1853" spans="2:14" ht="17" x14ac:dyDescent="0.2">
      <c r="B1853" s="153" t="s">
        <v>161</v>
      </c>
      <c r="C1853" s="19"/>
      <c r="N1853" s="67" t="s">
        <v>45</v>
      </c>
    </row>
    <row r="1854" spans="2:14" ht="17" x14ac:dyDescent="0.2">
      <c r="B1854" s="156" t="s">
        <v>162</v>
      </c>
      <c r="C1854" s="19"/>
      <c r="N1854" s="67" t="s">
        <v>45</v>
      </c>
    </row>
    <row r="1855" spans="2:14" ht="48" x14ac:dyDescent="0.2">
      <c r="B1855" s="151" t="s">
        <v>163</v>
      </c>
      <c r="C1855" s="19" t="s">
        <v>40</v>
      </c>
      <c r="E1855" s="34" t="s">
        <v>0</v>
      </c>
      <c r="G1855" s="62" t="s">
        <v>41</v>
      </c>
      <c r="H1855" s="34">
        <v>18223</v>
      </c>
      <c r="N1855" s="67" t="s">
        <v>42</v>
      </c>
    </row>
    <row r="1856" spans="2:14" ht="34" x14ac:dyDescent="0.2">
      <c r="B1856" s="138" t="s">
        <v>458</v>
      </c>
      <c r="C1856" s="19" t="s">
        <v>40</v>
      </c>
      <c r="E1856" s="34" t="s">
        <v>0</v>
      </c>
      <c r="G1856" s="62" t="s">
        <v>41</v>
      </c>
      <c r="H1856" s="34">
        <v>18223</v>
      </c>
      <c r="N1856" s="67" t="s">
        <v>42</v>
      </c>
    </row>
    <row r="1857" spans="2:14" ht="17" x14ac:dyDescent="0.2">
      <c r="B1857" s="156" t="s">
        <v>165</v>
      </c>
      <c r="C1857" s="19"/>
      <c r="N1857" s="67" t="s">
        <v>45</v>
      </c>
    </row>
    <row r="1858" spans="2:14" ht="48" x14ac:dyDescent="0.2">
      <c r="B1858" s="151" t="s">
        <v>166</v>
      </c>
      <c r="C1858" s="19" t="s">
        <v>40</v>
      </c>
      <c r="E1858" s="34" t="s">
        <v>0</v>
      </c>
      <c r="G1858" s="62" t="s">
        <v>41</v>
      </c>
      <c r="H1858" s="34">
        <v>18223</v>
      </c>
      <c r="N1858" s="67" t="s">
        <v>42</v>
      </c>
    </row>
    <row r="1859" spans="2:14" ht="17" x14ac:dyDescent="0.2">
      <c r="B1859" s="138" t="s">
        <v>167</v>
      </c>
      <c r="C1859" s="19" t="s">
        <v>40</v>
      </c>
      <c r="E1859" s="34" t="s">
        <v>0</v>
      </c>
      <c r="N1859" s="67" t="s">
        <v>42</v>
      </c>
    </row>
    <row r="1860" spans="2:14" ht="17" x14ac:dyDescent="0.2">
      <c r="B1860" s="157" t="s">
        <v>168</v>
      </c>
      <c r="N1860" s="67" t="s">
        <v>45</v>
      </c>
    </row>
    <row r="1861" spans="2:14" ht="51" x14ac:dyDescent="0.2">
      <c r="B1861" s="158" t="s">
        <v>169</v>
      </c>
      <c r="C1861" s="19" t="s">
        <v>40</v>
      </c>
      <c r="E1861" s="34" t="s">
        <v>0</v>
      </c>
      <c r="G1861" s="62" t="s">
        <v>41</v>
      </c>
      <c r="H1861" s="34">
        <v>18223</v>
      </c>
      <c r="N1861" s="67" t="s">
        <v>42</v>
      </c>
    </row>
    <row r="1862" spans="2:14" ht="17" x14ac:dyDescent="0.2">
      <c r="B1862" s="159" t="s">
        <v>459</v>
      </c>
      <c r="C1862" s="19" t="s">
        <v>40</v>
      </c>
      <c r="E1862" s="34" t="s">
        <v>0</v>
      </c>
      <c r="G1862" s="62"/>
      <c r="H1862" s="34"/>
      <c r="N1862" s="67" t="s">
        <v>42</v>
      </c>
    </row>
    <row r="1863" spans="2:14" ht="17" x14ac:dyDescent="0.2">
      <c r="B1863" s="157" t="s">
        <v>171</v>
      </c>
      <c r="C1863" s="19"/>
      <c r="N1863" s="67" t="s">
        <v>45</v>
      </c>
    </row>
    <row r="1864" spans="2:14" ht="48" x14ac:dyDescent="0.2">
      <c r="B1864" s="144" t="s">
        <v>172</v>
      </c>
      <c r="C1864" s="19" t="s">
        <v>40</v>
      </c>
      <c r="E1864" s="34" t="s">
        <v>0</v>
      </c>
      <c r="G1864" s="62" t="s">
        <v>41</v>
      </c>
      <c r="H1864" s="34">
        <v>18223</v>
      </c>
      <c r="N1864" s="67" t="s">
        <v>42</v>
      </c>
    </row>
    <row r="1865" spans="2:14" ht="17" x14ac:dyDescent="0.2">
      <c r="B1865" s="160" t="s">
        <v>173</v>
      </c>
      <c r="C1865" s="19" t="s">
        <v>40</v>
      </c>
      <c r="E1865" s="34" t="s">
        <v>0</v>
      </c>
      <c r="G1865" s="62" t="s">
        <v>41</v>
      </c>
      <c r="H1865" s="34">
        <v>18223</v>
      </c>
      <c r="N1865" s="67" t="s">
        <v>42</v>
      </c>
    </row>
    <row r="1866" spans="2:14" ht="17" x14ac:dyDescent="0.2">
      <c r="B1866" s="161" t="s">
        <v>174</v>
      </c>
      <c r="N1866" s="67" t="s">
        <v>45</v>
      </c>
    </row>
    <row r="1867" spans="2:14" ht="51" x14ac:dyDescent="0.2">
      <c r="B1867" s="161" t="s">
        <v>175</v>
      </c>
      <c r="C1867" s="19"/>
      <c r="N1867" s="67" t="s">
        <v>45</v>
      </c>
    </row>
    <row r="1868" spans="2:14" ht="17" x14ac:dyDescent="0.2">
      <c r="B1868" s="131" t="s">
        <v>176</v>
      </c>
      <c r="C1868" s="19" t="s">
        <v>40</v>
      </c>
      <c r="E1868" s="34" t="s">
        <v>0</v>
      </c>
      <c r="G1868" s="62" t="s">
        <v>41</v>
      </c>
      <c r="H1868" s="34">
        <v>18223</v>
      </c>
      <c r="N1868" s="67" t="s">
        <v>42</v>
      </c>
    </row>
    <row r="1869" spans="2:14" ht="17" x14ac:dyDescent="0.2">
      <c r="B1869" s="160" t="s">
        <v>177</v>
      </c>
      <c r="C1869" s="19" t="s">
        <v>40</v>
      </c>
      <c r="E1869" s="34" t="s">
        <v>0</v>
      </c>
      <c r="G1869" s="62" t="s">
        <v>41</v>
      </c>
      <c r="H1869" s="34">
        <v>18223</v>
      </c>
      <c r="N1869" s="67" t="s">
        <v>42</v>
      </c>
    </row>
    <row r="1870" spans="2:14" ht="17" x14ac:dyDescent="0.2">
      <c r="B1870" s="131" t="s">
        <v>178</v>
      </c>
      <c r="C1870" s="19" t="s">
        <v>40</v>
      </c>
      <c r="E1870" s="34" t="s">
        <v>0</v>
      </c>
      <c r="G1870" s="62" t="s">
        <v>41</v>
      </c>
      <c r="H1870" s="34">
        <v>18223</v>
      </c>
      <c r="N1870" s="67" t="s">
        <v>42</v>
      </c>
    </row>
    <row r="1871" spans="2:14" ht="68" x14ac:dyDescent="0.2">
      <c r="B1871" s="131" t="s">
        <v>365</v>
      </c>
      <c r="C1871" s="19" t="s">
        <v>40</v>
      </c>
      <c r="E1871" s="34" t="s">
        <v>0</v>
      </c>
      <c r="G1871" s="62" t="s">
        <v>41</v>
      </c>
      <c r="H1871" s="34">
        <v>18223</v>
      </c>
      <c r="N1871" s="67" t="s">
        <v>42</v>
      </c>
    </row>
    <row r="1872" spans="2:14" ht="17" x14ac:dyDescent="0.2">
      <c r="B1872" s="131" t="s">
        <v>180</v>
      </c>
      <c r="C1872" s="19" t="s">
        <v>40</v>
      </c>
      <c r="E1872" s="34" t="s">
        <v>0</v>
      </c>
      <c r="G1872" s="62" t="s">
        <v>41</v>
      </c>
      <c r="H1872" s="34">
        <v>18223</v>
      </c>
      <c r="N1872" s="67" t="s">
        <v>42</v>
      </c>
    </row>
    <row r="1873" spans="2:14" ht="68" x14ac:dyDescent="0.2">
      <c r="B1873" s="131" t="s">
        <v>181</v>
      </c>
      <c r="C1873" s="19" t="s">
        <v>40</v>
      </c>
      <c r="E1873" s="34" t="s">
        <v>0</v>
      </c>
      <c r="G1873" s="62" t="s">
        <v>41</v>
      </c>
      <c r="H1873" s="34">
        <v>18223</v>
      </c>
      <c r="N1873" s="67" t="s">
        <v>42</v>
      </c>
    </row>
    <row r="1874" spans="2:14" ht="17" x14ac:dyDescent="0.2">
      <c r="B1874" s="160" t="s">
        <v>182</v>
      </c>
      <c r="C1874" s="19" t="s">
        <v>40</v>
      </c>
      <c r="E1874" s="34" t="s">
        <v>0</v>
      </c>
      <c r="G1874" s="62" t="s">
        <v>41</v>
      </c>
      <c r="H1874" s="34">
        <v>18223</v>
      </c>
      <c r="N1874" s="67" t="s">
        <v>42</v>
      </c>
    </row>
    <row r="1875" spans="2:14" ht="68" x14ac:dyDescent="0.2">
      <c r="B1875" s="160" t="s">
        <v>460</v>
      </c>
      <c r="C1875" s="19" t="s">
        <v>40</v>
      </c>
      <c r="E1875" s="34" t="s">
        <v>0</v>
      </c>
      <c r="G1875" s="62" t="s">
        <v>41</v>
      </c>
      <c r="H1875" s="34">
        <v>18223</v>
      </c>
      <c r="N1875" s="67" t="s">
        <v>42</v>
      </c>
    </row>
    <row r="1876" spans="2:14" ht="17" x14ac:dyDescent="0.2">
      <c r="B1876" s="162" t="s">
        <v>184</v>
      </c>
      <c r="C1876" s="19" t="s">
        <v>40</v>
      </c>
      <c r="E1876" s="34" t="s">
        <v>0</v>
      </c>
      <c r="G1876" s="62" t="s">
        <v>41</v>
      </c>
      <c r="H1876" s="34">
        <v>18223</v>
      </c>
      <c r="N1876" s="67" t="s">
        <v>42</v>
      </c>
    </row>
    <row r="1877" spans="2:14" ht="17" x14ac:dyDescent="0.2">
      <c r="B1877" s="162" t="s">
        <v>185</v>
      </c>
      <c r="C1877" s="19" t="s">
        <v>40</v>
      </c>
      <c r="E1877" s="34" t="s">
        <v>0</v>
      </c>
      <c r="G1877" s="62" t="s">
        <v>41</v>
      </c>
      <c r="H1877" s="34">
        <v>18223</v>
      </c>
      <c r="N1877" s="67" t="s">
        <v>42</v>
      </c>
    </row>
    <row r="1878" spans="2:14" ht="17" x14ac:dyDescent="0.2">
      <c r="N1878" s="67" t="s">
        <v>45</v>
      </c>
    </row>
    <row r="1879" spans="2:14" ht="17" x14ac:dyDescent="0.2">
      <c r="N1879" s="67" t="s">
        <v>45</v>
      </c>
    </row>
    <row r="1880" spans="2:14" ht="60.75" customHeight="1" x14ac:dyDescent="0.35">
      <c r="B1880" s="125" t="s">
        <v>461</v>
      </c>
      <c r="C1880" s="59"/>
      <c r="N1880" s="67" t="s">
        <v>45</v>
      </c>
    </row>
    <row r="1881" spans="2:14" ht="71.25" customHeight="1" x14ac:dyDescent="0.2">
      <c r="B1881" s="170" t="s">
        <v>462</v>
      </c>
      <c r="C1881" s="19"/>
      <c r="N1881" s="67" t="s">
        <v>45</v>
      </c>
    </row>
    <row r="1882" spans="2:14" ht="17" x14ac:dyDescent="0.2">
      <c r="B1882" s="127" t="s">
        <v>31</v>
      </c>
      <c r="C1882" s="19"/>
      <c r="N1882" s="67" t="s">
        <v>45</v>
      </c>
    </row>
    <row r="1883" spans="2:14" ht="17" x14ac:dyDescent="0.2">
      <c r="B1883" s="127" t="s">
        <v>328</v>
      </c>
      <c r="N1883" s="67" t="s">
        <v>45</v>
      </c>
    </row>
    <row r="1884" spans="2:14" ht="17" x14ac:dyDescent="0.2">
      <c r="B1884" s="128" t="s">
        <v>33</v>
      </c>
      <c r="N1884" s="67" t="s">
        <v>45</v>
      </c>
    </row>
    <row r="1885" spans="2:14" ht="17" x14ac:dyDescent="0.2">
      <c r="B1885" s="127" t="s">
        <v>34</v>
      </c>
      <c r="C1885" s="19"/>
      <c r="N1885" s="67" t="s">
        <v>45</v>
      </c>
    </row>
    <row r="1886" spans="2:14" ht="34" x14ac:dyDescent="0.2">
      <c r="B1886" s="127" t="s">
        <v>463</v>
      </c>
      <c r="C1886" s="19"/>
      <c r="N1886" s="67" t="s">
        <v>45</v>
      </c>
    </row>
    <row r="1887" spans="2:14" ht="17" x14ac:dyDescent="0.2">
      <c r="B1887" s="129" t="s">
        <v>36</v>
      </c>
      <c r="C1887" s="19"/>
      <c r="N1887" s="67" t="s">
        <v>45</v>
      </c>
    </row>
    <row r="1888" spans="2:14" ht="17" x14ac:dyDescent="0.2">
      <c r="B1888" s="129" t="s">
        <v>37</v>
      </c>
      <c r="C1888" s="19"/>
      <c r="N1888" s="67" t="s">
        <v>45</v>
      </c>
    </row>
    <row r="1889" spans="2:14" ht="17" x14ac:dyDescent="0.2">
      <c r="B1889" s="128" t="s">
        <v>38</v>
      </c>
      <c r="C1889" s="19"/>
      <c r="N1889" s="67" t="s">
        <v>45</v>
      </c>
    </row>
    <row r="1890" spans="2:14" ht="53.25" customHeight="1" x14ac:dyDescent="0.2">
      <c r="B1890" s="164" t="s">
        <v>223</v>
      </c>
      <c r="C1890" s="19" t="s">
        <v>40</v>
      </c>
      <c r="J1890" s="34" t="s">
        <v>0</v>
      </c>
      <c r="L1890" s="62" t="s">
        <v>41</v>
      </c>
      <c r="M1890" s="34">
        <v>25292</v>
      </c>
      <c r="N1890" s="67" t="s">
        <v>42</v>
      </c>
    </row>
    <row r="1891" spans="2:14" ht="32" x14ac:dyDescent="0.2">
      <c r="B1891" s="164" t="s">
        <v>224</v>
      </c>
      <c r="C1891" s="19" t="s">
        <v>40</v>
      </c>
      <c r="J1891" s="34" t="s">
        <v>0</v>
      </c>
      <c r="L1891" s="62" t="s">
        <v>41</v>
      </c>
      <c r="M1891" s="34">
        <v>25292</v>
      </c>
      <c r="N1891" s="67" t="s">
        <v>42</v>
      </c>
    </row>
    <row r="1892" spans="2:14" ht="17" x14ac:dyDescent="0.2">
      <c r="B1892" s="128" t="s">
        <v>44</v>
      </c>
      <c r="C1892" s="19"/>
      <c r="N1892" s="67" t="s">
        <v>45</v>
      </c>
    </row>
    <row r="1893" spans="2:14" ht="17" x14ac:dyDescent="0.2">
      <c r="B1893" s="164" t="s">
        <v>225</v>
      </c>
      <c r="C1893" s="19" t="s">
        <v>40</v>
      </c>
      <c r="J1893" s="34" t="s">
        <v>0</v>
      </c>
      <c r="L1893" s="62" t="s">
        <v>41</v>
      </c>
      <c r="M1893" s="34">
        <v>25292</v>
      </c>
      <c r="N1893" s="67" t="s">
        <v>42</v>
      </c>
    </row>
    <row r="1894" spans="2:14" ht="17" x14ac:dyDescent="0.2">
      <c r="B1894" s="128" t="s">
        <v>47</v>
      </c>
      <c r="N1894" s="67" t="s">
        <v>45</v>
      </c>
    </row>
    <row r="1895" spans="2:14" ht="17" x14ac:dyDescent="0.2">
      <c r="B1895" s="131" t="s">
        <v>48</v>
      </c>
      <c r="C1895" s="19" t="s">
        <v>40</v>
      </c>
      <c r="J1895" s="34" t="s">
        <v>0</v>
      </c>
      <c r="L1895" s="62" t="s">
        <v>41</v>
      </c>
      <c r="M1895" s="34">
        <v>25292</v>
      </c>
      <c r="N1895" s="67" t="s">
        <v>42</v>
      </c>
    </row>
    <row r="1896" spans="2:14" ht="17" x14ac:dyDescent="0.2">
      <c r="B1896" s="131" t="s">
        <v>49</v>
      </c>
      <c r="C1896" s="19" t="s">
        <v>40</v>
      </c>
      <c r="J1896" s="34" t="s">
        <v>0</v>
      </c>
      <c r="L1896" s="62" t="s">
        <v>41</v>
      </c>
      <c r="M1896" s="34">
        <v>25292</v>
      </c>
      <c r="N1896" s="67" t="s">
        <v>42</v>
      </c>
    </row>
    <row r="1897" spans="2:14" ht="34" x14ac:dyDescent="0.2">
      <c r="B1897" s="131" t="s">
        <v>50</v>
      </c>
      <c r="C1897" s="19" t="s">
        <v>40</v>
      </c>
      <c r="J1897" s="34" t="s">
        <v>0</v>
      </c>
      <c r="L1897" s="62" t="s">
        <v>41</v>
      </c>
      <c r="M1897" s="34">
        <v>25292</v>
      </c>
      <c r="N1897" s="67" t="s">
        <v>42</v>
      </c>
    </row>
    <row r="1898" spans="2:14" ht="17" x14ac:dyDescent="0.2">
      <c r="B1898" s="128" t="s">
        <v>51</v>
      </c>
      <c r="C1898" s="19"/>
      <c r="N1898" s="67" t="s">
        <v>45</v>
      </c>
    </row>
    <row r="1899" spans="2:14" ht="30" customHeight="1" x14ac:dyDescent="0.2">
      <c r="B1899" s="165" t="s">
        <v>52</v>
      </c>
      <c r="C1899" s="19" t="s">
        <v>40</v>
      </c>
      <c r="J1899" s="34" t="s">
        <v>0</v>
      </c>
      <c r="L1899" s="62" t="s">
        <v>41</v>
      </c>
      <c r="M1899" s="34">
        <v>25292</v>
      </c>
      <c r="N1899" s="67" t="s">
        <v>42</v>
      </c>
    </row>
    <row r="1900" spans="2:14" ht="17" x14ac:dyDescent="0.2">
      <c r="B1900" s="132" t="s">
        <v>226</v>
      </c>
      <c r="C1900" s="19"/>
      <c r="N1900" s="67" t="s">
        <v>45</v>
      </c>
    </row>
    <row r="1901" spans="2:14" ht="51" x14ac:dyDescent="0.2">
      <c r="B1901" s="133" t="s">
        <v>227</v>
      </c>
      <c r="C1901" s="19" t="s">
        <v>40</v>
      </c>
      <c r="J1901" s="34" t="s">
        <v>0</v>
      </c>
      <c r="L1901" s="62" t="s">
        <v>41</v>
      </c>
      <c r="M1901" s="34">
        <v>25292</v>
      </c>
      <c r="N1901" s="67" t="s">
        <v>42</v>
      </c>
    </row>
    <row r="1902" spans="2:14" ht="17" x14ac:dyDescent="0.2">
      <c r="B1902" s="128" t="s">
        <v>55</v>
      </c>
      <c r="C1902" s="19"/>
      <c r="N1902" s="67" t="s">
        <v>45</v>
      </c>
    </row>
    <row r="1903" spans="2:14" ht="51" x14ac:dyDescent="0.2">
      <c r="B1903" s="134" t="s">
        <v>56</v>
      </c>
      <c r="C1903" s="19" t="s">
        <v>57</v>
      </c>
      <c r="J1903" s="34" t="s">
        <v>0</v>
      </c>
      <c r="L1903" s="62" t="s">
        <v>41</v>
      </c>
      <c r="M1903" s="34">
        <v>25292</v>
      </c>
      <c r="N1903" s="67" t="s">
        <v>42</v>
      </c>
    </row>
    <row r="1904" spans="2:14" ht="20" x14ac:dyDescent="0.2">
      <c r="B1904" s="177" t="s">
        <v>51</v>
      </c>
      <c r="N1904" s="67" t="s">
        <v>45</v>
      </c>
    </row>
    <row r="1905" spans="2:14" ht="17" x14ac:dyDescent="0.2">
      <c r="B1905" s="128" t="s">
        <v>342</v>
      </c>
      <c r="C1905" s="19"/>
      <c r="N1905" s="67" t="s">
        <v>45</v>
      </c>
    </row>
    <row r="1906" spans="2:14" ht="17" x14ac:dyDescent="0.2">
      <c r="B1906" s="231" t="s">
        <v>229</v>
      </c>
      <c r="N1906" s="67" t="s">
        <v>45</v>
      </c>
    </row>
    <row r="1907" spans="2:14" ht="17" x14ac:dyDescent="0.2">
      <c r="B1907" s="233" t="s">
        <v>230</v>
      </c>
      <c r="C1907" s="19" t="s">
        <v>40</v>
      </c>
      <c r="J1907" s="34" t="s">
        <v>0</v>
      </c>
      <c r="L1907" s="62" t="s">
        <v>41</v>
      </c>
      <c r="M1907" s="34">
        <v>25292</v>
      </c>
      <c r="N1907" s="67" t="s">
        <v>42</v>
      </c>
    </row>
    <row r="1908" spans="2:14" ht="17" x14ac:dyDescent="0.2">
      <c r="B1908" s="233" t="s">
        <v>231</v>
      </c>
      <c r="C1908" s="19" t="s">
        <v>40</v>
      </c>
      <c r="J1908" s="34" t="s">
        <v>0</v>
      </c>
      <c r="L1908" s="62" t="s">
        <v>41</v>
      </c>
      <c r="M1908" s="34">
        <v>25292</v>
      </c>
      <c r="N1908" s="67" t="s">
        <v>42</v>
      </c>
    </row>
    <row r="1909" spans="2:14" ht="17" x14ac:dyDescent="0.2">
      <c r="B1909" s="233" t="s">
        <v>232</v>
      </c>
      <c r="C1909" s="232" t="s">
        <v>40</v>
      </c>
      <c r="J1909" s="34" t="s">
        <v>0</v>
      </c>
      <c r="L1909" s="62" t="s">
        <v>41</v>
      </c>
      <c r="M1909" s="34">
        <v>25292</v>
      </c>
      <c r="N1909" s="67" t="s">
        <v>42</v>
      </c>
    </row>
    <row r="1910" spans="2:14" ht="17" x14ac:dyDescent="0.2">
      <c r="B1910" s="233" t="s">
        <v>233</v>
      </c>
      <c r="C1910" s="232" t="s">
        <v>40</v>
      </c>
      <c r="J1910" s="34" t="s">
        <v>0</v>
      </c>
      <c r="L1910" s="62" t="s">
        <v>41</v>
      </c>
      <c r="M1910" s="34">
        <v>25292</v>
      </c>
      <c r="N1910" s="67" t="s">
        <v>42</v>
      </c>
    </row>
    <row r="1911" spans="2:14" ht="17" x14ac:dyDescent="0.2">
      <c r="B1911" s="233" t="s">
        <v>236</v>
      </c>
      <c r="C1911" s="232" t="s">
        <v>40</v>
      </c>
      <c r="N1911" s="67" t="s">
        <v>42</v>
      </c>
    </row>
    <row r="1912" spans="2:14" ht="17" x14ac:dyDescent="0.2">
      <c r="B1912" s="128" t="s">
        <v>65</v>
      </c>
      <c r="N1912" s="67" t="s">
        <v>45</v>
      </c>
    </row>
    <row r="1913" spans="2:14" ht="17" x14ac:dyDescent="0.2">
      <c r="B1913" s="174" t="s">
        <v>66</v>
      </c>
      <c r="C1913" s="19" t="s">
        <v>40</v>
      </c>
      <c r="J1913" s="34" t="s">
        <v>0</v>
      </c>
      <c r="L1913" s="62" t="s">
        <v>41</v>
      </c>
      <c r="M1913" s="34">
        <v>25292</v>
      </c>
      <c r="N1913" s="67" t="s">
        <v>42</v>
      </c>
    </row>
    <row r="1914" spans="2:14" ht="17" x14ac:dyDescent="0.2">
      <c r="B1914" s="166" t="s">
        <v>67</v>
      </c>
      <c r="C1914" s="19" t="s">
        <v>40</v>
      </c>
      <c r="J1914" s="34" t="s">
        <v>0</v>
      </c>
      <c r="L1914" s="62" t="s">
        <v>41</v>
      </c>
      <c r="M1914" s="34">
        <v>25292</v>
      </c>
      <c r="N1914" s="67" t="s">
        <v>42</v>
      </c>
    </row>
    <row r="1915" spans="2:14" ht="17" x14ac:dyDescent="0.2">
      <c r="B1915" s="166" t="s">
        <v>68</v>
      </c>
      <c r="C1915" s="19" t="s">
        <v>40</v>
      </c>
      <c r="J1915" s="34" t="s">
        <v>0</v>
      </c>
      <c r="L1915" s="62" t="s">
        <v>41</v>
      </c>
      <c r="M1915" s="34">
        <v>25292</v>
      </c>
      <c r="N1915" s="67" t="s">
        <v>42</v>
      </c>
    </row>
    <row r="1916" spans="2:14" ht="17" x14ac:dyDescent="0.2">
      <c r="B1916" s="166" t="s">
        <v>354</v>
      </c>
      <c r="C1916" s="19" t="s">
        <v>40</v>
      </c>
      <c r="J1916" s="34" t="s">
        <v>0</v>
      </c>
      <c r="L1916" s="62" t="s">
        <v>41</v>
      </c>
      <c r="M1916" s="34">
        <v>25292</v>
      </c>
      <c r="N1916" s="67" t="s">
        <v>42</v>
      </c>
    </row>
    <row r="1917" spans="2:14" ht="17" x14ac:dyDescent="0.2">
      <c r="B1917" s="166" t="s">
        <v>464</v>
      </c>
      <c r="C1917" s="19" t="s">
        <v>40</v>
      </c>
      <c r="J1917" s="34" t="s">
        <v>0</v>
      </c>
      <c r="L1917" s="62" t="s">
        <v>41</v>
      </c>
      <c r="M1917" s="34">
        <v>25292</v>
      </c>
      <c r="N1917" s="67" t="s">
        <v>42</v>
      </c>
    </row>
    <row r="1918" spans="2:14" ht="17" x14ac:dyDescent="0.2">
      <c r="B1918" s="166" t="s">
        <v>71</v>
      </c>
      <c r="C1918" s="19" t="s">
        <v>40</v>
      </c>
      <c r="J1918" s="34" t="s">
        <v>0</v>
      </c>
      <c r="L1918" s="62" t="s">
        <v>41</v>
      </c>
      <c r="M1918" s="34">
        <v>25292</v>
      </c>
      <c r="N1918" s="67" t="s">
        <v>42</v>
      </c>
    </row>
    <row r="1919" spans="2:14" ht="17" x14ac:dyDescent="0.2">
      <c r="B1919" s="139" t="s">
        <v>72</v>
      </c>
      <c r="C1919" s="19" t="s">
        <v>40</v>
      </c>
      <c r="J1919" s="34" t="s">
        <v>0</v>
      </c>
      <c r="L1919" s="62" t="s">
        <v>41</v>
      </c>
      <c r="M1919" s="34">
        <v>25292</v>
      </c>
      <c r="N1919" s="67" t="s">
        <v>42</v>
      </c>
    </row>
    <row r="1920" spans="2:14" ht="17" x14ac:dyDescent="0.2">
      <c r="B1920" s="174" t="s">
        <v>73</v>
      </c>
      <c r="C1920" s="19" t="s">
        <v>40</v>
      </c>
      <c r="J1920" s="34" t="s">
        <v>0</v>
      </c>
      <c r="L1920" s="62" t="s">
        <v>41</v>
      </c>
      <c r="M1920" s="34">
        <v>25292</v>
      </c>
      <c r="N1920" s="67" t="s">
        <v>42</v>
      </c>
    </row>
    <row r="1921" spans="2:14" ht="17" x14ac:dyDescent="0.2">
      <c r="B1921" s="139" t="s">
        <v>74</v>
      </c>
      <c r="C1921" s="19" t="s">
        <v>40</v>
      </c>
      <c r="J1921" s="34" t="s">
        <v>0</v>
      </c>
      <c r="L1921" s="62" t="s">
        <v>41</v>
      </c>
      <c r="M1921" s="34">
        <v>25292</v>
      </c>
      <c r="N1921" s="67" t="s">
        <v>42</v>
      </c>
    </row>
    <row r="1922" spans="2:14" ht="17" x14ac:dyDescent="0.2">
      <c r="B1922" s="139" t="s">
        <v>75</v>
      </c>
      <c r="C1922" s="19" t="s">
        <v>40</v>
      </c>
      <c r="J1922" s="34" t="s">
        <v>0</v>
      </c>
      <c r="L1922" s="62" t="s">
        <v>41</v>
      </c>
      <c r="M1922" s="34">
        <v>25292</v>
      </c>
      <c r="N1922" s="67" t="s">
        <v>42</v>
      </c>
    </row>
    <row r="1923" spans="2:14" ht="17" x14ac:dyDescent="0.2">
      <c r="B1923" s="138" t="s">
        <v>76</v>
      </c>
      <c r="C1923" s="19" t="s">
        <v>40</v>
      </c>
      <c r="J1923" s="34" t="s">
        <v>0</v>
      </c>
      <c r="L1923" s="62" t="s">
        <v>41</v>
      </c>
      <c r="M1923" s="34">
        <v>25292</v>
      </c>
      <c r="N1923" s="67" t="s">
        <v>42</v>
      </c>
    </row>
    <row r="1924" spans="2:14" ht="68" x14ac:dyDescent="0.2">
      <c r="B1924" s="166" t="s">
        <v>204</v>
      </c>
      <c r="C1924" s="19" t="s">
        <v>40</v>
      </c>
      <c r="J1924" s="34" t="s">
        <v>0</v>
      </c>
      <c r="L1924" s="62" t="s">
        <v>41</v>
      </c>
      <c r="M1924" s="34">
        <v>25292</v>
      </c>
      <c r="N1924" s="67" t="s">
        <v>42</v>
      </c>
    </row>
    <row r="1925" spans="2:14" ht="17" x14ac:dyDescent="0.2">
      <c r="B1925" s="166" t="s">
        <v>237</v>
      </c>
      <c r="C1925" s="19" t="s">
        <v>40</v>
      </c>
      <c r="J1925" s="34" t="s">
        <v>0</v>
      </c>
      <c r="L1925" s="62" t="s">
        <v>41</v>
      </c>
      <c r="M1925" s="34">
        <v>25292</v>
      </c>
      <c r="N1925" s="67" t="s">
        <v>42</v>
      </c>
    </row>
    <row r="1926" spans="2:14" ht="26.25" customHeight="1" x14ac:dyDescent="0.2">
      <c r="B1926" s="166" t="s">
        <v>356</v>
      </c>
      <c r="C1926" s="19" t="s">
        <v>40</v>
      </c>
      <c r="J1926" s="34" t="s">
        <v>0</v>
      </c>
      <c r="L1926" s="62" t="s">
        <v>41</v>
      </c>
      <c r="M1926" s="34">
        <v>25292</v>
      </c>
      <c r="N1926" s="67" t="s">
        <v>42</v>
      </c>
    </row>
    <row r="1927" spans="2:14" ht="17" x14ac:dyDescent="0.2">
      <c r="B1927" s="138" t="s">
        <v>80</v>
      </c>
      <c r="C1927" s="19" t="s">
        <v>40</v>
      </c>
      <c r="J1927" s="34" t="s">
        <v>0</v>
      </c>
      <c r="L1927" s="62" t="s">
        <v>41</v>
      </c>
      <c r="M1927" s="34">
        <v>25292</v>
      </c>
      <c r="N1927" s="67" t="s">
        <v>42</v>
      </c>
    </row>
    <row r="1928" spans="2:14" ht="24" customHeight="1" x14ac:dyDescent="0.2">
      <c r="B1928" s="138" t="s">
        <v>81</v>
      </c>
      <c r="C1928" s="19" t="s">
        <v>40</v>
      </c>
      <c r="J1928" s="34" t="s">
        <v>0</v>
      </c>
      <c r="L1928" s="62" t="s">
        <v>41</v>
      </c>
      <c r="M1928" s="34">
        <v>25292</v>
      </c>
      <c r="N1928" s="67" t="s">
        <v>42</v>
      </c>
    </row>
    <row r="1929" spans="2:14" ht="17" x14ac:dyDescent="0.2">
      <c r="B1929" s="138" t="s">
        <v>82</v>
      </c>
      <c r="C1929" s="19" t="s">
        <v>40</v>
      </c>
      <c r="J1929" s="34" t="s">
        <v>0</v>
      </c>
      <c r="L1929" s="62" t="s">
        <v>41</v>
      </c>
      <c r="M1929" s="34">
        <v>25292</v>
      </c>
      <c r="N1929" s="67" t="s">
        <v>42</v>
      </c>
    </row>
    <row r="1930" spans="2:14" ht="17" x14ac:dyDescent="0.2">
      <c r="B1930" s="166" t="s">
        <v>465</v>
      </c>
      <c r="C1930" s="19" t="s">
        <v>40</v>
      </c>
      <c r="J1930" s="34" t="s">
        <v>0</v>
      </c>
      <c r="L1930" s="62" t="s">
        <v>41</v>
      </c>
      <c r="M1930" s="34">
        <v>25292</v>
      </c>
      <c r="N1930" s="67" t="s">
        <v>42</v>
      </c>
    </row>
    <row r="1931" spans="2:14" ht="17" x14ac:dyDescent="0.2">
      <c r="B1931" s="138" t="s">
        <v>84</v>
      </c>
      <c r="C1931" s="19" t="s">
        <v>40</v>
      </c>
      <c r="J1931" s="34" t="s">
        <v>0</v>
      </c>
      <c r="L1931" s="62" t="s">
        <v>41</v>
      </c>
      <c r="M1931" s="34">
        <v>25292</v>
      </c>
      <c r="N1931" s="67" t="s">
        <v>42</v>
      </c>
    </row>
    <row r="1932" spans="2:14" ht="17" x14ac:dyDescent="0.2">
      <c r="B1932" s="139" t="s">
        <v>85</v>
      </c>
      <c r="C1932" s="19" t="s">
        <v>40</v>
      </c>
      <c r="J1932" s="34" t="s">
        <v>0</v>
      </c>
      <c r="L1932" s="62" t="s">
        <v>41</v>
      </c>
      <c r="M1932" s="34">
        <v>25292</v>
      </c>
      <c r="N1932" s="67" t="s">
        <v>42</v>
      </c>
    </row>
    <row r="1933" spans="2:14" ht="17" x14ac:dyDescent="0.2">
      <c r="B1933" s="140" t="s">
        <v>86</v>
      </c>
      <c r="N1933" s="67" t="s">
        <v>45</v>
      </c>
    </row>
    <row r="1934" spans="2:14" ht="17" x14ac:dyDescent="0.2">
      <c r="B1934" s="141" t="s">
        <v>87</v>
      </c>
      <c r="C1934" s="19" t="s">
        <v>40</v>
      </c>
      <c r="J1934" s="34" t="s">
        <v>0</v>
      </c>
      <c r="L1934" s="62" t="s">
        <v>41</v>
      </c>
      <c r="M1934" s="34">
        <v>25292</v>
      </c>
      <c r="N1934" s="67" t="s">
        <v>42</v>
      </c>
    </row>
    <row r="1935" spans="2:14" ht="32" x14ac:dyDescent="0.2">
      <c r="B1935" s="140" t="s">
        <v>88</v>
      </c>
      <c r="C1935" s="19"/>
      <c r="N1935" s="67" t="s">
        <v>45</v>
      </c>
    </row>
    <row r="1936" spans="2:14" ht="32" x14ac:dyDescent="0.2">
      <c r="B1936" s="250" t="s">
        <v>89</v>
      </c>
      <c r="C1936" s="19" t="s">
        <v>40</v>
      </c>
      <c r="J1936" s="34" t="s">
        <v>0</v>
      </c>
      <c r="L1936" s="62" t="s">
        <v>41</v>
      </c>
      <c r="M1936" s="34">
        <v>25292</v>
      </c>
      <c r="N1936" s="67" t="s">
        <v>42</v>
      </c>
    </row>
    <row r="1937" spans="2:14" ht="17" x14ac:dyDescent="0.2">
      <c r="B1937" s="140" t="s">
        <v>90</v>
      </c>
      <c r="C1937" s="19"/>
      <c r="N1937" s="67" t="s">
        <v>45</v>
      </c>
    </row>
    <row r="1938" spans="2:14" ht="32" x14ac:dyDescent="0.2">
      <c r="B1938" s="142" t="s">
        <v>91</v>
      </c>
      <c r="C1938" s="19" t="s">
        <v>40</v>
      </c>
      <c r="J1938" s="210" t="s">
        <v>92</v>
      </c>
      <c r="L1938" s="62" t="s">
        <v>41</v>
      </c>
      <c r="M1938" s="34">
        <v>25292</v>
      </c>
      <c r="N1938" s="67" t="s">
        <v>42</v>
      </c>
    </row>
    <row r="1939" spans="2:14" ht="17" x14ac:dyDescent="0.2">
      <c r="B1939" s="140" t="s">
        <v>93</v>
      </c>
      <c r="C1939" s="19"/>
      <c r="N1939" s="67" t="s">
        <v>45</v>
      </c>
    </row>
    <row r="1940" spans="2:14" ht="32" x14ac:dyDescent="0.2">
      <c r="B1940" s="142" t="s">
        <v>94</v>
      </c>
      <c r="C1940" s="19" t="s">
        <v>40</v>
      </c>
      <c r="J1940" s="210" t="s">
        <v>92</v>
      </c>
      <c r="L1940" s="62" t="s">
        <v>41</v>
      </c>
      <c r="M1940" s="34">
        <v>25292</v>
      </c>
      <c r="N1940" s="67" t="s">
        <v>42</v>
      </c>
    </row>
    <row r="1941" spans="2:14" ht="48" x14ac:dyDescent="0.2">
      <c r="B1941" s="143" t="s">
        <v>95</v>
      </c>
      <c r="C1941" s="19" t="s">
        <v>40</v>
      </c>
      <c r="J1941" s="210" t="s">
        <v>92</v>
      </c>
      <c r="L1941" s="62" t="s">
        <v>41</v>
      </c>
      <c r="M1941" s="34">
        <v>25292</v>
      </c>
      <c r="N1941" s="67" t="s">
        <v>42</v>
      </c>
    </row>
    <row r="1942" spans="2:14" ht="17" x14ac:dyDescent="0.2">
      <c r="B1942" s="144" t="s">
        <v>96</v>
      </c>
      <c r="C1942" s="19" t="s">
        <v>40</v>
      </c>
      <c r="J1942" s="210" t="s">
        <v>92</v>
      </c>
      <c r="L1942" s="62" t="s">
        <v>41</v>
      </c>
      <c r="M1942" s="34">
        <v>25292</v>
      </c>
      <c r="N1942" s="67" t="s">
        <v>42</v>
      </c>
    </row>
    <row r="1943" spans="2:14" ht="32" x14ac:dyDescent="0.2">
      <c r="B1943" s="143" t="s">
        <v>97</v>
      </c>
      <c r="C1943" s="19" t="s">
        <v>40</v>
      </c>
      <c r="J1943" s="210" t="s">
        <v>92</v>
      </c>
      <c r="L1943" s="62" t="s">
        <v>41</v>
      </c>
      <c r="M1943" s="34">
        <v>25292</v>
      </c>
      <c r="N1943" s="67" t="s">
        <v>42</v>
      </c>
    </row>
    <row r="1944" spans="2:14" ht="17" x14ac:dyDescent="0.2">
      <c r="B1944" s="142" t="s">
        <v>98</v>
      </c>
      <c r="C1944" s="19" t="s">
        <v>40</v>
      </c>
      <c r="J1944" s="210" t="s">
        <v>92</v>
      </c>
      <c r="L1944" s="62" t="s">
        <v>41</v>
      </c>
      <c r="M1944" s="34">
        <v>25292</v>
      </c>
      <c r="N1944" s="67" t="s">
        <v>42</v>
      </c>
    </row>
    <row r="1945" spans="2:14" ht="17" x14ac:dyDescent="0.2">
      <c r="B1945" s="144" t="s">
        <v>99</v>
      </c>
      <c r="C1945" s="19" t="s">
        <v>40</v>
      </c>
      <c r="J1945" s="210" t="s">
        <v>92</v>
      </c>
      <c r="L1945" s="62" t="s">
        <v>41</v>
      </c>
      <c r="M1945" s="34">
        <v>25292</v>
      </c>
      <c r="N1945" s="67" t="s">
        <v>42</v>
      </c>
    </row>
    <row r="1946" spans="2:14" ht="17" x14ac:dyDescent="0.2">
      <c r="B1946" s="143" t="s">
        <v>100</v>
      </c>
      <c r="C1946" s="19" t="s">
        <v>40</v>
      </c>
      <c r="J1946" s="210" t="s">
        <v>92</v>
      </c>
      <c r="L1946" s="62" t="s">
        <v>41</v>
      </c>
      <c r="M1946" s="34">
        <v>25292</v>
      </c>
      <c r="N1946" s="67" t="s">
        <v>42</v>
      </c>
    </row>
    <row r="1947" spans="2:14" ht="17" x14ac:dyDescent="0.2">
      <c r="B1947" s="140" t="s">
        <v>101</v>
      </c>
      <c r="N1947" s="67" t="s">
        <v>45</v>
      </c>
    </row>
    <row r="1948" spans="2:14" ht="17" x14ac:dyDescent="0.2">
      <c r="B1948" s="141" t="s">
        <v>87</v>
      </c>
      <c r="C1948" s="19" t="s">
        <v>40</v>
      </c>
      <c r="J1948" s="34" t="s">
        <v>0</v>
      </c>
      <c r="L1948" s="62" t="s">
        <v>41</v>
      </c>
      <c r="M1948" s="34">
        <v>25292</v>
      </c>
      <c r="N1948" s="67" t="s">
        <v>42</v>
      </c>
    </row>
    <row r="1949" spans="2:14" ht="32" x14ac:dyDescent="0.2">
      <c r="B1949" s="250" t="s">
        <v>102</v>
      </c>
      <c r="C1949" s="19" t="s">
        <v>40</v>
      </c>
      <c r="J1949" s="34" t="s">
        <v>0</v>
      </c>
      <c r="L1949" s="62" t="s">
        <v>41</v>
      </c>
      <c r="M1949" s="34">
        <v>25292</v>
      </c>
      <c r="N1949" s="67" t="s">
        <v>42</v>
      </c>
    </row>
    <row r="1950" spans="2:14" ht="48" x14ac:dyDescent="0.2">
      <c r="B1950" s="143" t="s">
        <v>103</v>
      </c>
      <c r="C1950" s="19" t="s">
        <v>40</v>
      </c>
      <c r="J1950" s="34" t="s">
        <v>0</v>
      </c>
      <c r="L1950" s="62" t="s">
        <v>41</v>
      </c>
      <c r="M1950" s="34">
        <v>25292</v>
      </c>
      <c r="N1950" s="67" t="s">
        <v>42</v>
      </c>
    </row>
    <row r="1951" spans="2:14" ht="17" x14ac:dyDescent="0.2">
      <c r="B1951" s="144" t="s">
        <v>96</v>
      </c>
      <c r="C1951" s="19" t="s">
        <v>40</v>
      </c>
      <c r="J1951" s="34" t="s">
        <v>0</v>
      </c>
      <c r="L1951" s="62" t="s">
        <v>41</v>
      </c>
      <c r="M1951" s="34">
        <v>25292</v>
      </c>
      <c r="N1951" s="67" t="s">
        <v>42</v>
      </c>
    </row>
    <row r="1952" spans="2:14" ht="32" x14ac:dyDescent="0.2">
      <c r="B1952" s="143" t="s">
        <v>104</v>
      </c>
      <c r="C1952" s="19" t="s">
        <v>40</v>
      </c>
      <c r="J1952" s="34" t="s">
        <v>0</v>
      </c>
      <c r="L1952" s="62" t="s">
        <v>41</v>
      </c>
      <c r="M1952" s="34">
        <v>25292</v>
      </c>
      <c r="N1952" s="67" t="s">
        <v>42</v>
      </c>
    </row>
    <row r="1953" spans="2:14" ht="32" x14ac:dyDescent="0.2">
      <c r="B1953" s="142" t="s">
        <v>105</v>
      </c>
      <c r="C1953" s="19" t="s">
        <v>40</v>
      </c>
      <c r="J1953" s="34" t="s">
        <v>0</v>
      </c>
      <c r="L1953" s="62" t="s">
        <v>41</v>
      </c>
      <c r="M1953" s="34">
        <v>25292</v>
      </c>
      <c r="N1953" s="67" t="s">
        <v>42</v>
      </c>
    </row>
    <row r="1954" spans="2:14" ht="17" x14ac:dyDescent="0.2">
      <c r="B1954" s="144" t="s">
        <v>99</v>
      </c>
      <c r="C1954" s="19" t="s">
        <v>40</v>
      </c>
      <c r="J1954" s="34" t="s">
        <v>0</v>
      </c>
      <c r="L1954" s="62" t="s">
        <v>41</v>
      </c>
      <c r="M1954" s="34">
        <v>25292</v>
      </c>
      <c r="N1954" s="67" t="s">
        <v>42</v>
      </c>
    </row>
    <row r="1955" spans="2:14" ht="17" x14ac:dyDescent="0.2">
      <c r="B1955" s="143" t="s">
        <v>106</v>
      </c>
      <c r="C1955" s="19" t="s">
        <v>40</v>
      </c>
      <c r="J1955" s="34" t="s">
        <v>0</v>
      </c>
      <c r="L1955" s="62" t="s">
        <v>41</v>
      </c>
      <c r="M1955" s="34">
        <v>25292</v>
      </c>
      <c r="N1955" s="67" t="s">
        <v>42</v>
      </c>
    </row>
    <row r="1956" spans="2:14" ht="17" x14ac:dyDescent="0.2">
      <c r="B1956" s="140" t="s">
        <v>107</v>
      </c>
      <c r="N1956" s="67" t="s">
        <v>45</v>
      </c>
    </row>
    <row r="1957" spans="2:14" ht="17" x14ac:dyDescent="0.2">
      <c r="B1957" s="141" t="s">
        <v>87</v>
      </c>
      <c r="C1957" s="19" t="s">
        <v>40</v>
      </c>
      <c r="J1957" s="34" t="s">
        <v>0</v>
      </c>
      <c r="L1957" s="62" t="s">
        <v>41</v>
      </c>
      <c r="M1957" s="34">
        <v>25292</v>
      </c>
      <c r="N1957" s="67" t="s">
        <v>42</v>
      </c>
    </row>
    <row r="1958" spans="2:14" ht="32" x14ac:dyDescent="0.2">
      <c r="B1958" s="142" t="s">
        <v>102</v>
      </c>
      <c r="C1958" s="19" t="s">
        <v>40</v>
      </c>
      <c r="J1958" s="34" t="s">
        <v>0</v>
      </c>
      <c r="L1958" s="62" t="s">
        <v>41</v>
      </c>
      <c r="M1958" s="34">
        <v>25292</v>
      </c>
      <c r="N1958" s="67" t="s">
        <v>42</v>
      </c>
    </row>
    <row r="1959" spans="2:14" ht="48" x14ac:dyDescent="0.2">
      <c r="B1959" s="143" t="s">
        <v>108</v>
      </c>
      <c r="C1959" s="19" t="s">
        <v>40</v>
      </c>
      <c r="J1959" s="34" t="s">
        <v>0</v>
      </c>
      <c r="L1959" s="62" t="s">
        <v>41</v>
      </c>
      <c r="M1959" s="34">
        <v>25292</v>
      </c>
      <c r="N1959" s="67" t="s">
        <v>42</v>
      </c>
    </row>
    <row r="1960" spans="2:14" ht="17" x14ac:dyDescent="0.2">
      <c r="B1960" s="144" t="s">
        <v>96</v>
      </c>
      <c r="C1960" s="19" t="s">
        <v>40</v>
      </c>
      <c r="J1960" s="34" t="s">
        <v>0</v>
      </c>
      <c r="L1960" s="62" t="s">
        <v>41</v>
      </c>
      <c r="M1960" s="34">
        <v>25292</v>
      </c>
      <c r="N1960" s="67" t="s">
        <v>42</v>
      </c>
    </row>
    <row r="1961" spans="2:14" ht="32" x14ac:dyDescent="0.2">
      <c r="B1961" s="143" t="s">
        <v>109</v>
      </c>
      <c r="C1961" s="19" t="s">
        <v>40</v>
      </c>
      <c r="J1961" s="34" t="s">
        <v>0</v>
      </c>
      <c r="L1961" s="62" t="s">
        <v>41</v>
      </c>
      <c r="M1961" s="34">
        <v>25292</v>
      </c>
      <c r="N1961" s="67" t="s">
        <v>42</v>
      </c>
    </row>
    <row r="1962" spans="2:14" ht="32" x14ac:dyDescent="0.2">
      <c r="B1962" s="142" t="s">
        <v>110</v>
      </c>
      <c r="C1962" s="19" t="s">
        <v>40</v>
      </c>
      <c r="J1962" s="34" t="s">
        <v>0</v>
      </c>
      <c r="L1962" s="62" t="s">
        <v>41</v>
      </c>
      <c r="M1962" s="34">
        <v>25292</v>
      </c>
      <c r="N1962" s="67" t="s">
        <v>42</v>
      </c>
    </row>
    <row r="1963" spans="2:14" ht="17" x14ac:dyDescent="0.2">
      <c r="B1963" s="144" t="s">
        <v>99</v>
      </c>
      <c r="C1963" s="19" t="s">
        <v>40</v>
      </c>
      <c r="J1963" s="34" t="s">
        <v>0</v>
      </c>
      <c r="L1963" s="62" t="s">
        <v>41</v>
      </c>
      <c r="M1963" s="34">
        <v>25292</v>
      </c>
      <c r="N1963" s="67" t="s">
        <v>42</v>
      </c>
    </row>
    <row r="1964" spans="2:14" ht="17" x14ac:dyDescent="0.2">
      <c r="B1964" s="143" t="s">
        <v>111</v>
      </c>
      <c r="C1964" s="19" t="s">
        <v>40</v>
      </c>
      <c r="L1964" s="62" t="s">
        <v>41</v>
      </c>
      <c r="M1964" s="34">
        <v>25292</v>
      </c>
      <c r="N1964" s="67" t="s">
        <v>42</v>
      </c>
    </row>
    <row r="1965" spans="2:14" ht="17" x14ac:dyDescent="0.2">
      <c r="B1965" s="140" t="s">
        <v>112</v>
      </c>
      <c r="N1965" s="67" t="s">
        <v>45</v>
      </c>
    </row>
    <row r="1966" spans="2:14" ht="17" x14ac:dyDescent="0.2">
      <c r="B1966" s="141" t="s">
        <v>87</v>
      </c>
      <c r="C1966" s="19" t="s">
        <v>40</v>
      </c>
      <c r="J1966" s="34" t="s">
        <v>0</v>
      </c>
      <c r="L1966" s="62" t="s">
        <v>41</v>
      </c>
      <c r="M1966" s="34">
        <v>25292</v>
      </c>
      <c r="N1966" s="67" t="s">
        <v>42</v>
      </c>
    </row>
    <row r="1967" spans="2:14" ht="32" x14ac:dyDescent="0.2">
      <c r="B1967" s="142" t="s">
        <v>102</v>
      </c>
      <c r="C1967" s="19" t="s">
        <v>40</v>
      </c>
      <c r="J1967" s="34" t="s">
        <v>0</v>
      </c>
      <c r="L1967" s="62" t="s">
        <v>41</v>
      </c>
      <c r="M1967" s="34">
        <v>25292</v>
      </c>
      <c r="N1967" s="67" t="s">
        <v>42</v>
      </c>
    </row>
    <row r="1968" spans="2:14" ht="48" x14ac:dyDescent="0.2">
      <c r="B1968" s="143" t="s">
        <v>113</v>
      </c>
      <c r="C1968" s="19" t="s">
        <v>40</v>
      </c>
      <c r="J1968" s="34" t="s">
        <v>0</v>
      </c>
      <c r="L1968" s="62" t="s">
        <v>41</v>
      </c>
      <c r="M1968" s="34">
        <v>25292</v>
      </c>
      <c r="N1968" s="67" t="s">
        <v>42</v>
      </c>
    </row>
    <row r="1969" spans="2:14" ht="17" x14ac:dyDescent="0.2">
      <c r="B1969" s="144" t="s">
        <v>96</v>
      </c>
      <c r="C1969" s="19" t="s">
        <v>40</v>
      </c>
      <c r="J1969" s="34" t="s">
        <v>0</v>
      </c>
      <c r="L1969" s="62" t="s">
        <v>41</v>
      </c>
      <c r="M1969" s="34">
        <v>25292</v>
      </c>
      <c r="N1969" s="67" t="s">
        <v>42</v>
      </c>
    </row>
    <row r="1970" spans="2:14" ht="32" x14ac:dyDescent="0.2">
      <c r="B1970" s="143" t="s">
        <v>97</v>
      </c>
      <c r="C1970" s="19" t="s">
        <v>40</v>
      </c>
      <c r="J1970" s="34" t="s">
        <v>0</v>
      </c>
      <c r="L1970" s="62" t="s">
        <v>41</v>
      </c>
      <c r="M1970" s="34">
        <v>25292</v>
      </c>
      <c r="N1970" s="67" t="s">
        <v>42</v>
      </c>
    </row>
    <row r="1971" spans="2:14" ht="32" x14ac:dyDescent="0.2">
      <c r="B1971" s="142" t="s">
        <v>114</v>
      </c>
      <c r="C1971" s="19" t="s">
        <v>40</v>
      </c>
      <c r="J1971" s="34" t="s">
        <v>0</v>
      </c>
      <c r="L1971" s="62" t="s">
        <v>41</v>
      </c>
      <c r="M1971" s="34">
        <v>25292</v>
      </c>
      <c r="N1971" s="67" t="s">
        <v>42</v>
      </c>
    </row>
    <row r="1972" spans="2:14" ht="17" x14ac:dyDescent="0.2">
      <c r="B1972" s="144" t="s">
        <v>99</v>
      </c>
      <c r="C1972" s="19" t="s">
        <v>40</v>
      </c>
      <c r="J1972" s="34" t="s">
        <v>0</v>
      </c>
      <c r="L1972" s="62" t="s">
        <v>41</v>
      </c>
      <c r="M1972" s="34">
        <v>25292</v>
      </c>
      <c r="N1972" s="67" t="s">
        <v>42</v>
      </c>
    </row>
    <row r="1973" spans="2:14" ht="17" x14ac:dyDescent="0.2">
      <c r="B1973" s="143" t="s">
        <v>115</v>
      </c>
      <c r="C1973" s="19" t="s">
        <v>40</v>
      </c>
      <c r="J1973" s="34" t="s">
        <v>0</v>
      </c>
      <c r="L1973" s="62" t="s">
        <v>41</v>
      </c>
      <c r="M1973" s="34">
        <v>25292</v>
      </c>
      <c r="N1973" s="67" t="s">
        <v>42</v>
      </c>
    </row>
    <row r="1974" spans="2:14" ht="17" x14ac:dyDescent="0.2">
      <c r="B1974" s="251" t="s">
        <v>206</v>
      </c>
      <c r="C1974" s="252"/>
      <c r="N1974" s="67" t="s">
        <v>45</v>
      </c>
    </row>
    <row r="1975" spans="2:14" ht="17" x14ac:dyDescent="0.2">
      <c r="B1975" s="213" t="s">
        <v>87</v>
      </c>
      <c r="C1975" s="252" t="s">
        <v>40</v>
      </c>
      <c r="J1975" s="34" t="s">
        <v>0</v>
      </c>
      <c r="L1975" s="62" t="s">
        <v>41</v>
      </c>
      <c r="M1975" s="34">
        <v>25292</v>
      </c>
      <c r="N1975" s="67" t="s">
        <v>42</v>
      </c>
    </row>
    <row r="1976" spans="2:14" ht="32" x14ac:dyDescent="0.2">
      <c r="B1976" s="253" t="s">
        <v>102</v>
      </c>
      <c r="C1976" s="252" t="s">
        <v>40</v>
      </c>
      <c r="J1976" s="34" t="s">
        <v>0</v>
      </c>
      <c r="L1976" s="62" t="s">
        <v>41</v>
      </c>
      <c r="M1976" s="34">
        <v>25292</v>
      </c>
      <c r="N1976" s="67" t="s">
        <v>42</v>
      </c>
    </row>
    <row r="1977" spans="2:14" ht="48" x14ac:dyDescent="0.2">
      <c r="B1977" s="238" t="s">
        <v>280</v>
      </c>
      <c r="C1977" s="252" t="s">
        <v>40</v>
      </c>
      <c r="J1977" s="34" t="s">
        <v>0</v>
      </c>
      <c r="L1977" s="62" t="s">
        <v>41</v>
      </c>
      <c r="M1977" s="34">
        <v>25292</v>
      </c>
      <c r="N1977" s="67" t="s">
        <v>42</v>
      </c>
    </row>
    <row r="1978" spans="2:14" ht="17" x14ac:dyDescent="0.2">
      <c r="B1978" s="216" t="s">
        <v>96</v>
      </c>
      <c r="C1978" s="252" t="s">
        <v>40</v>
      </c>
      <c r="J1978" s="34" t="s">
        <v>0</v>
      </c>
      <c r="L1978" s="62" t="s">
        <v>41</v>
      </c>
      <c r="M1978" s="34">
        <v>25292</v>
      </c>
      <c r="N1978" s="67" t="s">
        <v>42</v>
      </c>
    </row>
    <row r="1979" spans="2:14" ht="32" x14ac:dyDescent="0.2">
      <c r="B1979" s="238" t="s">
        <v>281</v>
      </c>
      <c r="C1979" s="252" t="s">
        <v>40</v>
      </c>
      <c r="J1979" s="34" t="s">
        <v>0</v>
      </c>
      <c r="L1979" s="62" t="s">
        <v>41</v>
      </c>
      <c r="M1979" s="34">
        <v>25292</v>
      </c>
      <c r="N1979" s="67" t="s">
        <v>42</v>
      </c>
    </row>
    <row r="1980" spans="2:14" ht="32" x14ac:dyDescent="0.2">
      <c r="B1980" s="253" t="s">
        <v>282</v>
      </c>
      <c r="C1980" s="252" t="s">
        <v>40</v>
      </c>
      <c r="J1980" s="34" t="s">
        <v>0</v>
      </c>
      <c r="L1980" s="62" t="s">
        <v>41</v>
      </c>
      <c r="M1980" s="34">
        <v>25292</v>
      </c>
      <c r="N1980" s="67" t="s">
        <v>42</v>
      </c>
    </row>
    <row r="1981" spans="2:14" ht="17" x14ac:dyDescent="0.2">
      <c r="B1981" s="215" t="s">
        <v>99</v>
      </c>
      <c r="C1981" s="252" t="s">
        <v>40</v>
      </c>
      <c r="J1981" s="34" t="s">
        <v>0</v>
      </c>
      <c r="L1981" s="62" t="s">
        <v>41</v>
      </c>
      <c r="M1981" s="34">
        <v>25292</v>
      </c>
      <c r="N1981" s="67" t="s">
        <v>42</v>
      </c>
    </row>
    <row r="1982" spans="2:14" ht="32" x14ac:dyDescent="0.2">
      <c r="B1982" s="238" t="s">
        <v>358</v>
      </c>
      <c r="C1982" s="252" t="s">
        <v>40</v>
      </c>
      <c r="J1982" s="34" t="s">
        <v>0</v>
      </c>
      <c r="L1982" s="62" t="s">
        <v>41</v>
      </c>
      <c r="M1982" s="34">
        <v>25292</v>
      </c>
      <c r="N1982" s="67" t="s">
        <v>42</v>
      </c>
    </row>
    <row r="1983" spans="2:14" ht="17" x14ac:dyDescent="0.2">
      <c r="B1983" s="251" t="s">
        <v>279</v>
      </c>
      <c r="C1983" s="252"/>
      <c r="N1983" s="67" t="s">
        <v>45</v>
      </c>
    </row>
    <row r="1984" spans="2:14" ht="17" x14ac:dyDescent="0.2">
      <c r="B1984" s="213" t="s">
        <v>87</v>
      </c>
      <c r="C1984" s="252" t="s">
        <v>40</v>
      </c>
      <c r="J1984" s="34" t="s">
        <v>0</v>
      </c>
      <c r="L1984" s="62" t="s">
        <v>41</v>
      </c>
      <c r="M1984" s="34">
        <v>25292</v>
      </c>
      <c r="N1984" s="67" t="s">
        <v>42</v>
      </c>
    </row>
    <row r="1985" spans="2:14" ht="32" x14ac:dyDescent="0.2">
      <c r="B1985" s="253" t="s">
        <v>102</v>
      </c>
      <c r="C1985" s="252" t="s">
        <v>40</v>
      </c>
      <c r="J1985" s="34" t="s">
        <v>0</v>
      </c>
      <c r="L1985" s="62" t="s">
        <v>41</v>
      </c>
      <c r="M1985" s="34">
        <v>25292</v>
      </c>
      <c r="N1985" s="67" t="s">
        <v>42</v>
      </c>
    </row>
    <row r="1986" spans="2:14" ht="48" x14ac:dyDescent="0.2">
      <c r="B1986" s="238" t="s">
        <v>323</v>
      </c>
      <c r="C1986" s="252" t="s">
        <v>40</v>
      </c>
      <c r="J1986" s="34" t="s">
        <v>0</v>
      </c>
      <c r="L1986" s="62" t="s">
        <v>41</v>
      </c>
      <c r="M1986" s="34">
        <v>25292</v>
      </c>
      <c r="N1986" s="67" t="s">
        <v>42</v>
      </c>
    </row>
    <row r="1987" spans="2:14" ht="17" x14ac:dyDescent="0.2">
      <c r="B1987" s="216" t="s">
        <v>96</v>
      </c>
      <c r="C1987" s="252" t="s">
        <v>40</v>
      </c>
      <c r="J1987" s="34" t="s">
        <v>0</v>
      </c>
      <c r="L1987" s="62" t="s">
        <v>41</v>
      </c>
      <c r="M1987" s="34">
        <v>25292</v>
      </c>
      <c r="N1987" s="67" t="s">
        <v>42</v>
      </c>
    </row>
    <row r="1988" spans="2:14" ht="32" x14ac:dyDescent="0.2">
      <c r="B1988" s="238" t="s">
        <v>97</v>
      </c>
      <c r="C1988" s="252" t="s">
        <v>40</v>
      </c>
      <c r="J1988" s="34" t="s">
        <v>0</v>
      </c>
      <c r="L1988" s="62" t="s">
        <v>41</v>
      </c>
      <c r="M1988" s="34">
        <v>25292</v>
      </c>
      <c r="N1988" s="67" t="s">
        <v>42</v>
      </c>
    </row>
    <row r="1989" spans="2:14" ht="32" x14ac:dyDescent="0.2">
      <c r="B1989" s="253" t="s">
        <v>324</v>
      </c>
      <c r="C1989" s="252" t="s">
        <v>40</v>
      </c>
      <c r="J1989" s="34" t="s">
        <v>0</v>
      </c>
      <c r="L1989" s="62" t="s">
        <v>41</v>
      </c>
      <c r="M1989" s="34">
        <v>25292</v>
      </c>
      <c r="N1989" s="67" t="s">
        <v>42</v>
      </c>
    </row>
    <row r="1990" spans="2:14" ht="17" x14ac:dyDescent="0.2">
      <c r="B1990" s="215" t="s">
        <v>99</v>
      </c>
      <c r="C1990" s="252" t="s">
        <v>40</v>
      </c>
      <c r="J1990" s="34" t="s">
        <v>0</v>
      </c>
      <c r="L1990" s="62" t="s">
        <v>41</v>
      </c>
      <c r="M1990" s="34">
        <v>25292</v>
      </c>
      <c r="N1990" s="67" t="s">
        <v>42</v>
      </c>
    </row>
    <row r="1991" spans="2:14" ht="32" x14ac:dyDescent="0.2">
      <c r="B1991" s="217" t="s">
        <v>466</v>
      </c>
      <c r="C1991" s="252" t="s">
        <v>40</v>
      </c>
      <c r="J1991" s="34" t="s">
        <v>0</v>
      </c>
      <c r="L1991" s="62" t="s">
        <v>41</v>
      </c>
      <c r="M1991" s="34">
        <v>25292</v>
      </c>
      <c r="N1991" s="67" t="s">
        <v>42</v>
      </c>
    </row>
    <row r="1992" spans="2:14" ht="34" x14ac:dyDescent="0.2">
      <c r="B1992" s="132" t="s">
        <v>116</v>
      </c>
      <c r="N1992" s="67" t="s">
        <v>45</v>
      </c>
    </row>
    <row r="1993" spans="2:14" ht="64" x14ac:dyDescent="0.2">
      <c r="B1993" s="143" t="s">
        <v>117</v>
      </c>
      <c r="C1993" s="19" t="s">
        <v>40</v>
      </c>
      <c r="J1993" s="210" t="s">
        <v>92</v>
      </c>
      <c r="L1993" s="62" t="s">
        <v>41</v>
      </c>
      <c r="M1993" s="34">
        <v>25292</v>
      </c>
      <c r="N1993" s="67" t="s">
        <v>42</v>
      </c>
    </row>
    <row r="1994" spans="2:14" ht="64" x14ac:dyDescent="0.2">
      <c r="B1994" s="143" t="s">
        <v>118</v>
      </c>
      <c r="C1994" s="19" t="s">
        <v>40</v>
      </c>
      <c r="J1994" s="210" t="s">
        <v>92</v>
      </c>
      <c r="L1994" s="62" t="s">
        <v>41</v>
      </c>
      <c r="M1994" s="34">
        <v>25292</v>
      </c>
      <c r="N1994" s="67" t="s">
        <v>42</v>
      </c>
    </row>
    <row r="1995" spans="2:14" ht="17" x14ac:dyDescent="0.2">
      <c r="B1995" s="143" t="s">
        <v>119</v>
      </c>
      <c r="C1995" s="19" t="s">
        <v>40</v>
      </c>
      <c r="J1995" s="210" t="s">
        <v>92</v>
      </c>
      <c r="L1995" s="62" t="s">
        <v>41</v>
      </c>
      <c r="M1995" s="34">
        <v>25292</v>
      </c>
      <c r="N1995" s="67" t="s">
        <v>42</v>
      </c>
    </row>
    <row r="1996" spans="2:14" ht="32" x14ac:dyDescent="0.2">
      <c r="B1996" s="143" t="s">
        <v>120</v>
      </c>
      <c r="C1996" s="19" t="s">
        <v>40</v>
      </c>
      <c r="J1996" s="210" t="s">
        <v>92</v>
      </c>
      <c r="L1996" s="62" t="s">
        <v>41</v>
      </c>
      <c r="M1996" s="34">
        <v>25292</v>
      </c>
      <c r="N1996" s="67" t="s">
        <v>42</v>
      </c>
    </row>
    <row r="1997" spans="2:14" ht="17" x14ac:dyDescent="0.2">
      <c r="B1997" s="128" t="s">
        <v>121</v>
      </c>
      <c r="C1997" s="19"/>
      <c r="N1997" s="67" t="s">
        <v>45</v>
      </c>
    </row>
    <row r="1998" spans="2:14" ht="17" x14ac:dyDescent="0.2">
      <c r="B1998" s="145" t="s">
        <v>122</v>
      </c>
      <c r="C1998" s="19" t="s">
        <v>40</v>
      </c>
      <c r="J1998" s="34" t="s">
        <v>0</v>
      </c>
      <c r="L1998" s="62" t="s">
        <v>41</v>
      </c>
      <c r="M1998" s="34">
        <v>25292</v>
      </c>
      <c r="N1998" s="67" t="s">
        <v>42</v>
      </c>
    </row>
    <row r="1999" spans="2:14" ht="17" x14ac:dyDescent="0.2">
      <c r="B1999" s="139" t="s">
        <v>123</v>
      </c>
      <c r="C1999" s="19" t="s">
        <v>40</v>
      </c>
      <c r="J1999" s="34" t="s">
        <v>0</v>
      </c>
      <c r="L1999" s="62" t="s">
        <v>41</v>
      </c>
      <c r="M1999" s="34">
        <v>25292</v>
      </c>
      <c r="N1999" s="67" t="s">
        <v>42</v>
      </c>
    </row>
    <row r="2000" spans="2:14" ht="17" x14ac:dyDescent="0.2">
      <c r="B2000" s="260" t="s">
        <v>360</v>
      </c>
      <c r="C2000" s="19" t="s">
        <v>40</v>
      </c>
      <c r="J2000" s="34" t="s">
        <v>0</v>
      </c>
      <c r="L2000" s="62" t="s">
        <v>41</v>
      </c>
      <c r="M2000" s="34">
        <v>25292</v>
      </c>
      <c r="N2000" s="67" t="s">
        <v>42</v>
      </c>
    </row>
    <row r="2001" spans="2:14" ht="17" x14ac:dyDescent="0.2">
      <c r="B2001" s="139" t="s">
        <v>125</v>
      </c>
      <c r="C2001" s="19" t="s">
        <v>40</v>
      </c>
      <c r="J2001" s="34" t="s">
        <v>0</v>
      </c>
      <c r="L2001" s="62" t="s">
        <v>41</v>
      </c>
      <c r="M2001" s="34">
        <v>25292</v>
      </c>
      <c r="N2001" s="67" t="s">
        <v>42</v>
      </c>
    </row>
    <row r="2002" spans="2:14" ht="17" x14ac:dyDescent="0.2">
      <c r="B2002" s="145" t="s">
        <v>126</v>
      </c>
      <c r="C2002" s="19" t="s">
        <v>40</v>
      </c>
      <c r="J2002" s="34" t="s">
        <v>0</v>
      </c>
      <c r="L2002" s="62" t="s">
        <v>41</v>
      </c>
      <c r="M2002" s="34">
        <v>25292</v>
      </c>
      <c r="N2002" s="67" t="s">
        <v>42</v>
      </c>
    </row>
    <row r="2003" spans="2:14" ht="17" x14ac:dyDescent="0.2">
      <c r="B2003" s="166" t="s">
        <v>467</v>
      </c>
      <c r="C2003" s="19" t="s">
        <v>40</v>
      </c>
      <c r="J2003" s="34" t="s">
        <v>0</v>
      </c>
      <c r="L2003" s="62" t="s">
        <v>41</v>
      </c>
      <c r="M2003" s="34">
        <v>25292</v>
      </c>
      <c r="N2003" s="67" t="s">
        <v>42</v>
      </c>
    </row>
    <row r="2004" spans="2:14" ht="17" x14ac:dyDescent="0.2">
      <c r="B2004" s="138" t="s">
        <v>362</v>
      </c>
      <c r="C2004" s="19" t="s">
        <v>40</v>
      </c>
      <c r="J2004" s="34" t="s">
        <v>0</v>
      </c>
      <c r="L2004" s="62" t="s">
        <v>41</v>
      </c>
      <c r="M2004" s="34">
        <v>25292</v>
      </c>
      <c r="N2004" s="67" t="s">
        <v>42</v>
      </c>
    </row>
    <row r="2005" spans="2:14" ht="17" x14ac:dyDescent="0.2">
      <c r="B2005" s="220" t="s">
        <v>129</v>
      </c>
      <c r="C2005" s="19" t="s">
        <v>40</v>
      </c>
      <c r="J2005" s="34" t="s">
        <v>0</v>
      </c>
      <c r="L2005" s="62" t="s">
        <v>41</v>
      </c>
      <c r="M2005" s="34">
        <v>25292</v>
      </c>
      <c r="N2005" s="67" t="s">
        <v>42</v>
      </c>
    </row>
    <row r="2006" spans="2:14" ht="17" x14ac:dyDescent="0.2">
      <c r="B2006" s="138" t="s">
        <v>130</v>
      </c>
      <c r="C2006" s="19" t="s">
        <v>40</v>
      </c>
      <c r="J2006" s="34" t="s">
        <v>0</v>
      </c>
      <c r="L2006" s="62" t="s">
        <v>41</v>
      </c>
      <c r="M2006" s="34">
        <v>25292</v>
      </c>
      <c r="N2006" s="67" t="s">
        <v>42</v>
      </c>
    </row>
    <row r="2007" spans="2:14" ht="17" x14ac:dyDescent="0.2">
      <c r="B2007" s="147" t="s">
        <v>131</v>
      </c>
      <c r="C2007" s="19" t="s">
        <v>40</v>
      </c>
      <c r="J2007" s="34" t="s">
        <v>0</v>
      </c>
      <c r="L2007" s="62" t="s">
        <v>41</v>
      </c>
      <c r="M2007" s="34">
        <v>25292</v>
      </c>
      <c r="N2007" s="67" t="s">
        <v>42</v>
      </c>
    </row>
    <row r="2008" spans="2:14" ht="17" x14ac:dyDescent="0.2">
      <c r="B2008" s="147" t="s">
        <v>132</v>
      </c>
      <c r="C2008" s="19" t="s">
        <v>40</v>
      </c>
      <c r="J2008" s="34" t="s">
        <v>0</v>
      </c>
      <c r="L2008" s="62" t="s">
        <v>41</v>
      </c>
      <c r="M2008" s="34">
        <v>25292</v>
      </c>
      <c r="N2008" s="67" t="s">
        <v>42</v>
      </c>
    </row>
    <row r="2009" spans="2:14" ht="17" x14ac:dyDescent="0.2">
      <c r="B2009" s="147" t="s">
        <v>133</v>
      </c>
      <c r="C2009" s="19" t="s">
        <v>40</v>
      </c>
      <c r="J2009" s="34" t="s">
        <v>0</v>
      </c>
      <c r="L2009" s="62" t="s">
        <v>41</v>
      </c>
      <c r="M2009" s="34">
        <v>25292</v>
      </c>
      <c r="N2009" s="67" t="s">
        <v>42</v>
      </c>
    </row>
    <row r="2010" spans="2:14" ht="17" x14ac:dyDescent="0.2">
      <c r="B2010" s="147" t="s">
        <v>134</v>
      </c>
      <c r="C2010" s="19" t="s">
        <v>40</v>
      </c>
      <c r="J2010" s="34" t="s">
        <v>0</v>
      </c>
      <c r="L2010" s="62" t="s">
        <v>41</v>
      </c>
      <c r="M2010" s="34">
        <v>25292</v>
      </c>
      <c r="N2010" s="67" t="s">
        <v>42</v>
      </c>
    </row>
    <row r="2011" spans="2:14" ht="17" x14ac:dyDescent="0.2">
      <c r="B2011" s="147" t="s">
        <v>135</v>
      </c>
      <c r="C2011" s="19" t="s">
        <v>40</v>
      </c>
      <c r="J2011" s="34" t="s">
        <v>0</v>
      </c>
      <c r="L2011" s="62" t="s">
        <v>41</v>
      </c>
      <c r="M2011" s="34">
        <v>25292</v>
      </c>
      <c r="N2011" s="67" t="s">
        <v>42</v>
      </c>
    </row>
    <row r="2012" spans="2:14" ht="17" x14ac:dyDescent="0.2">
      <c r="B2012" s="147" t="s">
        <v>136</v>
      </c>
      <c r="C2012" s="19" t="s">
        <v>40</v>
      </c>
      <c r="J2012" s="34" t="s">
        <v>0</v>
      </c>
      <c r="L2012" s="62" t="s">
        <v>41</v>
      </c>
      <c r="M2012" s="34">
        <v>25292</v>
      </c>
      <c r="N2012" s="67" t="s">
        <v>42</v>
      </c>
    </row>
    <row r="2013" spans="2:14" ht="20" x14ac:dyDescent="0.25">
      <c r="B2013" s="230" t="s">
        <v>238</v>
      </c>
      <c r="C2013" s="19"/>
      <c r="N2013" s="67" t="s">
        <v>45</v>
      </c>
    </row>
    <row r="2014" spans="2:14" ht="17" x14ac:dyDescent="0.2">
      <c r="B2014" s="147" t="s">
        <v>239</v>
      </c>
      <c r="C2014" s="19" t="s">
        <v>40</v>
      </c>
      <c r="J2014" s="34" t="s">
        <v>0</v>
      </c>
      <c r="L2014" s="62" t="s">
        <v>41</v>
      </c>
      <c r="M2014" s="34">
        <v>25292</v>
      </c>
      <c r="N2014" s="67" t="s">
        <v>42</v>
      </c>
    </row>
    <row r="2015" spans="2:14" ht="23" x14ac:dyDescent="0.3">
      <c r="B2015" s="148" t="s">
        <v>137</v>
      </c>
      <c r="C2015" s="19"/>
      <c r="N2015" s="67" t="s">
        <v>45</v>
      </c>
    </row>
    <row r="2016" spans="2:14" ht="23" x14ac:dyDescent="0.3">
      <c r="B2016" s="148" t="s">
        <v>138</v>
      </c>
      <c r="C2016" s="19"/>
      <c r="N2016" s="67" t="s">
        <v>45</v>
      </c>
    </row>
    <row r="2017" spans="2:14" ht="17" x14ac:dyDescent="0.2">
      <c r="B2017" s="147" t="s">
        <v>330</v>
      </c>
      <c r="C2017" s="19" t="s">
        <v>40</v>
      </c>
      <c r="J2017" s="34" t="s">
        <v>0</v>
      </c>
      <c r="L2017" s="62" t="s">
        <v>41</v>
      </c>
      <c r="M2017" s="34">
        <v>25292</v>
      </c>
      <c r="N2017" s="67" t="s">
        <v>42</v>
      </c>
    </row>
    <row r="2018" spans="2:14" ht="34" x14ac:dyDescent="0.2">
      <c r="B2018" s="147" t="s">
        <v>331</v>
      </c>
      <c r="C2018" s="19" t="s">
        <v>40</v>
      </c>
      <c r="J2018" s="34" t="s">
        <v>0</v>
      </c>
      <c r="L2018" s="62" t="s">
        <v>41</v>
      </c>
      <c r="M2018" s="34">
        <v>25292</v>
      </c>
      <c r="N2018" s="67" t="s">
        <v>42</v>
      </c>
    </row>
    <row r="2019" spans="2:14" ht="17" x14ac:dyDescent="0.2">
      <c r="B2019" s="147" t="s">
        <v>332</v>
      </c>
      <c r="C2019" s="19" t="s">
        <v>40</v>
      </c>
      <c r="J2019" s="34" t="s">
        <v>0</v>
      </c>
      <c r="L2019" s="62" t="s">
        <v>41</v>
      </c>
      <c r="M2019" s="34">
        <v>25292</v>
      </c>
      <c r="N2019" s="67" t="s">
        <v>42</v>
      </c>
    </row>
    <row r="2020" spans="2:14" ht="17" x14ac:dyDescent="0.2">
      <c r="B2020" s="147" t="s">
        <v>333</v>
      </c>
      <c r="C2020" s="19" t="s">
        <v>40</v>
      </c>
      <c r="J2020" s="34" t="s">
        <v>0</v>
      </c>
      <c r="L2020" s="62" t="s">
        <v>41</v>
      </c>
      <c r="M2020" s="34">
        <v>25292</v>
      </c>
      <c r="N2020" s="67" t="s">
        <v>42</v>
      </c>
    </row>
    <row r="2021" spans="2:14" ht="17" x14ac:dyDescent="0.2">
      <c r="B2021" s="147" t="s">
        <v>143</v>
      </c>
      <c r="C2021" s="19" t="s">
        <v>40</v>
      </c>
      <c r="J2021" s="34" t="s">
        <v>0</v>
      </c>
      <c r="L2021" s="62" t="s">
        <v>41</v>
      </c>
      <c r="M2021" s="34">
        <v>25292</v>
      </c>
      <c r="N2021" s="67" t="s">
        <v>42</v>
      </c>
    </row>
    <row r="2022" spans="2:14" ht="23" x14ac:dyDescent="0.3">
      <c r="B2022" s="148" t="s">
        <v>144</v>
      </c>
      <c r="C2022" s="19"/>
      <c r="N2022" s="67" t="s">
        <v>45</v>
      </c>
    </row>
    <row r="2023" spans="2:14" ht="17" x14ac:dyDescent="0.2">
      <c r="B2023" s="147" t="s">
        <v>145</v>
      </c>
      <c r="C2023" s="19" t="s">
        <v>40</v>
      </c>
      <c r="J2023" s="34" t="s">
        <v>0</v>
      </c>
      <c r="L2023" s="62" t="s">
        <v>41</v>
      </c>
      <c r="M2023" s="34">
        <v>25292</v>
      </c>
      <c r="N2023" s="67" t="s">
        <v>42</v>
      </c>
    </row>
    <row r="2024" spans="2:14" ht="17" x14ac:dyDescent="0.2">
      <c r="B2024" s="147" t="s">
        <v>363</v>
      </c>
      <c r="C2024" s="19" t="s">
        <v>40</v>
      </c>
      <c r="J2024" s="34" t="s">
        <v>0</v>
      </c>
      <c r="L2024" s="62" t="s">
        <v>41</v>
      </c>
      <c r="M2024" s="34">
        <v>25292</v>
      </c>
      <c r="N2024" s="67" t="s">
        <v>42</v>
      </c>
    </row>
    <row r="2025" spans="2:14" ht="17" x14ac:dyDescent="0.2">
      <c r="B2025" s="147" t="s">
        <v>364</v>
      </c>
      <c r="C2025" s="19" t="s">
        <v>40</v>
      </c>
      <c r="J2025" s="34" t="s">
        <v>0</v>
      </c>
      <c r="L2025" s="62" t="s">
        <v>41</v>
      </c>
      <c r="M2025" s="34">
        <v>25292</v>
      </c>
      <c r="N2025" s="67" t="s">
        <v>42</v>
      </c>
    </row>
    <row r="2026" spans="2:14" ht="17" x14ac:dyDescent="0.2">
      <c r="B2026" s="147" t="s">
        <v>148</v>
      </c>
      <c r="C2026" s="19" t="s">
        <v>40</v>
      </c>
      <c r="J2026" s="34" t="s">
        <v>0</v>
      </c>
      <c r="L2026" s="62" t="s">
        <v>41</v>
      </c>
      <c r="M2026" s="34">
        <v>25292</v>
      </c>
      <c r="N2026" s="67" t="s">
        <v>42</v>
      </c>
    </row>
    <row r="2027" spans="2:14" ht="17" x14ac:dyDescent="0.2">
      <c r="B2027" s="147" t="s">
        <v>149</v>
      </c>
      <c r="C2027" s="19" t="s">
        <v>40</v>
      </c>
      <c r="J2027" s="34" t="s">
        <v>0</v>
      </c>
      <c r="L2027" s="62" t="s">
        <v>41</v>
      </c>
      <c r="M2027" s="34">
        <v>25292</v>
      </c>
      <c r="N2027" s="67" t="s">
        <v>42</v>
      </c>
    </row>
    <row r="2028" spans="2:14" ht="20" x14ac:dyDescent="0.25">
      <c r="B2028" s="149" t="s">
        <v>150</v>
      </c>
      <c r="C2028" s="19"/>
      <c r="N2028" s="67" t="s">
        <v>45</v>
      </c>
    </row>
    <row r="2029" spans="2:14" ht="17" x14ac:dyDescent="0.2">
      <c r="B2029" s="150" t="s">
        <v>151</v>
      </c>
      <c r="C2029" s="19"/>
      <c r="N2029" s="67" t="s">
        <v>45</v>
      </c>
    </row>
    <row r="2030" spans="2:14" ht="17" x14ac:dyDescent="0.2">
      <c r="B2030" s="151" t="s">
        <v>152</v>
      </c>
      <c r="C2030" s="19" t="s">
        <v>40</v>
      </c>
      <c r="J2030" s="34" t="s">
        <v>0</v>
      </c>
      <c r="L2030" s="62" t="s">
        <v>41</v>
      </c>
      <c r="M2030" s="34">
        <v>25292</v>
      </c>
      <c r="N2030" s="67" t="s">
        <v>42</v>
      </c>
    </row>
    <row r="2031" spans="2:14" ht="17" x14ac:dyDescent="0.2">
      <c r="B2031" s="151" t="s">
        <v>153</v>
      </c>
      <c r="C2031" s="19" t="s">
        <v>40</v>
      </c>
      <c r="J2031" s="34" t="s">
        <v>0</v>
      </c>
      <c r="L2031" s="62" t="s">
        <v>41</v>
      </c>
      <c r="M2031" s="34">
        <v>25292</v>
      </c>
      <c r="N2031" s="67" t="s">
        <v>42</v>
      </c>
    </row>
    <row r="2032" spans="2:14" ht="17" x14ac:dyDescent="0.2">
      <c r="B2032" s="152" t="s">
        <v>154</v>
      </c>
      <c r="C2032" s="19" t="s">
        <v>40</v>
      </c>
      <c r="J2032" s="34" t="s">
        <v>0</v>
      </c>
      <c r="L2032" s="62" t="s">
        <v>41</v>
      </c>
      <c r="M2032" s="34">
        <v>25292</v>
      </c>
      <c r="N2032" s="67" t="s">
        <v>42</v>
      </c>
    </row>
    <row r="2033" spans="2:14" ht="17" x14ac:dyDescent="0.2">
      <c r="B2033" s="143" t="s">
        <v>155</v>
      </c>
      <c r="C2033" s="19" t="s">
        <v>40</v>
      </c>
      <c r="J2033" s="34" t="s">
        <v>0</v>
      </c>
      <c r="L2033" s="62" t="s">
        <v>41</v>
      </c>
      <c r="M2033" s="34">
        <v>25292</v>
      </c>
      <c r="N2033" s="67" t="s">
        <v>42</v>
      </c>
    </row>
    <row r="2034" spans="2:14" ht="17" x14ac:dyDescent="0.2">
      <c r="B2034" s="153" t="s">
        <v>156</v>
      </c>
      <c r="J2034" s="34" t="s">
        <v>0</v>
      </c>
      <c r="N2034" s="67" t="s">
        <v>45</v>
      </c>
    </row>
    <row r="2035" spans="2:14" ht="17" x14ac:dyDescent="0.2">
      <c r="B2035" s="153" t="s">
        <v>157</v>
      </c>
      <c r="C2035" s="19"/>
      <c r="N2035" s="67" t="s">
        <v>45</v>
      </c>
    </row>
    <row r="2036" spans="2:14" ht="17" x14ac:dyDescent="0.2">
      <c r="B2036" s="154" t="s">
        <v>158</v>
      </c>
      <c r="C2036" s="19" t="s">
        <v>40</v>
      </c>
      <c r="J2036" s="34" t="s">
        <v>0</v>
      </c>
      <c r="L2036" s="62" t="s">
        <v>41</v>
      </c>
      <c r="M2036" s="34">
        <v>25292</v>
      </c>
      <c r="N2036" s="67" t="s">
        <v>42</v>
      </c>
    </row>
    <row r="2037" spans="2:14" ht="17" x14ac:dyDescent="0.2">
      <c r="B2037" s="155" t="s">
        <v>159</v>
      </c>
      <c r="C2037" s="19" t="s">
        <v>40</v>
      </c>
      <c r="J2037" s="34" t="s">
        <v>0</v>
      </c>
      <c r="L2037" s="62" t="s">
        <v>41</v>
      </c>
      <c r="M2037" s="34">
        <v>25292</v>
      </c>
      <c r="N2037" s="67" t="s">
        <v>42</v>
      </c>
    </row>
    <row r="2038" spans="2:14" ht="17" x14ac:dyDescent="0.2">
      <c r="B2038" s="151" t="s">
        <v>160</v>
      </c>
      <c r="C2038" s="19" t="s">
        <v>40</v>
      </c>
      <c r="J2038" s="34" t="s">
        <v>0</v>
      </c>
      <c r="L2038" s="62" t="s">
        <v>41</v>
      </c>
      <c r="M2038" s="34">
        <v>25292</v>
      </c>
      <c r="N2038" s="67" t="s">
        <v>42</v>
      </c>
    </row>
    <row r="2039" spans="2:14" ht="17" x14ac:dyDescent="0.2">
      <c r="B2039" s="153" t="s">
        <v>161</v>
      </c>
      <c r="C2039" s="19"/>
      <c r="N2039" s="67" t="s">
        <v>45</v>
      </c>
    </row>
    <row r="2040" spans="2:14" ht="17" x14ac:dyDescent="0.2">
      <c r="B2040" s="156" t="s">
        <v>162</v>
      </c>
      <c r="C2040" s="19"/>
      <c r="N2040" s="67" t="s">
        <v>45</v>
      </c>
    </row>
    <row r="2041" spans="2:14" ht="48" x14ac:dyDescent="0.2">
      <c r="B2041" s="151" t="s">
        <v>163</v>
      </c>
      <c r="C2041" s="19" t="s">
        <v>40</v>
      </c>
      <c r="J2041" s="34" t="s">
        <v>0</v>
      </c>
      <c r="L2041" s="62" t="s">
        <v>41</v>
      </c>
      <c r="M2041" s="34">
        <v>25292</v>
      </c>
      <c r="N2041" s="67" t="s">
        <v>42</v>
      </c>
    </row>
    <row r="2042" spans="2:14" ht="17" x14ac:dyDescent="0.2">
      <c r="B2042" s="138" t="s">
        <v>468</v>
      </c>
      <c r="C2042" s="19" t="s">
        <v>40</v>
      </c>
      <c r="J2042" s="34" t="s">
        <v>0</v>
      </c>
      <c r="L2042" s="62" t="s">
        <v>41</v>
      </c>
      <c r="M2042" s="34">
        <v>25292</v>
      </c>
      <c r="N2042" s="67" t="s">
        <v>42</v>
      </c>
    </row>
    <row r="2043" spans="2:14" ht="17" x14ac:dyDescent="0.2">
      <c r="B2043" s="156" t="s">
        <v>165</v>
      </c>
      <c r="C2043" s="19"/>
      <c r="N2043" s="67" t="s">
        <v>45</v>
      </c>
    </row>
    <row r="2044" spans="2:14" ht="48" x14ac:dyDescent="0.2">
      <c r="B2044" s="151" t="s">
        <v>166</v>
      </c>
      <c r="C2044" s="19" t="s">
        <v>40</v>
      </c>
      <c r="J2044" s="34" t="s">
        <v>0</v>
      </c>
      <c r="L2044" s="62" t="s">
        <v>41</v>
      </c>
      <c r="M2044" s="34">
        <v>25292</v>
      </c>
      <c r="N2044" s="67" t="s">
        <v>42</v>
      </c>
    </row>
    <row r="2045" spans="2:14" ht="17" x14ac:dyDescent="0.2">
      <c r="B2045" s="138" t="s">
        <v>167</v>
      </c>
      <c r="C2045" s="19" t="s">
        <v>40</v>
      </c>
      <c r="J2045" s="34" t="s">
        <v>0</v>
      </c>
      <c r="L2045" s="62" t="s">
        <v>41</v>
      </c>
      <c r="M2045" s="34">
        <v>25292</v>
      </c>
      <c r="N2045" s="67" t="s">
        <v>42</v>
      </c>
    </row>
    <row r="2046" spans="2:14" ht="17" x14ac:dyDescent="0.2">
      <c r="B2046" s="157" t="s">
        <v>168</v>
      </c>
      <c r="N2046" s="67" t="s">
        <v>45</v>
      </c>
    </row>
    <row r="2047" spans="2:14" ht="51" x14ac:dyDescent="0.2">
      <c r="B2047" s="158" t="s">
        <v>169</v>
      </c>
      <c r="C2047" s="19" t="s">
        <v>40</v>
      </c>
      <c r="J2047" s="34" t="s">
        <v>0</v>
      </c>
      <c r="L2047" s="62" t="s">
        <v>41</v>
      </c>
      <c r="M2047" s="34">
        <v>25292</v>
      </c>
      <c r="N2047" s="67" t="s">
        <v>42</v>
      </c>
    </row>
    <row r="2048" spans="2:14" ht="32" x14ac:dyDescent="0.2">
      <c r="B2048" s="159" t="s">
        <v>469</v>
      </c>
      <c r="C2048" s="19" t="s">
        <v>40</v>
      </c>
      <c r="J2048" s="34" t="s">
        <v>0</v>
      </c>
      <c r="L2048" s="62" t="s">
        <v>41</v>
      </c>
      <c r="M2048" s="34">
        <v>25292</v>
      </c>
      <c r="N2048" s="67" t="s">
        <v>42</v>
      </c>
    </row>
    <row r="2049" spans="2:14" ht="17" x14ac:dyDescent="0.2">
      <c r="B2049" s="157" t="s">
        <v>171</v>
      </c>
      <c r="C2049" s="19"/>
      <c r="N2049" s="67" t="s">
        <v>45</v>
      </c>
    </row>
    <row r="2050" spans="2:14" ht="48" x14ac:dyDescent="0.2">
      <c r="B2050" s="144" t="s">
        <v>172</v>
      </c>
      <c r="C2050" s="19" t="s">
        <v>40</v>
      </c>
      <c r="J2050" s="34" t="s">
        <v>0</v>
      </c>
      <c r="L2050" s="62" t="s">
        <v>41</v>
      </c>
      <c r="M2050" s="34">
        <v>25292</v>
      </c>
      <c r="N2050" s="67" t="s">
        <v>42</v>
      </c>
    </row>
    <row r="2051" spans="2:14" ht="17" x14ac:dyDescent="0.2">
      <c r="B2051" s="160" t="s">
        <v>173</v>
      </c>
      <c r="C2051" s="19" t="s">
        <v>40</v>
      </c>
      <c r="J2051" s="34" t="s">
        <v>0</v>
      </c>
      <c r="L2051" s="62" t="s">
        <v>41</v>
      </c>
      <c r="M2051" s="34">
        <v>25292</v>
      </c>
      <c r="N2051" s="67" t="s">
        <v>42</v>
      </c>
    </row>
    <row r="2052" spans="2:14" ht="17" x14ac:dyDescent="0.2">
      <c r="B2052" s="161" t="s">
        <v>174</v>
      </c>
      <c r="N2052" s="67" t="s">
        <v>45</v>
      </c>
    </row>
    <row r="2053" spans="2:14" ht="51" x14ac:dyDescent="0.2">
      <c r="B2053" s="161" t="s">
        <v>175</v>
      </c>
      <c r="C2053" s="19"/>
      <c r="N2053" s="67" t="s">
        <v>45</v>
      </c>
    </row>
    <row r="2054" spans="2:14" ht="17" x14ac:dyDescent="0.2">
      <c r="B2054" s="131" t="s">
        <v>176</v>
      </c>
      <c r="C2054" s="19" t="s">
        <v>40</v>
      </c>
      <c r="J2054" s="34" t="s">
        <v>0</v>
      </c>
      <c r="L2054" s="62" t="s">
        <v>41</v>
      </c>
      <c r="M2054" s="34">
        <v>25292</v>
      </c>
      <c r="N2054" s="67" t="s">
        <v>42</v>
      </c>
    </row>
    <row r="2055" spans="2:14" ht="17" x14ac:dyDescent="0.2">
      <c r="B2055" s="160" t="s">
        <v>177</v>
      </c>
      <c r="C2055" s="19" t="s">
        <v>40</v>
      </c>
      <c r="J2055" s="34" t="s">
        <v>0</v>
      </c>
      <c r="L2055" s="62" t="s">
        <v>41</v>
      </c>
      <c r="M2055" s="34">
        <v>25292</v>
      </c>
      <c r="N2055" s="67" t="s">
        <v>42</v>
      </c>
    </row>
    <row r="2056" spans="2:14" ht="17" x14ac:dyDescent="0.2">
      <c r="B2056" s="131" t="s">
        <v>178</v>
      </c>
      <c r="C2056" s="19" t="s">
        <v>40</v>
      </c>
      <c r="J2056" s="34" t="s">
        <v>0</v>
      </c>
      <c r="L2056" s="62" t="s">
        <v>41</v>
      </c>
      <c r="M2056" s="34">
        <v>25292</v>
      </c>
      <c r="N2056" s="67" t="s">
        <v>42</v>
      </c>
    </row>
    <row r="2057" spans="2:14" ht="68" x14ac:dyDescent="0.2">
      <c r="B2057" s="131" t="s">
        <v>470</v>
      </c>
      <c r="C2057" s="19" t="s">
        <v>40</v>
      </c>
      <c r="J2057" s="34" t="s">
        <v>0</v>
      </c>
      <c r="L2057" s="62" t="s">
        <v>41</v>
      </c>
      <c r="M2057" s="34">
        <v>25292</v>
      </c>
      <c r="N2057" s="67" t="s">
        <v>42</v>
      </c>
    </row>
    <row r="2058" spans="2:14" ht="17" x14ac:dyDescent="0.2">
      <c r="B2058" s="131" t="s">
        <v>180</v>
      </c>
      <c r="C2058" s="19" t="s">
        <v>40</v>
      </c>
      <c r="J2058" s="34" t="s">
        <v>0</v>
      </c>
      <c r="L2058" s="62" t="s">
        <v>41</v>
      </c>
      <c r="M2058" s="34">
        <v>25292</v>
      </c>
      <c r="N2058" s="67" t="s">
        <v>42</v>
      </c>
    </row>
    <row r="2059" spans="2:14" ht="68" x14ac:dyDescent="0.2">
      <c r="B2059" s="131" t="s">
        <v>290</v>
      </c>
      <c r="C2059" s="19" t="s">
        <v>40</v>
      </c>
      <c r="J2059" s="34" t="s">
        <v>0</v>
      </c>
      <c r="L2059" s="62" t="s">
        <v>41</v>
      </c>
      <c r="M2059" s="34">
        <v>25292</v>
      </c>
      <c r="N2059" s="67" t="s">
        <v>42</v>
      </c>
    </row>
    <row r="2060" spans="2:14" ht="17" x14ac:dyDescent="0.2">
      <c r="B2060" s="160" t="s">
        <v>182</v>
      </c>
      <c r="C2060" s="19" t="s">
        <v>40</v>
      </c>
      <c r="J2060" s="34" t="s">
        <v>0</v>
      </c>
      <c r="L2060" s="62" t="s">
        <v>41</v>
      </c>
      <c r="M2060" s="34">
        <v>25292</v>
      </c>
      <c r="N2060" s="67" t="s">
        <v>42</v>
      </c>
    </row>
    <row r="2061" spans="2:14" ht="68" x14ac:dyDescent="0.2">
      <c r="B2061" s="160" t="s">
        <v>471</v>
      </c>
      <c r="C2061" s="19" t="s">
        <v>40</v>
      </c>
      <c r="J2061" s="34" t="s">
        <v>0</v>
      </c>
      <c r="L2061" s="62" t="s">
        <v>41</v>
      </c>
      <c r="M2061" s="34">
        <v>25292</v>
      </c>
      <c r="N2061" s="67" t="s">
        <v>42</v>
      </c>
    </row>
    <row r="2062" spans="2:14" ht="17" x14ac:dyDescent="0.2">
      <c r="B2062" s="162" t="s">
        <v>184</v>
      </c>
      <c r="C2062" s="19" t="s">
        <v>40</v>
      </c>
      <c r="J2062" s="34" t="s">
        <v>0</v>
      </c>
      <c r="L2062" s="62" t="s">
        <v>41</v>
      </c>
      <c r="M2062" s="34">
        <v>25292</v>
      </c>
      <c r="N2062" s="67" t="s">
        <v>42</v>
      </c>
    </row>
    <row r="2063" spans="2:14" ht="17" x14ac:dyDescent="0.2">
      <c r="B2063" s="162" t="s">
        <v>185</v>
      </c>
      <c r="C2063" s="19" t="s">
        <v>40</v>
      </c>
      <c r="J2063" s="34" t="s">
        <v>0</v>
      </c>
      <c r="L2063" s="62" t="s">
        <v>41</v>
      </c>
      <c r="M2063" s="34">
        <v>25292</v>
      </c>
      <c r="N2063" s="67" t="s">
        <v>42</v>
      </c>
    </row>
    <row r="2064" spans="2:14" ht="17" x14ac:dyDescent="0.2">
      <c r="N2064" s="67" t="s">
        <v>45</v>
      </c>
    </row>
    <row r="2065" spans="2:14" ht="17" x14ac:dyDescent="0.2">
      <c r="N2065" s="67" t="s">
        <v>45</v>
      </c>
    </row>
    <row r="2066" spans="2:14" ht="17" x14ac:dyDescent="0.2">
      <c r="N2066" s="67" t="s">
        <v>45</v>
      </c>
    </row>
    <row r="2067" spans="2:14" ht="25" x14ac:dyDescent="0.3">
      <c r="B2067" s="125" t="s">
        <v>311</v>
      </c>
      <c r="C2067" s="59"/>
      <c r="N2067" s="67" t="s">
        <v>45</v>
      </c>
    </row>
    <row r="2068" spans="2:14" ht="69" x14ac:dyDescent="0.2">
      <c r="B2068" s="170" t="s">
        <v>472</v>
      </c>
      <c r="C2068" s="19"/>
      <c r="N2068" s="67" t="s">
        <v>45</v>
      </c>
    </row>
    <row r="2069" spans="2:14" ht="17" x14ac:dyDescent="0.2">
      <c r="B2069" s="127" t="s">
        <v>31</v>
      </c>
      <c r="C2069" s="19"/>
      <c r="N2069" s="67" t="s">
        <v>45</v>
      </c>
    </row>
    <row r="2070" spans="2:14" ht="17" x14ac:dyDescent="0.2">
      <c r="B2070" s="163" t="s">
        <v>328</v>
      </c>
      <c r="N2070" s="67" t="s">
        <v>45</v>
      </c>
    </row>
    <row r="2071" spans="2:14" ht="17" x14ac:dyDescent="0.2">
      <c r="B2071" s="128" t="s">
        <v>33</v>
      </c>
      <c r="N2071" s="67" t="s">
        <v>45</v>
      </c>
    </row>
    <row r="2072" spans="2:14" ht="17" x14ac:dyDescent="0.2">
      <c r="B2072" s="127" t="s">
        <v>34</v>
      </c>
      <c r="C2072" s="19"/>
      <c r="N2072" s="67" t="s">
        <v>45</v>
      </c>
    </row>
    <row r="2073" spans="2:14" ht="51" x14ac:dyDescent="0.2">
      <c r="B2073" s="163" t="s">
        <v>35</v>
      </c>
      <c r="C2073" s="19"/>
      <c r="N2073" s="67" t="s">
        <v>45</v>
      </c>
    </row>
    <row r="2074" spans="2:14" ht="17" x14ac:dyDescent="0.2">
      <c r="B2074" s="129" t="s">
        <v>36</v>
      </c>
      <c r="C2074" s="19"/>
      <c r="N2074" s="67" t="s">
        <v>45</v>
      </c>
    </row>
    <row r="2075" spans="2:14" ht="17" x14ac:dyDescent="0.2">
      <c r="B2075" s="129" t="s">
        <v>37</v>
      </c>
      <c r="C2075" s="19"/>
      <c r="N2075" s="67" t="s">
        <v>45</v>
      </c>
    </row>
    <row r="2076" spans="2:14" ht="17" x14ac:dyDescent="0.2">
      <c r="B2076" s="128" t="s">
        <v>38</v>
      </c>
      <c r="C2076" s="19"/>
      <c r="N2076" s="67" t="s">
        <v>45</v>
      </c>
    </row>
    <row r="2077" spans="2:14" ht="32" x14ac:dyDescent="0.2">
      <c r="B2077" s="164" t="s">
        <v>39</v>
      </c>
      <c r="C2077" s="19" t="s">
        <v>40</v>
      </c>
      <c r="E2077" s="34" t="s">
        <v>0</v>
      </c>
      <c r="G2077" s="62" t="s">
        <v>41</v>
      </c>
      <c r="H2077" s="34">
        <v>18223</v>
      </c>
      <c r="N2077" s="67" t="s">
        <v>42</v>
      </c>
    </row>
    <row r="2078" spans="2:14" ht="32" x14ac:dyDescent="0.2">
      <c r="B2078" s="130" t="s">
        <v>43</v>
      </c>
      <c r="C2078" s="19" t="s">
        <v>40</v>
      </c>
      <c r="E2078" s="34" t="s">
        <v>0</v>
      </c>
      <c r="G2078" s="62" t="s">
        <v>41</v>
      </c>
      <c r="H2078" s="34">
        <v>18223</v>
      </c>
      <c r="N2078" s="67" t="s">
        <v>42</v>
      </c>
    </row>
    <row r="2079" spans="2:14" ht="17" x14ac:dyDescent="0.2">
      <c r="B2079" s="128" t="s">
        <v>44</v>
      </c>
      <c r="C2079" s="19"/>
      <c r="N2079" s="67" t="s">
        <v>45</v>
      </c>
    </row>
    <row r="2080" spans="2:14" ht="17" x14ac:dyDescent="0.2">
      <c r="B2080" s="130" t="s">
        <v>46</v>
      </c>
      <c r="C2080" s="19" t="s">
        <v>40</v>
      </c>
      <c r="E2080" s="34" t="s">
        <v>0</v>
      </c>
      <c r="G2080" s="62" t="s">
        <v>41</v>
      </c>
      <c r="H2080" s="34">
        <v>18223</v>
      </c>
      <c r="N2080" s="67" t="s">
        <v>42</v>
      </c>
    </row>
    <row r="2081" spans="2:14" ht="17" x14ac:dyDescent="0.2">
      <c r="B2081" s="128" t="s">
        <v>47</v>
      </c>
      <c r="N2081" s="67" t="s">
        <v>45</v>
      </c>
    </row>
    <row r="2082" spans="2:14" ht="17" x14ac:dyDescent="0.2">
      <c r="B2082" s="131" t="s">
        <v>48</v>
      </c>
      <c r="C2082" s="19" t="s">
        <v>40</v>
      </c>
      <c r="E2082" s="34" t="s">
        <v>0</v>
      </c>
      <c r="G2082" s="62" t="s">
        <v>41</v>
      </c>
      <c r="H2082" s="34">
        <v>18223</v>
      </c>
      <c r="N2082" s="67" t="s">
        <v>42</v>
      </c>
    </row>
    <row r="2083" spans="2:14" ht="17" x14ac:dyDescent="0.2">
      <c r="B2083" s="131" t="s">
        <v>49</v>
      </c>
      <c r="C2083" s="19" t="s">
        <v>40</v>
      </c>
      <c r="E2083" s="34" t="s">
        <v>0</v>
      </c>
      <c r="G2083" s="62" t="s">
        <v>41</v>
      </c>
      <c r="H2083" s="34">
        <v>18223</v>
      </c>
      <c r="N2083" s="67" t="s">
        <v>42</v>
      </c>
    </row>
    <row r="2084" spans="2:14" ht="34" x14ac:dyDescent="0.2">
      <c r="B2084" s="131" t="s">
        <v>50</v>
      </c>
      <c r="C2084" s="19" t="s">
        <v>40</v>
      </c>
      <c r="E2084" s="34" t="s">
        <v>0</v>
      </c>
      <c r="G2084" s="62" t="s">
        <v>41</v>
      </c>
      <c r="H2084" s="34">
        <v>18223</v>
      </c>
      <c r="N2084" s="67" t="s">
        <v>42</v>
      </c>
    </row>
    <row r="2085" spans="2:14" ht="17" x14ac:dyDescent="0.2">
      <c r="B2085" s="128" t="s">
        <v>51</v>
      </c>
      <c r="C2085" s="19"/>
      <c r="N2085" s="67" t="s">
        <v>45</v>
      </c>
    </row>
    <row r="2086" spans="2:14" ht="34.5" customHeight="1" x14ac:dyDescent="0.2">
      <c r="B2086" s="131" t="s">
        <v>52</v>
      </c>
      <c r="C2086" s="19" t="s">
        <v>40</v>
      </c>
      <c r="E2086" s="34" t="s">
        <v>0</v>
      </c>
      <c r="G2086" s="62" t="s">
        <v>41</v>
      </c>
      <c r="H2086" s="34">
        <v>18223</v>
      </c>
      <c r="N2086" s="67" t="s">
        <v>42</v>
      </c>
    </row>
    <row r="2087" spans="2:14" ht="17" x14ac:dyDescent="0.2">
      <c r="B2087" s="132" t="s">
        <v>53</v>
      </c>
      <c r="C2087" s="19"/>
      <c r="N2087" s="67" t="s">
        <v>45</v>
      </c>
    </row>
    <row r="2088" spans="2:14" ht="51" x14ac:dyDescent="0.2">
      <c r="B2088" s="133" t="s">
        <v>54</v>
      </c>
      <c r="C2088" s="19" t="s">
        <v>40</v>
      </c>
      <c r="E2088" s="34" t="s">
        <v>0</v>
      </c>
      <c r="G2088" s="62" t="s">
        <v>41</v>
      </c>
      <c r="H2088" s="34">
        <v>18223</v>
      </c>
      <c r="N2088" s="67" t="s">
        <v>42</v>
      </c>
    </row>
    <row r="2089" spans="2:14" ht="17" x14ac:dyDescent="0.2">
      <c r="B2089" s="128" t="s">
        <v>55</v>
      </c>
      <c r="C2089" s="19"/>
      <c r="N2089" s="67" t="s">
        <v>45</v>
      </c>
    </row>
    <row r="2090" spans="2:14" ht="51" x14ac:dyDescent="0.2">
      <c r="B2090" s="134" t="s">
        <v>56</v>
      </c>
      <c r="C2090" s="19" t="s">
        <v>57</v>
      </c>
      <c r="E2090" s="34" t="s">
        <v>0</v>
      </c>
      <c r="G2090" s="62" t="s">
        <v>41</v>
      </c>
      <c r="H2090" s="34">
        <v>18223</v>
      </c>
      <c r="N2090" s="67" t="s">
        <v>42</v>
      </c>
    </row>
    <row r="2091" spans="2:14" ht="17" x14ac:dyDescent="0.2">
      <c r="B2091" s="128" t="s">
        <v>58</v>
      </c>
      <c r="N2091" s="67" t="s">
        <v>45</v>
      </c>
    </row>
    <row r="2092" spans="2:14" ht="51" x14ac:dyDescent="0.2">
      <c r="B2092" s="131" t="s">
        <v>59</v>
      </c>
      <c r="C2092" s="19" t="s">
        <v>40</v>
      </c>
      <c r="E2092" s="34" t="s">
        <v>0</v>
      </c>
      <c r="G2092" s="62" t="s">
        <v>41</v>
      </c>
      <c r="H2092" s="34">
        <v>18223</v>
      </c>
      <c r="N2092" s="67" t="s">
        <v>42</v>
      </c>
    </row>
    <row r="2093" spans="2:14" ht="17" x14ac:dyDescent="0.2">
      <c r="B2093" s="132" t="s">
        <v>60</v>
      </c>
      <c r="C2093" s="19"/>
      <c r="N2093" s="67" t="s">
        <v>45</v>
      </c>
    </row>
    <row r="2094" spans="2:14" ht="17" x14ac:dyDescent="0.2">
      <c r="B2094" s="135" t="s">
        <v>61</v>
      </c>
      <c r="C2094" s="19" t="s">
        <v>40</v>
      </c>
      <c r="E2094" s="34" t="s">
        <v>0</v>
      </c>
      <c r="G2094" s="62" t="s">
        <v>41</v>
      </c>
      <c r="H2094" s="34">
        <v>18223</v>
      </c>
      <c r="N2094" s="67" t="s">
        <v>42</v>
      </c>
    </row>
    <row r="2095" spans="2:14" ht="17" x14ac:dyDescent="0.2">
      <c r="B2095" s="136" t="s">
        <v>62</v>
      </c>
      <c r="C2095" s="19" t="s">
        <v>40</v>
      </c>
      <c r="E2095" s="34" t="s">
        <v>0</v>
      </c>
      <c r="G2095" s="62" t="s">
        <v>41</v>
      </c>
      <c r="H2095" s="34">
        <v>18223</v>
      </c>
      <c r="N2095" s="67" t="s">
        <v>42</v>
      </c>
    </row>
    <row r="2096" spans="2:14" ht="96" x14ac:dyDescent="0.2">
      <c r="B2096" s="211" t="s">
        <v>63</v>
      </c>
      <c r="C2096" s="19" t="s">
        <v>40</v>
      </c>
      <c r="E2096" s="34" t="s">
        <v>0</v>
      </c>
      <c r="G2096" s="62" t="s">
        <v>41</v>
      </c>
      <c r="H2096" s="34">
        <v>18223</v>
      </c>
      <c r="N2096" s="67" t="s">
        <v>42</v>
      </c>
    </row>
    <row r="2097" spans="2:14" ht="17" x14ac:dyDescent="0.2">
      <c r="B2097" s="136" t="s">
        <v>64</v>
      </c>
      <c r="C2097" s="19" t="s">
        <v>40</v>
      </c>
      <c r="E2097" s="34" t="s">
        <v>0</v>
      </c>
      <c r="G2097" s="62" t="s">
        <v>41</v>
      </c>
      <c r="H2097" s="34">
        <v>18223</v>
      </c>
      <c r="N2097" s="67" t="s">
        <v>42</v>
      </c>
    </row>
    <row r="2098" spans="2:14" ht="17" x14ac:dyDescent="0.2">
      <c r="B2098" s="128" t="s">
        <v>65</v>
      </c>
      <c r="N2098" s="67" t="s">
        <v>45</v>
      </c>
    </row>
    <row r="2099" spans="2:14" ht="17" x14ac:dyDescent="0.2">
      <c r="B2099" s="174" t="s">
        <v>66</v>
      </c>
      <c r="C2099" s="19" t="s">
        <v>40</v>
      </c>
      <c r="E2099" s="34" t="s">
        <v>0</v>
      </c>
      <c r="G2099" s="62" t="s">
        <v>41</v>
      </c>
      <c r="H2099" s="34">
        <v>18223</v>
      </c>
      <c r="N2099" s="67" t="s">
        <v>42</v>
      </c>
    </row>
    <row r="2100" spans="2:14" ht="17" x14ac:dyDescent="0.2">
      <c r="B2100" s="166" t="s">
        <v>67</v>
      </c>
      <c r="C2100" s="19" t="s">
        <v>40</v>
      </c>
      <c r="E2100" s="34" t="s">
        <v>0</v>
      </c>
      <c r="G2100" s="62" t="s">
        <v>41</v>
      </c>
      <c r="H2100" s="34">
        <v>18223</v>
      </c>
      <c r="N2100" s="67" t="s">
        <v>42</v>
      </c>
    </row>
    <row r="2101" spans="2:14" ht="17" x14ac:dyDescent="0.2">
      <c r="B2101" s="166" t="s">
        <v>68</v>
      </c>
      <c r="C2101" s="19" t="s">
        <v>40</v>
      </c>
      <c r="E2101" s="34" t="s">
        <v>0</v>
      </c>
      <c r="G2101" s="62" t="s">
        <v>41</v>
      </c>
      <c r="H2101" s="34">
        <v>18223</v>
      </c>
      <c r="N2101" s="67" t="s">
        <v>42</v>
      </c>
    </row>
    <row r="2102" spans="2:14" ht="17" x14ac:dyDescent="0.2">
      <c r="B2102" s="166" t="s">
        <v>69</v>
      </c>
      <c r="C2102" s="19" t="s">
        <v>40</v>
      </c>
      <c r="E2102" s="34" t="s">
        <v>0</v>
      </c>
      <c r="G2102" s="62" t="s">
        <v>41</v>
      </c>
      <c r="H2102" s="34">
        <v>18223</v>
      </c>
      <c r="N2102" s="67" t="s">
        <v>42</v>
      </c>
    </row>
    <row r="2103" spans="2:14" ht="17" x14ac:dyDescent="0.2">
      <c r="B2103" s="166" t="s">
        <v>70</v>
      </c>
      <c r="C2103" s="19" t="s">
        <v>40</v>
      </c>
      <c r="E2103" s="34" t="s">
        <v>0</v>
      </c>
      <c r="G2103" s="62" t="s">
        <v>41</v>
      </c>
      <c r="H2103" s="34">
        <v>18223</v>
      </c>
      <c r="N2103" s="67" t="s">
        <v>42</v>
      </c>
    </row>
    <row r="2104" spans="2:14" ht="17" x14ac:dyDescent="0.2">
      <c r="B2104" s="138" t="s">
        <v>71</v>
      </c>
      <c r="C2104" s="19" t="s">
        <v>40</v>
      </c>
      <c r="E2104" s="34" t="s">
        <v>0</v>
      </c>
      <c r="G2104" s="62" t="s">
        <v>41</v>
      </c>
      <c r="H2104" s="34">
        <v>18223</v>
      </c>
      <c r="N2104" s="67" t="s">
        <v>42</v>
      </c>
    </row>
    <row r="2105" spans="2:14" ht="17" x14ac:dyDescent="0.2">
      <c r="B2105" s="139" t="s">
        <v>72</v>
      </c>
      <c r="C2105" s="19" t="s">
        <v>40</v>
      </c>
      <c r="E2105" s="34" t="s">
        <v>0</v>
      </c>
      <c r="G2105" s="62" t="s">
        <v>41</v>
      </c>
      <c r="H2105" s="34">
        <v>18223</v>
      </c>
      <c r="N2105" s="67" t="s">
        <v>42</v>
      </c>
    </row>
    <row r="2106" spans="2:14" ht="17" x14ac:dyDescent="0.2">
      <c r="B2106" s="174" t="s">
        <v>73</v>
      </c>
      <c r="C2106" s="19" t="s">
        <v>40</v>
      </c>
      <c r="E2106" s="34" t="s">
        <v>0</v>
      </c>
      <c r="G2106" s="62" t="s">
        <v>41</v>
      </c>
      <c r="H2106" s="34">
        <v>18223</v>
      </c>
      <c r="N2106" s="67" t="s">
        <v>42</v>
      </c>
    </row>
    <row r="2107" spans="2:14" ht="17" x14ac:dyDescent="0.2">
      <c r="B2107" s="139" t="s">
        <v>74</v>
      </c>
      <c r="C2107" s="19" t="s">
        <v>40</v>
      </c>
      <c r="E2107" s="34" t="s">
        <v>0</v>
      </c>
      <c r="G2107" s="62" t="s">
        <v>41</v>
      </c>
      <c r="H2107" s="34">
        <v>18223</v>
      </c>
      <c r="N2107" s="67" t="s">
        <v>42</v>
      </c>
    </row>
    <row r="2108" spans="2:14" ht="17" x14ac:dyDescent="0.2">
      <c r="B2108" s="139" t="s">
        <v>75</v>
      </c>
      <c r="C2108" s="19" t="s">
        <v>40</v>
      </c>
      <c r="E2108" s="34" t="s">
        <v>0</v>
      </c>
      <c r="G2108" s="62" t="s">
        <v>41</v>
      </c>
      <c r="H2108" s="34">
        <v>18223</v>
      </c>
      <c r="N2108" s="67" t="s">
        <v>42</v>
      </c>
    </row>
    <row r="2109" spans="2:14" ht="17" x14ac:dyDescent="0.2">
      <c r="B2109" s="138" t="s">
        <v>76</v>
      </c>
      <c r="C2109" s="19" t="s">
        <v>40</v>
      </c>
      <c r="E2109" s="34" t="s">
        <v>0</v>
      </c>
      <c r="G2109" s="62" t="s">
        <v>41</v>
      </c>
      <c r="H2109" s="34">
        <v>18223</v>
      </c>
      <c r="N2109" s="67" t="s">
        <v>42</v>
      </c>
    </row>
    <row r="2110" spans="2:14" ht="85" x14ac:dyDescent="0.2">
      <c r="B2110" s="138" t="s">
        <v>77</v>
      </c>
      <c r="C2110" s="19" t="s">
        <v>40</v>
      </c>
      <c r="E2110" s="34" t="s">
        <v>0</v>
      </c>
      <c r="G2110" s="62" t="s">
        <v>41</v>
      </c>
      <c r="H2110" s="34">
        <v>18223</v>
      </c>
      <c r="N2110" s="67" t="s">
        <v>42</v>
      </c>
    </row>
    <row r="2111" spans="2:14" ht="17" x14ac:dyDescent="0.2">
      <c r="B2111" s="166" t="s">
        <v>78</v>
      </c>
      <c r="C2111" s="19" t="s">
        <v>40</v>
      </c>
      <c r="E2111" s="34" t="s">
        <v>0</v>
      </c>
      <c r="G2111" s="62" t="s">
        <v>41</v>
      </c>
      <c r="H2111" s="34">
        <v>18223</v>
      </c>
      <c r="N2111" s="67" t="s">
        <v>42</v>
      </c>
    </row>
    <row r="2112" spans="2:14" ht="17" x14ac:dyDescent="0.2">
      <c r="B2112" s="138" t="s">
        <v>79</v>
      </c>
      <c r="C2112" s="19" t="s">
        <v>40</v>
      </c>
      <c r="E2112" s="34" t="s">
        <v>0</v>
      </c>
      <c r="G2112" s="62" t="s">
        <v>41</v>
      </c>
      <c r="H2112" s="34">
        <v>18223</v>
      </c>
      <c r="N2112" s="67" t="s">
        <v>42</v>
      </c>
    </row>
    <row r="2113" spans="2:14" ht="17" x14ac:dyDescent="0.2">
      <c r="B2113" s="138" t="s">
        <v>80</v>
      </c>
      <c r="C2113" s="19" t="s">
        <v>40</v>
      </c>
      <c r="E2113" s="34" t="s">
        <v>0</v>
      </c>
      <c r="G2113" s="62" t="s">
        <v>41</v>
      </c>
      <c r="H2113" s="34">
        <v>18223</v>
      </c>
      <c r="N2113" s="67" t="s">
        <v>42</v>
      </c>
    </row>
    <row r="2114" spans="2:14" ht="17" x14ac:dyDescent="0.2">
      <c r="B2114" s="138" t="s">
        <v>81</v>
      </c>
      <c r="C2114" s="19" t="s">
        <v>40</v>
      </c>
      <c r="E2114" s="34" t="s">
        <v>0</v>
      </c>
      <c r="G2114" s="62" t="s">
        <v>41</v>
      </c>
      <c r="H2114" s="34">
        <v>18223</v>
      </c>
      <c r="N2114" s="67" t="s">
        <v>42</v>
      </c>
    </row>
    <row r="2115" spans="2:14" ht="17" x14ac:dyDescent="0.2">
      <c r="B2115" s="138" t="s">
        <v>82</v>
      </c>
      <c r="C2115" s="19" t="s">
        <v>40</v>
      </c>
      <c r="E2115" s="34" t="s">
        <v>0</v>
      </c>
      <c r="G2115" s="62" t="s">
        <v>41</v>
      </c>
      <c r="H2115" s="34">
        <v>18223</v>
      </c>
      <c r="N2115" s="67" t="s">
        <v>42</v>
      </c>
    </row>
    <row r="2116" spans="2:14" ht="17" x14ac:dyDescent="0.2">
      <c r="B2116" s="138" t="s">
        <v>83</v>
      </c>
      <c r="C2116" s="19" t="s">
        <v>40</v>
      </c>
      <c r="E2116" s="34" t="s">
        <v>0</v>
      </c>
      <c r="G2116" s="62" t="s">
        <v>41</v>
      </c>
      <c r="H2116" s="34">
        <v>18223</v>
      </c>
      <c r="N2116" s="67" t="s">
        <v>42</v>
      </c>
    </row>
    <row r="2117" spans="2:14" ht="17" x14ac:dyDescent="0.2">
      <c r="B2117" s="138" t="s">
        <v>84</v>
      </c>
      <c r="C2117" s="19" t="s">
        <v>40</v>
      </c>
      <c r="E2117" s="34" t="s">
        <v>0</v>
      </c>
      <c r="G2117" s="62" t="s">
        <v>41</v>
      </c>
      <c r="H2117" s="34">
        <v>18223</v>
      </c>
      <c r="N2117" s="67" t="s">
        <v>42</v>
      </c>
    </row>
    <row r="2118" spans="2:14" ht="17" x14ac:dyDescent="0.2">
      <c r="B2118" s="139" t="s">
        <v>85</v>
      </c>
      <c r="C2118" s="19" t="s">
        <v>40</v>
      </c>
      <c r="E2118" s="34" t="s">
        <v>0</v>
      </c>
      <c r="G2118" s="62" t="s">
        <v>41</v>
      </c>
      <c r="H2118" s="34">
        <v>18223</v>
      </c>
      <c r="N2118" s="67" t="s">
        <v>42</v>
      </c>
    </row>
    <row r="2119" spans="2:14" ht="17" x14ac:dyDescent="0.2">
      <c r="B2119" s="140" t="s">
        <v>86</v>
      </c>
      <c r="N2119" s="67" t="s">
        <v>45</v>
      </c>
    </row>
    <row r="2120" spans="2:14" ht="17" x14ac:dyDescent="0.2">
      <c r="B2120" s="141" t="s">
        <v>87</v>
      </c>
      <c r="C2120" s="19" t="s">
        <v>40</v>
      </c>
      <c r="E2120" s="34" t="s">
        <v>0</v>
      </c>
      <c r="G2120" s="62" t="s">
        <v>41</v>
      </c>
      <c r="H2120" s="34">
        <v>18223</v>
      </c>
      <c r="N2120" s="67" t="s">
        <v>42</v>
      </c>
    </row>
    <row r="2121" spans="2:14" ht="32" x14ac:dyDescent="0.2">
      <c r="B2121" s="140" t="s">
        <v>88</v>
      </c>
      <c r="C2121" s="19"/>
      <c r="N2121" s="67" t="s">
        <v>45</v>
      </c>
    </row>
    <row r="2122" spans="2:14" ht="32" x14ac:dyDescent="0.2">
      <c r="B2122" s="142" t="s">
        <v>89</v>
      </c>
      <c r="C2122" s="19" t="s">
        <v>40</v>
      </c>
      <c r="E2122" s="34" t="s">
        <v>0</v>
      </c>
      <c r="G2122" s="62" t="s">
        <v>41</v>
      </c>
      <c r="H2122" s="34">
        <v>18223</v>
      </c>
      <c r="N2122" s="67" t="s">
        <v>42</v>
      </c>
    </row>
    <row r="2123" spans="2:14" ht="17" x14ac:dyDescent="0.2">
      <c r="B2123" s="140" t="s">
        <v>90</v>
      </c>
      <c r="C2123" s="19"/>
      <c r="N2123" s="67" t="s">
        <v>45</v>
      </c>
    </row>
    <row r="2124" spans="2:14" ht="32" x14ac:dyDescent="0.2">
      <c r="B2124" s="142" t="s">
        <v>91</v>
      </c>
      <c r="C2124" s="19" t="s">
        <v>40</v>
      </c>
      <c r="E2124" s="210" t="s">
        <v>92</v>
      </c>
      <c r="G2124" s="62" t="s">
        <v>41</v>
      </c>
      <c r="H2124" s="34">
        <v>18223</v>
      </c>
      <c r="N2124" s="67" t="s">
        <v>42</v>
      </c>
    </row>
    <row r="2125" spans="2:14" ht="17" x14ac:dyDescent="0.2">
      <c r="B2125" s="140" t="s">
        <v>93</v>
      </c>
      <c r="C2125" s="19"/>
      <c r="N2125" s="67" t="s">
        <v>45</v>
      </c>
    </row>
    <row r="2126" spans="2:14" ht="32" x14ac:dyDescent="0.2">
      <c r="B2126" s="142" t="s">
        <v>94</v>
      </c>
      <c r="C2126" s="19" t="s">
        <v>40</v>
      </c>
      <c r="E2126" s="210" t="s">
        <v>92</v>
      </c>
      <c r="G2126" s="62" t="s">
        <v>41</v>
      </c>
      <c r="H2126" s="34">
        <v>18223</v>
      </c>
      <c r="N2126" s="67" t="s">
        <v>42</v>
      </c>
    </row>
    <row r="2127" spans="2:14" ht="48" x14ac:dyDescent="0.2">
      <c r="B2127" s="143" t="s">
        <v>95</v>
      </c>
      <c r="C2127" s="19" t="s">
        <v>40</v>
      </c>
      <c r="E2127" s="210" t="s">
        <v>92</v>
      </c>
      <c r="G2127" s="62" t="s">
        <v>41</v>
      </c>
      <c r="H2127" s="34">
        <v>18223</v>
      </c>
      <c r="N2127" s="67" t="s">
        <v>42</v>
      </c>
    </row>
    <row r="2128" spans="2:14" ht="17" x14ac:dyDescent="0.2">
      <c r="B2128" s="144" t="s">
        <v>96</v>
      </c>
      <c r="C2128" s="19" t="s">
        <v>40</v>
      </c>
      <c r="E2128" s="210" t="s">
        <v>92</v>
      </c>
      <c r="G2128" s="62" t="s">
        <v>41</v>
      </c>
      <c r="H2128" s="34">
        <v>18223</v>
      </c>
      <c r="N2128" s="67" t="s">
        <v>42</v>
      </c>
    </row>
    <row r="2129" spans="2:14" ht="32" x14ac:dyDescent="0.2">
      <c r="B2129" s="143" t="s">
        <v>97</v>
      </c>
      <c r="C2129" s="19" t="s">
        <v>40</v>
      </c>
      <c r="E2129" s="210" t="s">
        <v>92</v>
      </c>
      <c r="G2129" s="62" t="s">
        <v>41</v>
      </c>
      <c r="H2129" s="34">
        <v>18223</v>
      </c>
      <c r="N2129" s="67" t="s">
        <v>42</v>
      </c>
    </row>
    <row r="2130" spans="2:14" ht="17" x14ac:dyDescent="0.2">
      <c r="B2130" s="142" t="s">
        <v>98</v>
      </c>
      <c r="C2130" s="19" t="s">
        <v>40</v>
      </c>
      <c r="E2130" s="210" t="s">
        <v>92</v>
      </c>
      <c r="G2130" s="62" t="s">
        <v>41</v>
      </c>
      <c r="H2130" s="34">
        <v>18223</v>
      </c>
      <c r="N2130" s="67" t="s">
        <v>42</v>
      </c>
    </row>
    <row r="2131" spans="2:14" ht="17" x14ac:dyDescent="0.2">
      <c r="B2131" s="144" t="s">
        <v>99</v>
      </c>
      <c r="C2131" s="19" t="s">
        <v>40</v>
      </c>
      <c r="E2131" s="210" t="s">
        <v>92</v>
      </c>
      <c r="G2131" s="62" t="s">
        <v>41</v>
      </c>
      <c r="H2131" s="34">
        <v>18223</v>
      </c>
      <c r="N2131" s="67" t="s">
        <v>42</v>
      </c>
    </row>
    <row r="2132" spans="2:14" ht="17" x14ac:dyDescent="0.2">
      <c r="B2132" s="143" t="s">
        <v>100</v>
      </c>
      <c r="C2132" s="19" t="s">
        <v>40</v>
      </c>
      <c r="G2132" s="62" t="s">
        <v>41</v>
      </c>
      <c r="H2132" s="34">
        <v>18223</v>
      </c>
      <c r="N2132" s="67" t="s">
        <v>42</v>
      </c>
    </row>
    <row r="2133" spans="2:14" ht="17" x14ac:dyDescent="0.2">
      <c r="B2133" s="140" t="s">
        <v>101</v>
      </c>
      <c r="N2133" s="67" t="s">
        <v>45</v>
      </c>
    </row>
    <row r="2134" spans="2:14" ht="17" x14ac:dyDescent="0.2">
      <c r="B2134" s="141" t="s">
        <v>87</v>
      </c>
      <c r="C2134" s="19" t="s">
        <v>40</v>
      </c>
      <c r="E2134" s="34" t="s">
        <v>0</v>
      </c>
      <c r="G2134" s="62" t="s">
        <v>41</v>
      </c>
      <c r="H2134" s="34">
        <v>18223</v>
      </c>
      <c r="N2134" s="67" t="s">
        <v>42</v>
      </c>
    </row>
    <row r="2135" spans="2:14" ht="32" x14ac:dyDescent="0.2">
      <c r="B2135" s="142" t="s">
        <v>102</v>
      </c>
      <c r="C2135" s="19" t="s">
        <v>40</v>
      </c>
      <c r="E2135" s="34" t="s">
        <v>0</v>
      </c>
      <c r="G2135" s="62" t="s">
        <v>41</v>
      </c>
      <c r="H2135" s="34">
        <v>18223</v>
      </c>
      <c r="N2135" s="67" t="s">
        <v>42</v>
      </c>
    </row>
    <row r="2136" spans="2:14" ht="48" x14ac:dyDescent="0.2">
      <c r="B2136" s="143" t="s">
        <v>103</v>
      </c>
      <c r="C2136" s="19" t="s">
        <v>40</v>
      </c>
      <c r="E2136" s="34" t="s">
        <v>0</v>
      </c>
      <c r="G2136" s="62" t="s">
        <v>41</v>
      </c>
      <c r="H2136" s="34">
        <v>18223</v>
      </c>
      <c r="N2136" s="67" t="s">
        <v>42</v>
      </c>
    </row>
    <row r="2137" spans="2:14" ht="17" x14ac:dyDescent="0.2">
      <c r="B2137" s="144" t="s">
        <v>96</v>
      </c>
      <c r="C2137" s="19" t="s">
        <v>40</v>
      </c>
      <c r="E2137" s="34" t="s">
        <v>0</v>
      </c>
      <c r="G2137" s="62" t="s">
        <v>41</v>
      </c>
      <c r="H2137" s="34">
        <v>18223</v>
      </c>
      <c r="N2137" s="67" t="s">
        <v>42</v>
      </c>
    </row>
    <row r="2138" spans="2:14" ht="32" x14ac:dyDescent="0.2">
      <c r="B2138" s="143" t="s">
        <v>104</v>
      </c>
      <c r="C2138" s="19" t="s">
        <v>40</v>
      </c>
      <c r="E2138" s="34" t="s">
        <v>0</v>
      </c>
      <c r="G2138" s="62" t="s">
        <v>41</v>
      </c>
      <c r="H2138" s="34">
        <v>18223</v>
      </c>
      <c r="N2138" s="67" t="s">
        <v>42</v>
      </c>
    </row>
    <row r="2139" spans="2:14" ht="32" x14ac:dyDescent="0.2">
      <c r="B2139" s="142" t="s">
        <v>105</v>
      </c>
      <c r="C2139" s="19" t="s">
        <v>40</v>
      </c>
      <c r="E2139" s="34" t="s">
        <v>0</v>
      </c>
      <c r="G2139" s="62" t="s">
        <v>41</v>
      </c>
      <c r="H2139" s="34">
        <v>18223</v>
      </c>
      <c r="N2139" s="67" t="s">
        <v>42</v>
      </c>
    </row>
    <row r="2140" spans="2:14" ht="17" x14ac:dyDescent="0.2">
      <c r="B2140" s="144" t="s">
        <v>99</v>
      </c>
      <c r="C2140" s="19" t="s">
        <v>40</v>
      </c>
      <c r="E2140" s="34" t="s">
        <v>0</v>
      </c>
      <c r="G2140" s="62" t="s">
        <v>41</v>
      </c>
      <c r="H2140" s="34">
        <v>18223</v>
      </c>
      <c r="N2140" s="67" t="s">
        <v>42</v>
      </c>
    </row>
    <row r="2141" spans="2:14" ht="17" x14ac:dyDescent="0.2">
      <c r="B2141" s="143" t="s">
        <v>106</v>
      </c>
      <c r="C2141" s="19" t="s">
        <v>40</v>
      </c>
      <c r="N2141" s="67" t="s">
        <v>42</v>
      </c>
    </row>
    <row r="2142" spans="2:14" ht="17" x14ac:dyDescent="0.2">
      <c r="B2142" s="140" t="s">
        <v>107</v>
      </c>
      <c r="N2142" s="67" t="s">
        <v>45</v>
      </c>
    </row>
    <row r="2143" spans="2:14" ht="17" x14ac:dyDescent="0.2">
      <c r="B2143" s="141" t="s">
        <v>87</v>
      </c>
      <c r="C2143" s="19" t="s">
        <v>40</v>
      </c>
      <c r="E2143" s="34" t="s">
        <v>0</v>
      </c>
      <c r="G2143" s="62" t="s">
        <v>41</v>
      </c>
      <c r="H2143" s="34">
        <v>18223</v>
      </c>
      <c r="N2143" s="67" t="s">
        <v>42</v>
      </c>
    </row>
    <row r="2144" spans="2:14" ht="32" x14ac:dyDescent="0.2">
      <c r="B2144" s="142" t="s">
        <v>102</v>
      </c>
      <c r="C2144" s="19" t="s">
        <v>40</v>
      </c>
      <c r="E2144" s="34" t="s">
        <v>0</v>
      </c>
      <c r="G2144" s="62" t="s">
        <v>41</v>
      </c>
      <c r="H2144" s="34">
        <v>18223</v>
      </c>
      <c r="N2144" s="67" t="s">
        <v>42</v>
      </c>
    </row>
    <row r="2145" spans="2:14" ht="48" x14ac:dyDescent="0.2">
      <c r="B2145" s="143" t="s">
        <v>108</v>
      </c>
      <c r="C2145" s="19" t="s">
        <v>40</v>
      </c>
      <c r="E2145" s="34" t="s">
        <v>0</v>
      </c>
      <c r="G2145" s="62" t="s">
        <v>41</v>
      </c>
      <c r="H2145" s="34">
        <v>18223</v>
      </c>
      <c r="N2145" s="67" t="s">
        <v>42</v>
      </c>
    </row>
    <row r="2146" spans="2:14" ht="17" x14ac:dyDescent="0.2">
      <c r="B2146" s="144" t="s">
        <v>96</v>
      </c>
      <c r="C2146" s="19" t="s">
        <v>40</v>
      </c>
      <c r="E2146" s="34" t="s">
        <v>0</v>
      </c>
      <c r="G2146" s="62" t="s">
        <v>41</v>
      </c>
      <c r="H2146" s="34">
        <v>18223</v>
      </c>
      <c r="N2146" s="67" t="s">
        <v>42</v>
      </c>
    </row>
    <row r="2147" spans="2:14" ht="32" x14ac:dyDescent="0.2">
      <c r="B2147" s="143" t="s">
        <v>109</v>
      </c>
      <c r="C2147" s="19" t="s">
        <v>40</v>
      </c>
      <c r="E2147" s="34" t="s">
        <v>0</v>
      </c>
      <c r="G2147" s="62" t="s">
        <v>41</v>
      </c>
      <c r="H2147" s="34">
        <v>18223</v>
      </c>
      <c r="N2147" s="67" t="s">
        <v>42</v>
      </c>
    </row>
    <row r="2148" spans="2:14" ht="32" x14ac:dyDescent="0.2">
      <c r="B2148" s="142" t="s">
        <v>110</v>
      </c>
      <c r="C2148" s="19" t="s">
        <v>40</v>
      </c>
      <c r="E2148" s="34" t="s">
        <v>0</v>
      </c>
      <c r="G2148" s="62" t="s">
        <v>41</v>
      </c>
      <c r="H2148" s="34">
        <v>18223</v>
      </c>
      <c r="N2148" s="67" t="s">
        <v>42</v>
      </c>
    </row>
    <row r="2149" spans="2:14" ht="17" x14ac:dyDescent="0.2">
      <c r="B2149" s="144" t="s">
        <v>99</v>
      </c>
      <c r="C2149" s="19" t="s">
        <v>40</v>
      </c>
      <c r="E2149" s="34" t="s">
        <v>0</v>
      </c>
      <c r="G2149" s="62" t="s">
        <v>41</v>
      </c>
      <c r="H2149" s="34">
        <v>18223</v>
      </c>
      <c r="N2149" s="67" t="s">
        <v>42</v>
      </c>
    </row>
    <row r="2150" spans="2:14" ht="17" x14ac:dyDescent="0.2">
      <c r="B2150" s="143" t="s">
        <v>111</v>
      </c>
      <c r="C2150" s="19" t="s">
        <v>40</v>
      </c>
      <c r="E2150" s="34" t="s">
        <v>0</v>
      </c>
      <c r="G2150" s="62" t="s">
        <v>41</v>
      </c>
      <c r="H2150" s="34">
        <v>18223</v>
      </c>
      <c r="N2150" s="67" t="s">
        <v>42</v>
      </c>
    </row>
    <row r="2151" spans="2:14" ht="17" x14ac:dyDescent="0.2">
      <c r="B2151" s="140" t="s">
        <v>112</v>
      </c>
      <c r="N2151" s="67" t="s">
        <v>45</v>
      </c>
    </row>
    <row r="2152" spans="2:14" ht="17" x14ac:dyDescent="0.2">
      <c r="B2152" s="141" t="s">
        <v>87</v>
      </c>
      <c r="C2152" s="19" t="s">
        <v>40</v>
      </c>
      <c r="E2152" s="34" t="s">
        <v>0</v>
      </c>
      <c r="G2152" s="62" t="s">
        <v>41</v>
      </c>
      <c r="H2152" s="34">
        <v>18223</v>
      </c>
      <c r="N2152" s="67" t="s">
        <v>42</v>
      </c>
    </row>
    <row r="2153" spans="2:14" ht="32" x14ac:dyDescent="0.2">
      <c r="B2153" s="142" t="s">
        <v>102</v>
      </c>
      <c r="C2153" s="19" t="s">
        <v>40</v>
      </c>
      <c r="E2153" s="34" t="s">
        <v>0</v>
      </c>
      <c r="G2153" s="62" t="s">
        <v>41</v>
      </c>
      <c r="H2153" s="34">
        <v>18223</v>
      </c>
      <c r="N2153" s="67" t="s">
        <v>42</v>
      </c>
    </row>
    <row r="2154" spans="2:14" ht="48" x14ac:dyDescent="0.2">
      <c r="B2154" s="143" t="s">
        <v>113</v>
      </c>
      <c r="C2154" s="19" t="s">
        <v>40</v>
      </c>
      <c r="E2154" s="34" t="s">
        <v>0</v>
      </c>
      <c r="G2154" s="62" t="s">
        <v>41</v>
      </c>
      <c r="H2154" s="34">
        <v>18223</v>
      </c>
      <c r="N2154" s="67" t="s">
        <v>42</v>
      </c>
    </row>
    <row r="2155" spans="2:14" ht="17" x14ac:dyDescent="0.2">
      <c r="B2155" s="144" t="s">
        <v>96</v>
      </c>
      <c r="C2155" s="19" t="s">
        <v>40</v>
      </c>
      <c r="E2155" s="34" t="s">
        <v>0</v>
      </c>
      <c r="G2155" s="62" t="s">
        <v>41</v>
      </c>
      <c r="H2155" s="34">
        <v>18223</v>
      </c>
      <c r="N2155" s="67" t="s">
        <v>42</v>
      </c>
    </row>
    <row r="2156" spans="2:14" ht="32" x14ac:dyDescent="0.2">
      <c r="B2156" s="143" t="s">
        <v>97</v>
      </c>
      <c r="C2156" s="19" t="s">
        <v>40</v>
      </c>
      <c r="E2156" s="34" t="s">
        <v>0</v>
      </c>
      <c r="G2156" s="62" t="s">
        <v>41</v>
      </c>
      <c r="H2156" s="34">
        <v>18223</v>
      </c>
      <c r="N2156" s="67" t="s">
        <v>42</v>
      </c>
    </row>
    <row r="2157" spans="2:14" ht="32" x14ac:dyDescent="0.2">
      <c r="B2157" s="142" t="s">
        <v>114</v>
      </c>
      <c r="C2157" s="19" t="s">
        <v>40</v>
      </c>
      <c r="E2157" s="34" t="s">
        <v>0</v>
      </c>
      <c r="G2157" s="62" t="s">
        <v>41</v>
      </c>
      <c r="H2157" s="34">
        <v>18223</v>
      </c>
      <c r="N2157" s="67" t="s">
        <v>42</v>
      </c>
    </row>
    <row r="2158" spans="2:14" ht="17" x14ac:dyDescent="0.2">
      <c r="B2158" s="144" t="s">
        <v>99</v>
      </c>
      <c r="C2158" s="19" t="s">
        <v>40</v>
      </c>
      <c r="E2158" s="34" t="s">
        <v>0</v>
      </c>
      <c r="G2158" s="62" t="s">
        <v>41</v>
      </c>
      <c r="H2158" s="34">
        <v>18223</v>
      </c>
      <c r="N2158" s="67" t="s">
        <v>42</v>
      </c>
    </row>
    <row r="2159" spans="2:14" ht="17" x14ac:dyDescent="0.2">
      <c r="B2159" s="143" t="s">
        <v>115</v>
      </c>
      <c r="C2159" s="19" t="s">
        <v>40</v>
      </c>
      <c r="E2159" s="34" t="s">
        <v>0</v>
      </c>
      <c r="G2159" s="62" t="s">
        <v>41</v>
      </c>
      <c r="H2159" s="34">
        <v>18223</v>
      </c>
      <c r="N2159" s="67" t="s">
        <v>42</v>
      </c>
    </row>
    <row r="2160" spans="2:14" ht="34" x14ac:dyDescent="0.2">
      <c r="B2160" s="132" t="s">
        <v>116</v>
      </c>
      <c r="N2160" s="67" t="s">
        <v>45</v>
      </c>
    </row>
    <row r="2161" spans="2:14" ht="64" x14ac:dyDescent="0.2">
      <c r="B2161" s="143" t="s">
        <v>117</v>
      </c>
      <c r="C2161" s="19" t="s">
        <v>40</v>
      </c>
      <c r="E2161" s="34" t="s">
        <v>92</v>
      </c>
      <c r="G2161" s="62" t="s">
        <v>41</v>
      </c>
      <c r="H2161" s="34">
        <v>18223</v>
      </c>
      <c r="N2161" s="67" t="s">
        <v>42</v>
      </c>
    </row>
    <row r="2162" spans="2:14" ht="64" x14ac:dyDescent="0.2">
      <c r="B2162" s="143" t="s">
        <v>118</v>
      </c>
      <c r="C2162" s="19" t="s">
        <v>40</v>
      </c>
      <c r="E2162" s="34" t="s">
        <v>92</v>
      </c>
      <c r="G2162" s="62" t="s">
        <v>41</v>
      </c>
      <c r="H2162" s="34">
        <v>18223</v>
      </c>
      <c r="N2162" s="67" t="s">
        <v>42</v>
      </c>
    </row>
    <row r="2163" spans="2:14" ht="17" x14ac:dyDescent="0.2">
      <c r="B2163" s="143" t="s">
        <v>119</v>
      </c>
      <c r="C2163" s="19" t="s">
        <v>40</v>
      </c>
      <c r="E2163" s="210" t="s">
        <v>92</v>
      </c>
      <c r="G2163" s="62" t="s">
        <v>41</v>
      </c>
      <c r="H2163" s="34">
        <v>18223</v>
      </c>
      <c r="N2163" s="67" t="s">
        <v>42</v>
      </c>
    </row>
    <row r="2164" spans="2:14" ht="32" x14ac:dyDescent="0.2">
      <c r="B2164" s="143" t="s">
        <v>120</v>
      </c>
      <c r="C2164" s="19" t="s">
        <v>40</v>
      </c>
      <c r="E2164" s="34" t="s">
        <v>92</v>
      </c>
      <c r="G2164" s="62" t="s">
        <v>41</v>
      </c>
      <c r="H2164" s="34">
        <v>18223</v>
      </c>
      <c r="N2164" s="67" t="s">
        <v>42</v>
      </c>
    </row>
    <row r="2165" spans="2:14" ht="17" x14ac:dyDescent="0.2">
      <c r="B2165" s="128" t="s">
        <v>121</v>
      </c>
      <c r="C2165" s="19"/>
      <c r="N2165" s="67" t="s">
        <v>45</v>
      </c>
    </row>
    <row r="2166" spans="2:14" ht="17" x14ac:dyDescent="0.2">
      <c r="B2166" s="145" t="s">
        <v>122</v>
      </c>
      <c r="C2166" s="19" t="s">
        <v>40</v>
      </c>
      <c r="E2166" s="34" t="s">
        <v>0</v>
      </c>
      <c r="G2166" s="62" t="s">
        <v>41</v>
      </c>
      <c r="H2166" s="34">
        <v>18223</v>
      </c>
      <c r="N2166" s="67" t="s">
        <v>42</v>
      </c>
    </row>
    <row r="2167" spans="2:14" ht="17" x14ac:dyDescent="0.2">
      <c r="B2167" s="139" t="s">
        <v>123</v>
      </c>
      <c r="C2167" s="19" t="s">
        <v>40</v>
      </c>
      <c r="E2167" s="34" t="s">
        <v>0</v>
      </c>
      <c r="G2167" s="62" t="s">
        <v>41</v>
      </c>
      <c r="H2167" s="34">
        <v>18223</v>
      </c>
      <c r="N2167" s="67" t="s">
        <v>42</v>
      </c>
    </row>
    <row r="2168" spans="2:14" ht="34" x14ac:dyDescent="0.2">
      <c r="B2168" s="139" t="s">
        <v>329</v>
      </c>
      <c r="C2168" s="19" t="s">
        <v>40</v>
      </c>
      <c r="E2168" s="34" t="s">
        <v>0</v>
      </c>
      <c r="G2168" s="62" t="s">
        <v>41</v>
      </c>
      <c r="H2168" s="34">
        <v>18223</v>
      </c>
      <c r="N2168" s="67" t="s">
        <v>42</v>
      </c>
    </row>
    <row r="2169" spans="2:14" ht="17" x14ac:dyDescent="0.2">
      <c r="B2169" s="139" t="s">
        <v>125</v>
      </c>
      <c r="C2169" s="19" t="s">
        <v>40</v>
      </c>
      <c r="E2169" s="34" t="s">
        <v>0</v>
      </c>
      <c r="G2169" s="62" t="s">
        <v>41</v>
      </c>
      <c r="H2169" s="34">
        <v>18223</v>
      </c>
      <c r="N2169" s="67" t="s">
        <v>42</v>
      </c>
    </row>
    <row r="2170" spans="2:14" ht="17" x14ac:dyDescent="0.2">
      <c r="B2170" s="145" t="s">
        <v>126</v>
      </c>
      <c r="C2170" s="19" t="s">
        <v>40</v>
      </c>
      <c r="E2170" s="34" t="s">
        <v>0</v>
      </c>
      <c r="G2170" s="62" t="s">
        <v>41</v>
      </c>
      <c r="H2170" s="34">
        <v>18223</v>
      </c>
      <c r="N2170" s="67" t="s">
        <v>42</v>
      </c>
    </row>
    <row r="2171" spans="2:14" ht="17" x14ac:dyDescent="0.2">
      <c r="B2171" s="138" t="s">
        <v>127</v>
      </c>
      <c r="C2171" s="19" t="s">
        <v>40</v>
      </c>
      <c r="E2171" s="34" t="s">
        <v>0</v>
      </c>
      <c r="G2171" s="62" t="s">
        <v>41</v>
      </c>
      <c r="H2171" s="34">
        <v>18223</v>
      </c>
      <c r="N2171" s="67" t="s">
        <v>42</v>
      </c>
    </row>
    <row r="2172" spans="2:14" ht="17" x14ac:dyDescent="0.2">
      <c r="B2172" s="138" t="s">
        <v>128</v>
      </c>
      <c r="C2172" s="19" t="s">
        <v>40</v>
      </c>
      <c r="E2172" s="34" t="s">
        <v>0</v>
      </c>
      <c r="G2172" s="62" t="s">
        <v>41</v>
      </c>
      <c r="H2172" s="34">
        <v>18223</v>
      </c>
      <c r="N2172" s="67" t="s">
        <v>42</v>
      </c>
    </row>
    <row r="2173" spans="2:14" ht="17" x14ac:dyDescent="0.2">
      <c r="B2173" s="146" t="s">
        <v>129</v>
      </c>
      <c r="C2173" s="19" t="s">
        <v>40</v>
      </c>
      <c r="E2173" s="34" t="s">
        <v>0</v>
      </c>
      <c r="G2173" s="62" t="s">
        <v>41</v>
      </c>
      <c r="H2173" s="34">
        <v>18223</v>
      </c>
      <c r="N2173" s="67" t="s">
        <v>42</v>
      </c>
    </row>
    <row r="2174" spans="2:14" ht="17" x14ac:dyDescent="0.2">
      <c r="B2174" s="138" t="s">
        <v>130</v>
      </c>
      <c r="C2174" s="19" t="s">
        <v>40</v>
      </c>
      <c r="E2174" s="34" t="s">
        <v>0</v>
      </c>
      <c r="G2174" s="62" t="s">
        <v>41</v>
      </c>
      <c r="H2174" s="34">
        <v>18223</v>
      </c>
      <c r="N2174" s="67" t="s">
        <v>42</v>
      </c>
    </row>
    <row r="2175" spans="2:14" ht="17" x14ac:dyDescent="0.2">
      <c r="B2175" s="147" t="s">
        <v>131</v>
      </c>
      <c r="C2175" s="19" t="s">
        <v>40</v>
      </c>
      <c r="E2175" s="34" t="s">
        <v>0</v>
      </c>
      <c r="G2175" s="62" t="s">
        <v>41</v>
      </c>
      <c r="H2175" s="34">
        <v>18223</v>
      </c>
      <c r="N2175" s="67" t="s">
        <v>42</v>
      </c>
    </row>
    <row r="2176" spans="2:14" ht="17" x14ac:dyDescent="0.2">
      <c r="B2176" s="147" t="s">
        <v>132</v>
      </c>
      <c r="C2176" s="19" t="s">
        <v>40</v>
      </c>
      <c r="E2176" s="34" t="s">
        <v>0</v>
      </c>
      <c r="G2176" s="62" t="s">
        <v>41</v>
      </c>
      <c r="H2176" s="34">
        <v>18223</v>
      </c>
      <c r="N2176" s="67" t="s">
        <v>42</v>
      </c>
    </row>
    <row r="2177" spans="2:14" ht="17" x14ac:dyDescent="0.2">
      <c r="B2177" s="147" t="s">
        <v>133</v>
      </c>
      <c r="C2177" s="19" t="s">
        <v>40</v>
      </c>
      <c r="E2177" s="34" t="s">
        <v>0</v>
      </c>
      <c r="G2177" s="62" t="s">
        <v>41</v>
      </c>
      <c r="H2177" s="34">
        <v>18223</v>
      </c>
      <c r="N2177" s="67" t="s">
        <v>42</v>
      </c>
    </row>
    <row r="2178" spans="2:14" ht="17" x14ac:dyDescent="0.2">
      <c r="B2178" s="147" t="s">
        <v>134</v>
      </c>
      <c r="C2178" s="19" t="s">
        <v>40</v>
      </c>
      <c r="D2178" s="70"/>
      <c r="E2178" s="70" t="s">
        <v>0</v>
      </c>
      <c r="F2178" s="70"/>
      <c r="G2178" s="205" t="s">
        <v>41</v>
      </c>
      <c r="H2178" s="70">
        <v>18223</v>
      </c>
      <c r="N2178" s="67" t="s">
        <v>42</v>
      </c>
    </row>
    <row r="2179" spans="2:14" ht="17" x14ac:dyDescent="0.2">
      <c r="B2179" s="147" t="s">
        <v>135</v>
      </c>
      <c r="C2179" s="252" t="s">
        <v>40</v>
      </c>
      <c r="E2179" s="34" t="s">
        <v>0</v>
      </c>
      <c r="G2179" s="61" t="s">
        <v>41</v>
      </c>
      <c r="H2179" s="64">
        <v>18223</v>
      </c>
      <c r="N2179" s="67" t="s">
        <v>42</v>
      </c>
    </row>
    <row r="2180" spans="2:14" ht="17" x14ac:dyDescent="0.2">
      <c r="B2180" s="147" t="s">
        <v>136</v>
      </c>
      <c r="C2180" s="252" t="s">
        <v>40</v>
      </c>
      <c r="E2180" s="70" t="s">
        <v>0</v>
      </c>
      <c r="F2180" s="70"/>
      <c r="G2180" s="206" t="s">
        <v>41</v>
      </c>
      <c r="H2180" s="289">
        <v>18223</v>
      </c>
      <c r="N2180" s="67" t="s">
        <v>42</v>
      </c>
    </row>
    <row r="2181" spans="2:14" ht="23" x14ac:dyDescent="0.3">
      <c r="B2181" s="148" t="s">
        <v>137</v>
      </c>
      <c r="C2181" s="252"/>
      <c r="D2181" s="35"/>
      <c r="G2181" s="6"/>
      <c r="N2181" s="67" t="s">
        <v>45</v>
      </c>
    </row>
    <row r="2182" spans="2:14" ht="23" x14ac:dyDescent="0.3">
      <c r="B2182" s="148" t="s">
        <v>138</v>
      </c>
      <c r="C2182" s="19"/>
      <c r="D2182" s="288"/>
      <c r="G2182" s="6"/>
      <c r="N2182" s="67" t="s">
        <v>45</v>
      </c>
    </row>
    <row r="2183" spans="2:14" ht="17" x14ac:dyDescent="0.2">
      <c r="B2183" s="168" t="s">
        <v>330</v>
      </c>
      <c r="C2183" s="19" t="s">
        <v>40</v>
      </c>
      <c r="D2183" s="35"/>
      <c r="E2183" s="70" t="s">
        <v>0</v>
      </c>
      <c r="G2183" s="61" t="s">
        <v>41</v>
      </c>
      <c r="H2183" s="34">
        <v>18223</v>
      </c>
      <c r="N2183" s="67" t="s">
        <v>42</v>
      </c>
    </row>
    <row r="2184" spans="2:14" ht="34" x14ac:dyDescent="0.2">
      <c r="B2184" s="147" t="s">
        <v>331</v>
      </c>
      <c r="C2184" s="19" t="s">
        <v>40</v>
      </c>
      <c r="D2184" s="35"/>
      <c r="E2184" s="70" t="s">
        <v>0</v>
      </c>
      <c r="G2184" s="61" t="s">
        <v>41</v>
      </c>
      <c r="H2184" s="34">
        <v>18223</v>
      </c>
      <c r="N2184" s="67" t="s">
        <v>42</v>
      </c>
    </row>
    <row r="2185" spans="2:14" ht="17" x14ac:dyDescent="0.2">
      <c r="B2185" s="168" t="s">
        <v>332</v>
      </c>
      <c r="C2185" s="19" t="s">
        <v>40</v>
      </c>
      <c r="D2185" s="35"/>
      <c r="E2185" s="70" t="s">
        <v>0</v>
      </c>
      <c r="G2185" s="61" t="s">
        <v>41</v>
      </c>
      <c r="H2185" s="34">
        <v>18223</v>
      </c>
      <c r="N2185" s="67" t="s">
        <v>42</v>
      </c>
    </row>
    <row r="2186" spans="2:14" ht="17" x14ac:dyDescent="0.2">
      <c r="B2186" s="168" t="s">
        <v>333</v>
      </c>
      <c r="C2186" s="19" t="s">
        <v>40</v>
      </c>
      <c r="D2186" s="35"/>
      <c r="E2186" s="70" t="s">
        <v>0</v>
      </c>
      <c r="G2186" s="61" t="s">
        <v>41</v>
      </c>
      <c r="H2186" s="34">
        <v>18223</v>
      </c>
      <c r="N2186" s="67" t="s">
        <v>42</v>
      </c>
    </row>
    <row r="2187" spans="2:14" ht="17" x14ac:dyDescent="0.2">
      <c r="B2187" s="147" t="s">
        <v>143</v>
      </c>
      <c r="C2187" s="19" t="s">
        <v>40</v>
      </c>
      <c r="E2187" s="70" t="s">
        <v>0</v>
      </c>
      <c r="F2187" s="73"/>
      <c r="G2187" s="207" t="s">
        <v>41</v>
      </c>
      <c r="H2187" s="73">
        <v>18223</v>
      </c>
      <c r="N2187" s="67" t="s">
        <v>42</v>
      </c>
    </row>
    <row r="2188" spans="2:14" ht="23" x14ac:dyDescent="0.3">
      <c r="B2188" s="148" t="s">
        <v>144</v>
      </c>
      <c r="C2188" s="19"/>
      <c r="N2188" s="67" t="s">
        <v>45</v>
      </c>
    </row>
    <row r="2189" spans="2:14" ht="17" x14ac:dyDescent="0.2">
      <c r="B2189" s="168" t="s">
        <v>145</v>
      </c>
      <c r="C2189" s="19" t="s">
        <v>40</v>
      </c>
      <c r="E2189" s="70" t="s">
        <v>0</v>
      </c>
      <c r="G2189" s="62" t="s">
        <v>41</v>
      </c>
      <c r="H2189" s="34">
        <v>18223</v>
      </c>
      <c r="N2189" s="67" t="s">
        <v>42</v>
      </c>
    </row>
    <row r="2190" spans="2:14" ht="17" x14ac:dyDescent="0.2">
      <c r="B2190" s="168" t="s">
        <v>146</v>
      </c>
      <c r="C2190" s="19" t="s">
        <v>40</v>
      </c>
      <c r="E2190" s="70" t="s">
        <v>0</v>
      </c>
      <c r="G2190" s="62" t="s">
        <v>41</v>
      </c>
      <c r="H2190" s="34">
        <v>18223</v>
      </c>
      <c r="N2190" s="67" t="s">
        <v>42</v>
      </c>
    </row>
    <row r="2191" spans="2:14" ht="17" x14ac:dyDescent="0.2">
      <c r="B2191" s="168" t="s">
        <v>147</v>
      </c>
      <c r="C2191" s="19" t="s">
        <v>40</v>
      </c>
      <c r="E2191" s="70" t="s">
        <v>0</v>
      </c>
      <c r="G2191" s="62" t="s">
        <v>41</v>
      </c>
      <c r="H2191" s="34">
        <v>18223</v>
      </c>
      <c r="N2191" s="67" t="s">
        <v>42</v>
      </c>
    </row>
    <row r="2192" spans="2:14" ht="17" x14ac:dyDescent="0.2">
      <c r="B2192" s="168" t="s">
        <v>148</v>
      </c>
      <c r="C2192" s="19" t="s">
        <v>40</v>
      </c>
      <c r="E2192" s="70" t="s">
        <v>0</v>
      </c>
      <c r="G2192" s="62" t="s">
        <v>41</v>
      </c>
      <c r="H2192" s="34">
        <v>18223</v>
      </c>
      <c r="N2192" s="67" t="s">
        <v>42</v>
      </c>
    </row>
    <row r="2193" spans="2:14" ht="17" x14ac:dyDescent="0.2">
      <c r="B2193" s="168" t="s">
        <v>149</v>
      </c>
      <c r="C2193" s="19" t="s">
        <v>40</v>
      </c>
      <c r="E2193" s="70" t="s">
        <v>0</v>
      </c>
      <c r="G2193" s="62" t="s">
        <v>41</v>
      </c>
      <c r="H2193" s="34">
        <v>18223</v>
      </c>
      <c r="N2193" s="67" t="s">
        <v>42</v>
      </c>
    </row>
    <row r="2194" spans="2:14" ht="20" x14ac:dyDescent="0.25">
      <c r="B2194" s="149" t="s">
        <v>150</v>
      </c>
      <c r="C2194" s="19"/>
      <c r="N2194" s="67" t="s">
        <v>45</v>
      </c>
    </row>
    <row r="2195" spans="2:14" ht="17" x14ac:dyDescent="0.2">
      <c r="B2195" s="150" t="s">
        <v>151</v>
      </c>
      <c r="C2195" s="19"/>
      <c r="N2195" s="67" t="s">
        <v>45</v>
      </c>
    </row>
    <row r="2196" spans="2:14" ht="17" x14ac:dyDescent="0.2">
      <c r="B2196" s="151" t="s">
        <v>152</v>
      </c>
      <c r="C2196" s="19" t="s">
        <v>40</v>
      </c>
      <c r="E2196" s="70" t="s">
        <v>0</v>
      </c>
      <c r="G2196" s="62" t="s">
        <v>41</v>
      </c>
      <c r="H2196" s="34">
        <v>18223</v>
      </c>
      <c r="N2196" s="67" t="s">
        <v>42</v>
      </c>
    </row>
    <row r="2197" spans="2:14" ht="17" x14ac:dyDescent="0.2">
      <c r="B2197" s="151" t="s">
        <v>153</v>
      </c>
      <c r="C2197" s="19" t="s">
        <v>40</v>
      </c>
      <c r="E2197" s="70" t="s">
        <v>0</v>
      </c>
      <c r="G2197" s="62" t="s">
        <v>41</v>
      </c>
      <c r="H2197" s="34">
        <v>18223</v>
      </c>
      <c r="N2197" s="67" t="s">
        <v>42</v>
      </c>
    </row>
    <row r="2198" spans="2:14" ht="17" x14ac:dyDescent="0.2">
      <c r="B2198" s="152" t="s">
        <v>154</v>
      </c>
      <c r="C2198" s="19" t="s">
        <v>40</v>
      </c>
      <c r="E2198" s="70" t="s">
        <v>0</v>
      </c>
      <c r="G2198" s="62" t="s">
        <v>41</v>
      </c>
      <c r="H2198" s="34">
        <v>18223</v>
      </c>
      <c r="N2198" s="67" t="s">
        <v>42</v>
      </c>
    </row>
    <row r="2199" spans="2:14" ht="17" x14ac:dyDescent="0.2">
      <c r="B2199" s="143" t="s">
        <v>155</v>
      </c>
      <c r="C2199" s="19" t="s">
        <v>40</v>
      </c>
      <c r="E2199" s="70" t="s">
        <v>0</v>
      </c>
      <c r="G2199" s="62" t="s">
        <v>41</v>
      </c>
      <c r="H2199" s="34">
        <v>18223</v>
      </c>
      <c r="N2199" s="67" t="s">
        <v>42</v>
      </c>
    </row>
    <row r="2200" spans="2:14" ht="17" x14ac:dyDescent="0.2">
      <c r="B2200" s="153" t="s">
        <v>156</v>
      </c>
      <c r="N2200" s="67" t="s">
        <v>45</v>
      </c>
    </row>
    <row r="2201" spans="2:14" ht="17" x14ac:dyDescent="0.2">
      <c r="B2201" s="153" t="s">
        <v>157</v>
      </c>
      <c r="C2201" s="19"/>
      <c r="N2201" s="67" t="s">
        <v>45</v>
      </c>
    </row>
    <row r="2202" spans="2:14" ht="17" x14ac:dyDescent="0.2">
      <c r="B2202" s="154" t="s">
        <v>158</v>
      </c>
      <c r="C2202" s="19" t="s">
        <v>40</v>
      </c>
      <c r="E2202" s="70" t="s">
        <v>0</v>
      </c>
      <c r="G2202" s="62" t="s">
        <v>41</v>
      </c>
      <c r="H2202" s="34">
        <v>18223</v>
      </c>
      <c r="N2202" s="67" t="s">
        <v>42</v>
      </c>
    </row>
    <row r="2203" spans="2:14" ht="17" x14ac:dyDescent="0.2">
      <c r="B2203" s="155" t="s">
        <v>159</v>
      </c>
      <c r="C2203" s="19" t="s">
        <v>40</v>
      </c>
      <c r="E2203" s="70" t="s">
        <v>0</v>
      </c>
      <c r="G2203" s="62" t="s">
        <v>41</v>
      </c>
      <c r="H2203" s="34">
        <v>18223</v>
      </c>
      <c r="N2203" s="67" t="s">
        <v>42</v>
      </c>
    </row>
    <row r="2204" spans="2:14" ht="17" x14ac:dyDescent="0.2">
      <c r="B2204" s="151" t="s">
        <v>160</v>
      </c>
      <c r="C2204" s="19" t="s">
        <v>40</v>
      </c>
      <c r="E2204" s="70" t="s">
        <v>0</v>
      </c>
      <c r="G2204" s="62" t="s">
        <v>41</v>
      </c>
      <c r="H2204" s="34">
        <v>18223</v>
      </c>
      <c r="N2204" s="67" t="s">
        <v>42</v>
      </c>
    </row>
    <row r="2205" spans="2:14" ht="17" x14ac:dyDescent="0.2">
      <c r="B2205" s="153" t="s">
        <v>161</v>
      </c>
      <c r="C2205" s="19"/>
      <c r="N2205" s="67" t="s">
        <v>45</v>
      </c>
    </row>
    <row r="2206" spans="2:14" ht="17" x14ac:dyDescent="0.2">
      <c r="B2206" s="156" t="s">
        <v>162</v>
      </c>
      <c r="C2206" s="19"/>
      <c r="N2206" s="67" t="s">
        <v>45</v>
      </c>
    </row>
    <row r="2207" spans="2:14" ht="48" x14ac:dyDescent="0.2">
      <c r="B2207" s="151" t="s">
        <v>163</v>
      </c>
      <c r="C2207" s="19" t="s">
        <v>40</v>
      </c>
      <c r="E2207" s="70" t="s">
        <v>0</v>
      </c>
      <c r="G2207" s="62" t="s">
        <v>41</v>
      </c>
      <c r="H2207" s="34">
        <v>18223</v>
      </c>
      <c r="N2207" s="67" t="s">
        <v>42</v>
      </c>
    </row>
    <row r="2208" spans="2:14" ht="17" x14ac:dyDescent="0.2">
      <c r="B2208" s="138" t="s">
        <v>164</v>
      </c>
      <c r="C2208" s="19" t="s">
        <v>40</v>
      </c>
      <c r="E2208" s="70" t="s">
        <v>0</v>
      </c>
      <c r="G2208" s="62" t="s">
        <v>41</v>
      </c>
      <c r="H2208" s="34">
        <v>18223</v>
      </c>
      <c r="N2208" s="67" t="s">
        <v>42</v>
      </c>
    </row>
    <row r="2209" spans="2:14" ht="17" x14ac:dyDescent="0.2">
      <c r="B2209" s="156" t="s">
        <v>165</v>
      </c>
      <c r="C2209" s="19"/>
      <c r="N2209" s="67" t="s">
        <v>45</v>
      </c>
    </row>
    <row r="2210" spans="2:14" ht="48" x14ac:dyDescent="0.2">
      <c r="B2210" s="151" t="s">
        <v>166</v>
      </c>
      <c r="C2210" s="19" t="s">
        <v>40</v>
      </c>
      <c r="E2210" s="70" t="s">
        <v>0</v>
      </c>
      <c r="G2210" s="62" t="s">
        <v>41</v>
      </c>
      <c r="H2210" s="34">
        <v>18223</v>
      </c>
      <c r="N2210" s="67" t="s">
        <v>42</v>
      </c>
    </row>
    <row r="2211" spans="2:14" ht="17" x14ac:dyDescent="0.2">
      <c r="B2211" s="138" t="s">
        <v>167</v>
      </c>
      <c r="C2211" s="19" t="s">
        <v>40</v>
      </c>
      <c r="E2211" s="70" t="s">
        <v>0</v>
      </c>
      <c r="G2211" s="62" t="s">
        <v>41</v>
      </c>
      <c r="H2211" s="34">
        <v>18223</v>
      </c>
      <c r="N2211" s="67" t="s">
        <v>42</v>
      </c>
    </row>
    <row r="2212" spans="2:14" ht="17" x14ac:dyDescent="0.2">
      <c r="B2212" s="157" t="s">
        <v>168</v>
      </c>
      <c r="N2212" s="67" t="s">
        <v>45</v>
      </c>
    </row>
    <row r="2213" spans="2:14" ht="51" x14ac:dyDescent="0.2">
      <c r="B2213" s="158" t="s">
        <v>169</v>
      </c>
      <c r="C2213" s="19" t="s">
        <v>40</v>
      </c>
      <c r="E2213" s="70" t="s">
        <v>0</v>
      </c>
      <c r="G2213" s="62" t="s">
        <v>41</v>
      </c>
      <c r="H2213" s="34">
        <v>18223</v>
      </c>
      <c r="N2213" s="67" t="s">
        <v>42</v>
      </c>
    </row>
    <row r="2214" spans="2:14" ht="17" x14ac:dyDescent="0.2">
      <c r="B2214" s="159" t="s">
        <v>170</v>
      </c>
      <c r="C2214" s="19" t="s">
        <v>40</v>
      </c>
      <c r="E2214" s="70" t="s">
        <v>0</v>
      </c>
      <c r="G2214" s="62" t="s">
        <v>41</v>
      </c>
      <c r="H2214" s="34">
        <v>18223</v>
      </c>
      <c r="N2214" s="67" t="s">
        <v>42</v>
      </c>
    </row>
    <row r="2215" spans="2:14" ht="17" x14ac:dyDescent="0.2">
      <c r="B2215" s="157" t="s">
        <v>171</v>
      </c>
      <c r="C2215" s="19"/>
      <c r="N2215" s="67" t="s">
        <v>45</v>
      </c>
    </row>
    <row r="2216" spans="2:14" ht="48" x14ac:dyDescent="0.2">
      <c r="B2216" s="144" t="s">
        <v>172</v>
      </c>
      <c r="C2216" s="19" t="s">
        <v>40</v>
      </c>
      <c r="E2216" s="70" t="s">
        <v>0</v>
      </c>
      <c r="G2216" s="62" t="s">
        <v>41</v>
      </c>
      <c r="H2216" s="34">
        <v>18223</v>
      </c>
      <c r="N2216" s="67" t="s">
        <v>42</v>
      </c>
    </row>
    <row r="2217" spans="2:14" ht="17" x14ac:dyDescent="0.2">
      <c r="B2217" s="160" t="s">
        <v>173</v>
      </c>
      <c r="C2217" s="19" t="s">
        <v>40</v>
      </c>
      <c r="E2217" s="70" t="s">
        <v>0</v>
      </c>
      <c r="G2217" s="62" t="s">
        <v>41</v>
      </c>
      <c r="H2217" s="34">
        <v>18223</v>
      </c>
      <c r="N2217" s="67" t="s">
        <v>42</v>
      </c>
    </row>
    <row r="2218" spans="2:14" ht="17" x14ac:dyDescent="0.2">
      <c r="B2218" s="161" t="s">
        <v>174</v>
      </c>
      <c r="N2218" s="67" t="s">
        <v>45</v>
      </c>
    </row>
    <row r="2219" spans="2:14" ht="51" x14ac:dyDescent="0.2">
      <c r="B2219" s="161" t="s">
        <v>175</v>
      </c>
      <c r="C2219" s="19"/>
      <c r="N2219" s="67" t="s">
        <v>45</v>
      </c>
    </row>
    <row r="2220" spans="2:14" ht="17" x14ac:dyDescent="0.2">
      <c r="B2220" s="131" t="s">
        <v>176</v>
      </c>
      <c r="C2220" s="19" t="s">
        <v>40</v>
      </c>
      <c r="E2220" s="70" t="s">
        <v>0</v>
      </c>
      <c r="G2220" s="62" t="s">
        <v>41</v>
      </c>
      <c r="H2220" s="34">
        <v>18223</v>
      </c>
      <c r="N2220" s="67" t="s">
        <v>42</v>
      </c>
    </row>
    <row r="2221" spans="2:14" ht="17" x14ac:dyDescent="0.2">
      <c r="B2221" s="160" t="s">
        <v>177</v>
      </c>
      <c r="C2221" s="19" t="s">
        <v>40</v>
      </c>
      <c r="E2221" s="70" t="s">
        <v>0</v>
      </c>
      <c r="G2221" s="62" t="s">
        <v>41</v>
      </c>
      <c r="H2221" s="34">
        <v>18223</v>
      </c>
      <c r="N2221" s="67" t="s">
        <v>42</v>
      </c>
    </row>
    <row r="2222" spans="2:14" ht="17" x14ac:dyDescent="0.2">
      <c r="B2222" s="131" t="s">
        <v>178</v>
      </c>
      <c r="C2222" s="19" t="s">
        <v>40</v>
      </c>
      <c r="E2222" s="70" t="s">
        <v>0</v>
      </c>
      <c r="G2222" s="62" t="s">
        <v>41</v>
      </c>
      <c r="H2222" s="34">
        <v>18223</v>
      </c>
      <c r="N2222" s="67" t="s">
        <v>42</v>
      </c>
    </row>
    <row r="2223" spans="2:14" ht="68" x14ac:dyDescent="0.2">
      <c r="B2223" s="131" t="s">
        <v>179</v>
      </c>
      <c r="C2223" s="19" t="s">
        <v>40</v>
      </c>
      <c r="E2223" s="70" t="s">
        <v>0</v>
      </c>
      <c r="G2223" s="62" t="s">
        <v>41</v>
      </c>
      <c r="H2223" s="34">
        <v>18223</v>
      </c>
      <c r="N2223" s="67" t="s">
        <v>42</v>
      </c>
    </row>
    <row r="2224" spans="2:14" ht="17" x14ac:dyDescent="0.2">
      <c r="B2224" s="131" t="s">
        <v>180</v>
      </c>
      <c r="C2224" s="19" t="s">
        <v>40</v>
      </c>
      <c r="E2224" s="70" t="s">
        <v>0</v>
      </c>
      <c r="G2224" s="62" t="s">
        <v>41</v>
      </c>
      <c r="H2224" s="34">
        <v>18223</v>
      </c>
      <c r="N2224" s="67" t="s">
        <v>42</v>
      </c>
    </row>
    <row r="2225" spans="2:14" ht="68" x14ac:dyDescent="0.2">
      <c r="B2225" s="131" t="s">
        <v>181</v>
      </c>
      <c r="C2225" s="19" t="s">
        <v>40</v>
      </c>
      <c r="E2225" s="70" t="s">
        <v>0</v>
      </c>
      <c r="G2225" s="62" t="s">
        <v>41</v>
      </c>
      <c r="H2225" s="34">
        <v>18223</v>
      </c>
      <c r="N2225" s="67" t="s">
        <v>42</v>
      </c>
    </row>
    <row r="2226" spans="2:14" ht="17" x14ac:dyDescent="0.2">
      <c r="B2226" s="160" t="s">
        <v>182</v>
      </c>
      <c r="C2226" s="19" t="s">
        <v>40</v>
      </c>
      <c r="E2226" s="70" t="s">
        <v>0</v>
      </c>
      <c r="G2226" s="62" t="s">
        <v>41</v>
      </c>
      <c r="H2226" s="34">
        <v>18223</v>
      </c>
      <c r="N2226" s="67" t="s">
        <v>42</v>
      </c>
    </row>
    <row r="2227" spans="2:14" ht="68" x14ac:dyDescent="0.2">
      <c r="B2227" s="160" t="s">
        <v>183</v>
      </c>
      <c r="C2227" s="19" t="s">
        <v>40</v>
      </c>
      <c r="E2227" s="70" t="s">
        <v>0</v>
      </c>
      <c r="G2227" s="62" t="s">
        <v>41</v>
      </c>
      <c r="H2227" s="34">
        <v>18223</v>
      </c>
      <c r="N2227" s="67" t="s">
        <v>42</v>
      </c>
    </row>
    <row r="2228" spans="2:14" ht="17" x14ac:dyDescent="0.2">
      <c r="B2228" s="162" t="s">
        <v>184</v>
      </c>
      <c r="C2228" s="19" t="s">
        <v>40</v>
      </c>
      <c r="E2228" s="70" t="s">
        <v>0</v>
      </c>
      <c r="G2228" s="62" t="s">
        <v>41</v>
      </c>
      <c r="H2228" s="34">
        <v>18223</v>
      </c>
      <c r="N2228" s="67" t="s">
        <v>42</v>
      </c>
    </row>
    <row r="2229" spans="2:14" ht="17" x14ac:dyDescent="0.2">
      <c r="B2229" s="162" t="s">
        <v>185</v>
      </c>
      <c r="C2229" s="19" t="s">
        <v>40</v>
      </c>
      <c r="E2229" s="70" t="s">
        <v>0</v>
      </c>
      <c r="G2229" s="62" t="s">
        <v>41</v>
      </c>
      <c r="H2229" s="34">
        <v>18223</v>
      </c>
      <c r="N2229" s="67" t="s">
        <v>42</v>
      </c>
    </row>
    <row r="2230" spans="2:14" ht="17" x14ac:dyDescent="0.2">
      <c r="N2230" s="67" t="str">
        <f t="shared" ref="N2230:N2293" si="0">IF(C2230="","","Ina Sabadze")</f>
        <v/>
      </c>
    </row>
    <row r="2231" spans="2:14" ht="17" x14ac:dyDescent="0.2">
      <c r="N2231" s="67" t="str">
        <f t="shared" si="0"/>
        <v/>
      </c>
    </row>
    <row r="2232" spans="2:14" ht="17" x14ac:dyDescent="0.2">
      <c r="N2232" s="67" t="str">
        <f t="shared" si="0"/>
        <v/>
      </c>
    </row>
    <row r="2233" spans="2:14" ht="17" x14ac:dyDescent="0.2">
      <c r="N2233" s="67" t="str">
        <f t="shared" si="0"/>
        <v/>
      </c>
    </row>
    <row r="2234" spans="2:14" ht="17" x14ac:dyDescent="0.2">
      <c r="N2234" s="67" t="str">
        <f t="shared" si="0"/>
        <v/>
      </c>
    </row>
    <row r="2235" spans="2:14" ht="17" x14ac:dyDescent="0.2">
      <c r="N2235" s="67" t="str">
        <f t="shared" si="0"/>
        <v/>
      </c>
    </row>
    <row r="2236" spans="2:14" ht="17" x14ac:dyDescent="0.2">
      <c r="N2236" s="67" t="str">
        <f t="shared" si="0"/>
        <v/>
      </c>
    </row>
    <row r="2237" spans="2:14" ht="17" x14ac:dyDescent="0.2">
      <c r="N2237" s="67" t="str">
        <f t="shared" si="0"/>
        <v/>
      </c>
    </row>
    <row r="2238" spans="2:14" ht="17" x14ac:dyDescent="0.2">
      <c r="N2238" s="67" t="str">
        <f t="shared" si="0"/>
        <v/>
      </c>
    </row>
    <row r="2239" spans="2:14" ht="17" x14ac:dyDescent="0.2">
      <c r="N2239" s="67" t="str">
        <f t="shared" si="0"/>
        <v/>
      </c>
    </row>
    <row r="2240" spans="2:14" ht="17" x14ac:dyDescent="0.2">
      <c r="N2240" s="67" t="str">
        <f t="shared" si="0"/>
        <v/>
      </c>
    </row>
    <row r="2241" spans="14:14" ht="17" x14ac:dyDescent="0.2">
      <c r="N2241" s="67" t="str">
        <f t="shared" si="0"/>
        <v/>
      </c>
    </row>
    <row r="2242" spans="14:14" ht="17" x14ac:dyDescent="0.2">
      <c r="N2242" s="67" t="str">
        <f t="shared" si="0"/>
        <v/>
      </c>
    </row>
    <row r="2243" spans="14:14" ht="17" x14ac:dyDescent="0.2">
      <c r="N2243" s="67" t="str">
        <f t="shared" si="0"/>
        <v/>
      </c>
    </row>
    <row r="2244" spans="14:14" ht="17" x14ac:dyDescent="0.2">
      <c r="N2244" s="67" t="str">
        <f t="shared" si="0"/>
        <v/>
      </c>
    </row>
    <row r="2245" spans="14:14" ht="17" x14ac:dyDescent="0.2">
      <c r="N2245" s="67" t="str">
        <f t="shared" si="0"/>
        <v/>
      </c>
    </row>
    <row r="2246" spans="14:14" ht="17" x14ac:dyDescent="0.2">
      <c r="N2246" s="67" t="str">
        <f t="shared" si="0"/>
        <v/>
      </c>
    </row>
    <row r="2247" spans="14:14" ht="17" x14ac:dyDescent="0.2">
      <c r="N2247" s="67" t="str">
        <f t="shared" si="0"/>
        <v/>
      </c>
    </row>
    <row r="2248" spans="14:14" ht="17" x14ac:dyDescent="0.2">
      <c r="N2248" s="67" t="str">
        <f t="shared" si="0"/>
        <v/>
      </c>
    </row>
    <row r="2249" spans="14:14" ht="17" x14ac:dyDescent="0.2">
      <c r="N2249" s="67" t="str">
        <f t="shared" si="0"/>
        <v/>
      </c>
    </row>
    <row r="2250" spans="14:14" ht="17" x14ac:dyDescent="0.2">
      <c r="N2250" s="67" t="str">
        <f t="shared" si="0"/>
        <v/>
      </c>
    </row>
    <row r="2251" spans="14:14" ht="17" x14ac:dyDescent="0.2">
      <c r="N2251" s="67" t="str">
        <f t="shared" si="0"/>
        <v/>
      </c>
    </row>
    <row r="2252" spans="14:14" ht="17" x14ac:dyDescent="0.2">
      <c r="N2252" s="67" t="str">
        <f t="shared" si="0"/>
        <v/>
      </c>
    </row>
    <row r="2253" spans="14:14" ht="17" x14ac:dyDescent="0.2">
      <c r="N2253" s="67" t="str">
        <f t="shared" si="0"/>
        <v/>
      </c>
    </row>
    <row r="2254" spans="14:14" ht="17" x14ac:dyDescent="0.2">
      <c r="N2254" s="67" t="str">
        <f t="shared" si="0"/>
        <v/>
      </c>
    </row>
    <row r="2255" spans="14:14" ht="17" x14ac:dyDescent="0.2">
      <c r="N2255" s="67" t="str">
        <f t="shared" si="0"/>
        <v/>
      </c>
    </row>
    <row r="2256" spans="14:14" ht="17" x14ac:dyDescent="0.2">
      <c r="N2256" s="67" t="str">
        <f t="shared" si="0"/>
        <v/>
      </c>
    </row>
    <row r="2257" spans="14:14" ht="17" x14ac:dyDescent="0.2">
      <c r="N2257" s="67" t="str">
        <f t="shared" si="0"/>
        <v/>
      </c>
    </row>
    <row r="2258" spans="14:14" ht="17" x14ac:dyDescent="0.2">
      <c r="N2258" s="67" t="str">
        <f t="shared" si="0"/>
        <v/>
      </c>
    </row>
    <row r="2259" spans="14:14" ht="17" x14ac:dyDescent="0.2">
      <c r="N2259" s="67" t="str">
        <f t="shared" si="0"/>
        <v/>
      </c>
    </row>
    <row r="2260" spans="14:14" ht="17" x14ac:dyDescent="0.2">
      <c r="N2260" s="67" t="str">
        <f t="shared" si="0"/>
        <v/>
      </c>
    </row>
    <row r="2261" spans="14:14" ht="17" x14ac:dyDescent="0.2">
      <c r="N2261" s="67" t="str">
        <f t="shared" si="0"/>
        <v/>
      </c>
    </row>
    <row r="2262" spans="14:14" ht="17" x14ac:dyDescent="0.2">
      <c r="N2262" s="67" t="str">
        <f t="shared" si="0"/>
        <v/>
      </c>
    </row>
    <row r="2263" spans="14:14" ht="17" x14ac:dyDescent="0.2">
      <c r="N2263" s="67" t="str">
        <f t="shared" si="0"/>
        <v/>
      </c>
    </row>
    <row r="2264" spans="14:14" ht="17" x14ac:dyDescent="0.2">
      <c r="N2264" s="67" t="str">
        <f t="shared" si="0"/>
        <v/>
      </c>
    </row>
    <row r="2265" spans="14:14" ht="17" x14ac:dyDescent="0.2">
      <c r="N2265" s="67" t="str">
        <f t="shared" si="0"/>
        <v/>
      </c>
    </row>
    <row r="2266" spans="14:14" ht="17" x14ac:dyDescent="0.2">
      <c r="N2266" s="67" t="str">
        <f t="shared" si="0"/>
        <v/>
      </c>
    </row>
    <row r="2267" spans="14:14" ht="17" x14ac:dyDescent="0.2">
      <c r="N2267" s="67" t="str">
        <f t="shared" si="0"/>
        <v/>
      </c>
    </row>
    <row r="2268" spans="14:14" ht="17" x14ac:dyDescent="0.2">
      <c r="N2268" s="67" t="str">
        <f t="shared" si="0"/>
        <v/>
      </c>
    </row>
    <row r="2269" spans="14:14" ht="17" x14ac:dyDescent="0.2">
      <c r="N2269" s="67" t="str">
        <f t="shared" si="0"/>
        <v/>
      </c>
    </row>
    <row r="2270" spans="14:14" ht="17" x14ac:dyDescent="0.2">
      <c r="N2270" s="67" t="str">
        <f t="shared" si="0"/>
        <v/>
      </c>
    </row>
    <row r="2271" spans="14:14" ht="17" x14ac:dyDescent="0.2">
      <c r="N2271" s="67" t="str">
        <f t="shared" si="0"/>
        <v/>
      </c>
    </row>
    <row r="2272" spans="14:14" ht="17" x14ac:dyDescent="0.2">
      <c r="N2272" s="67" t="str">
        <f t="shared" si="0"/>
        <v/>
      </c>
    </row>
    <row r="2273" spans="14:14" ht="17" x14ac:dyDescent="0.2">
      <c r="N2273" s="67" t="str">
        <f t="shared" si="0"/>
        <v/>
      </c>
    </row>
    <row r="2274" spans="14:14" ht="17" x14ac:dyDescent="0.2">
      <c r="N2274" s="67" t="str">
        <f t="shared" si="0"/>
        <v/>
      </c>
    </row>
    <row r="2275" spans="14:14" ht="17" x14ac:dyDescent="0.2">
      <c r="N2275" s="67" t="str">
        <f t="shared" si="0"/>
        <v/>
      </c>
    </row>
    <row r="2276" spans="14:14" ht="17" x14ac:dyDescent="0.2">
      <c r="N2276" s="67" t="str">
        <f t="shared" si="0"/>
        <v/>
      </c>
    </row>
    <row r="2277" spans="14:14" ht="17" x14ac:dyDescent="0.2">
      <c r="N2277" s="67" t="str">
        <f t="shared" si="0"/>
        <v/>
      </c>
    </row>
    <row r="2278" spans="14:14" ht="17" x14ac:dyDescent="0.2">
      <c r="N2278" s="67" t="str">
        <f t="shared" si="0"/>
        <v/>
      </c>
    </row>
    <row r="2279" spans="14:14" ht="17" x14ac:dyDescent="0.2">
      <c r="N2279" s="67" t="str">
        <f t="shared" si="0"/>
        <v/>
      </c>
    </row>
    <row r="2280" spans="14:14" ht="17" x14ac:dyDescent="0.2">
      <c r="N2280" s="67" t="str">
        <f t="shared" si="0"/>
        <v/>
      </c>
    </row>
    <row r="2281" spans="14:14" ht="17" x14ac:dyDescent="0.2">
      <c r="N2281" s="67" t="str">
        <f t="shared" si="0"/>
        <v/>
      </c>
    </row>
    <row r="2282" spans="14:14" ht="17" x14ac:dyDescent="0.2">
      <c r="N2282" s="67" t="str">
        <f t="shared" si="0"/>
        <v/>
      </c>
    </row>
    <row r="2283" spans="14:14" ht="17" x14ac:dyDescent="0.2">
      <c r="N2283" s="67" t="str">
        <f t="shared" si="0"/>
        <v/>
      </c>
    </row>
    <row r="2284" spans="14:14" ht="17" x14ac:dyDescent="0.2">
      <c r="N2284" s="67" t="str">
        <f t="shared" si="0"/>
        <v/>
      </c>
    </row>
    <row r="2285" spans="14:14" ht="17" x14ac:dyDescent="0.2">
      <c r="N2285" s="67" t="str">
        <f t="shared" si="0"/>
        <v/>
      </c>
    </row>
    <row r="2286" spans="14:14" ht="17" x14ac:dyDescent="0.2">
      <c r="N2286" s="67" t="str">
        <f t="shared" si="0"/>
        <v/>
      </c>
    </row>
    <row r="2287" spans="14:14" ht="17" x14ac:dyDescent="0.2">
      <c r="N2287" s="67" t="str">
        <f t="shared" si="0"/>
        <v/>
      </c>
    </row>
    <row r="2288" spans="14:14" ht="17" x14ac:dyDescent="0.2">
      <c r="N2288" s="67" t="str">
        <f t="shared" si="0"/>
        <v/>
      </c>
    </row>
    <row r="2289" spans="14:14" ht="17" x14ac:dyDescent="0.2">
      <c r="N2289" s="67" t="str">
        <f t="shared" si="0"/>
        <v/>
      </c>
    </row>
    <row r="2290" spans="14:14" ht="17" x14ac:dyDescent="0.2">
      <c r="N2290" s="67" t="str">
        <f t="shared" si="0"/>
        <v/>
      </c>
    </row>
    <row r="2291" spans="14:14" ht="17" x14ac:dyDescent="0.2">
      <c r="N2291" s="67" t="str">
        <f t="shared" si="0"/>
        <v/>
      </c>
    </row>
    <row r="2292" spans="14:14" ht="17" x14ac:dyDescent="0.2">
      <c r="N2292" s="67" t="str">
        <f t="shared" si="0"/>
        <v/>
      </c>
    </row>
    <row r="2293" spans="14:14" ht="17" x14ac:dyDescent="0.2">
      <c r="N2293" s="67" t="str">
        <f t="shared" si="0"/>
        <v/>
      </c>
    </row>
    <row r="2294" spans="14:14" ht="17" x14ac:dyDescent="0.2">
      <c r="N2294" s="67" t="str">
        <f t="shared" ref="N2294:N2357" si="1">IF(C2294="","","Ina Sabadze")</f>
        <v/>
      </c>
    </row>
    <row r="2295" spans="14:14" ht="17" x14ac:dyDescent="0.2">
      <c r="N2295" s="67" t="str">
        <f t="shared" si="1"/>
        <v/>
      </c>
    </row>
    <row r="2296" spans="14:14" ht="17" x14ac:dyDescent="0.2">
      <c r="N2296" s="67" t="str">
        <f t="shared" si="1"/>
        <v/>
      </c>
    </row>
    <row r="2297" spans="14:14" ht="17" x14ac:dyDescent="0.2">
      <c r="N2297" s="67" t="str">
        <f t="shared" si="1"/>
        <v/>
      </c>
    </row>
    <row r="2298" spans="14:14" ht="17" x14ac:dyDescent="0.2">
      <c r="N2298" s="67" t="str">
        <f t="shared" si="1"/>
        <v/>
      </c>
    </row>
    <row r="2299" spans="14:14" ht="17" x14ac:dyDescent="0.2">
      <c r="N2299" s="67" t="str">
        <f t="shared" si="1"/>
        <v/>
      </c>
    </row>
    <row r="2300" spans="14:14" ht="17" x14ac:dyDescent="0.2">
      <c r="N2300" s="67" t="str">
        <f t="shared" si="1"/>
        <v/>
      </c>
    </row>
    <row r="2301" spans="14:14" ht="17" x14ac:dyDescent="0.2">
      <c r="N2301" s="67" t="str">
        <f t="shared" si="1"/>
        <v/>
      </c>
    </row>
    <row r="2302" spans="14:14" ht="17" x14ac:dyDescent="0.2">
      <c r="N2302" s="67" t="str">
        <f t="shared" si="1"/>
        <v/>
      </c>
    </row>
    <row r="2303" spans="14:14" ht="17" x14ac:dyDescent="0.2">
      <c r="N2303" s="67" t="str">
        <f t="shared" si="1"/>
        <v/>
      </c>
    </row>
    <row r="2304" spans="14:14" ht="17" x14ac:dyDescent="0.2">
      <c r="N2304" s="67" t="str">
        <f t="shared" si="1"/>
        <v/>
      </c>
    </row>
    <row r="2305" spans="14:14" ht="17" x14ac:dyDescent="0.2">
      <c r="N2305" s="67" t="str">
        <f t="shared" si="1"/>
        <v/>
      </c>
    </row>
    <row r="2306" spans="14:14" ht="17" x14ac:dyDescent="0.2">
      <c r="N2306" s="67" t="str">
        <f t="shared" si="1"/>
        <v/>
      </c>
    </row>
    <row r="2307" spans="14:14" ht="17" x14ac:dyDescent="0.2">
      <c r="N2307" s="67" t="str">
        <f t="shared" si="1"/>
        <v/>
      </c>
    </row>
    <row r="2308" spans="14:14" ht="17" x14ac:dyDescent="0.2">
      <c r="N2308" s="67" t="str">
        <f t="shared" si="1"/>
        <v/>
      </c>
    </row>
    <row r="2309" spans="14:14" ht="17" x14ac:dyDescent="0.2">
      <c r="N2309" s="67" t="str">
        <f t="shared" si="1"/>
        <v/>
      </c>
    </row>
    <row r="2310" spans="14:14" ht="17" x14ac:dyDescent="0.2">
      <c r="N2310" s="67" t="str">
        <f t="shared" si="1"/>
        <v/>
      </c>
    </row>
    <row r="2311" spans="14:14" ht="17" x14ac:dyDescent="0.2">
      <c r="N2311" s="67" t="str">
        <f t="shared" si="1"/>
        <v/>
      </c>
    </row>
    <row r="2312" spans="14:14" ht="17" x14ac:dyDescent="0.2">
      <c r="N2312" s="67" t="str">
        <f t="shared" si="1"/>
        <v/>
      </c>
    </row>
    <row r="2313" spans="14:14" ht="17" x14ac:dyDescent="0.2">
      <c r="N2313" s="67" t="str">
        <f t="shared" si="1"/>
        <v/>
      </c>
    </row>
    <row r="2314" spans="14:14" ht="17" x14ac:dyDescent="0.2">
      <c r="N2314" s="67" t="str">
        <f t="shared" si="1"/>
        <v/>
      </c>
    </row>
    <row r="2315" spans="14:14" ht="17" x14ac:dyDescent="0.2">
      <c r="N2315" s="67" t="str">
        <f t="shared" si="1"/>
        <v/>
      </c>
    </row>
    <row r="2316" spans="14:14" ht="17" x14ac:dyDescent="0.2">
      <c r="N2316" s="67" t="str">
        <f t="shared" si="1"/>
        <v/>
      </c>
    </row>
    <row r="2317" spans="14:14" ht="17" x14ac:dyDescent="0.2">
      <c r="N2317" s="67" t="str">
        <f t="shared" si="1"/>
        <v/>
      </c>
    </row>
    <row r="2318" spans="14:14" ht="17" x14ac:dyDescent="0.2">
      <c r="N2318" s="67" t="str">
        <f t="shared" si="1"/>
        <v/>
      </c>
    </row>
    <row r="2319" spans="14:14" ht="17" x14ac:dyDescent="0.2">
      <c r="N2319" s="67" t="str">
        <f t="shared" si="1"/>
        <v/>
      </c>
    </row>
    <row r="2320" spans="14:14" ht="17" x14ac:dyDescent="0.2">
      <c r="N2320" s="67" t="str">
        <f t="shared" si="1"/>
        <v/>
      </c>
    </row>
    <row r="2321" spans="14:14" ht="17" x14ac:dyDescent="0.2">
      <c r="N2321" s="67" t="str">
        <f t="shared" si="1"/>
        <v/>
      </c>
    </row>
    <row r="2322" spans="14:14" ht="17" x14ac:dyDescent="0.2">
      <c r="N2322" s="67" t="str">
        <f t="shared" si="1"/>
        <v/>
      </c>
    </row>
    <row r="2323" spans="14:14" ht="17" x14ac:dyDescent="0.2">
      <c r="N2323" s="67" t="str">
        <f t="shared" si="1"/>
        <v/>
      </c>
    </row>
    <row r="2324" spans="14:14" ht="17" x14ac:dyDescent="0.2">
      <c r="N2324" s="67" t="str">
        <f t="shared" si="1"/>
        <v/>
      </c>
    </row>
    <row r="2325" spans="14:14" ht="17" x14ac:dyDescent="0.2">
      <c r="N2325" s="67" t="str">
        <f t="shared" si="1"/>
        <v/>
      </c>
    </row>
    <row r="2326" spans="14:14" ht="17" x14ac:dyDescent="0.2">
      <c r="N2326" s="67" t="str">
        <f t="shared" si="1"/>
        <v/>
      </c>
    </row>
    <row r="2327" spans="14:14" ht="17" x14ac:dyDescent="0.2">
      <c r="N2327" s="67" t="str">
        <f t="shared" si="1"/>
        <v/>
      </c>
    </row>
    <row r="2328" spans="14:14" ht="17" x14ac:dyDescent="0.2">
      <c r="N2328" s="67" t="str">
        <f t="shared" si="1"/>
        <v/>
      </c>
    </row>
    <row r="2329" spans="14:14" ht="17" x14ac:dyDescent="0.2">
      <c r="N2329" s="67" t="str">
        <f t="shared" si="1"/>
        <v/>
      </c>
    </row>
    <row r="2330" spans="14:14" ht="17" x14ac:dyDescent="0.2">
      <c r="N2330" s="67" t="str">
        <f t="shared" si="1"/>
        <v/>
      </c>
    </row>
    <row r="2331" spans="14:14" ht="17" x14ac:dyDescent="0.2">
      <c r="N2331" s="67" t="str">
        <f t="shared" si="1"/>
        <v/>
      </c>
    </row>
    <row r="2332" spans="14:14" ht="17" x14ac:dyDescent="0.2">
      <c r="N2332" s="67" t="str">
        <f t="shared" si="1"/>
        <v/>
      </c>
    </row>
    <row r="2333" spans="14:14" ht="17" x14ac:dyDescent="0.2">
      <c r="N2333" s="67" t="str">
        <f t="shared" si="1"/>
        <v/>
      </c>
    </row>
    <row r="2334" spans="14:14" ht="17" x14ac:dyDescent="0.2">
      <c r="N2334" s="67" t="str">
        <f t="shared" si="1"/>
        <v/>
      </c>
    </row>
    <row r="2335" spans="14:14" ht="17" x14ac:dyDescent="0.2">
      <c r="N2335" s="67" t="str">
        <f t="shared" si="1"/>
        <v/>
      </c>
    </row>
    <row r="2336" spans="14:14" ht="17" x14ac:dyDescent="0.2">
      <c r="N2336" s="67" t="str">
        <f t="shared" si="1"/>
        <v/>
      </c>
    </row>
    <row r="2337" spans="14:14" ht="17" x14ac:dyDescent="0.2">
      <c r="N2337" s="67" t="str">
        <f t="shared" si="1"/>
        <v/>
      </c>
    </row>
    <row r="2338" spans="14:14" ht="17" x14ac:dyDescent="0.2">
      <c r="N2338" s="67" t="str">
        <f t="shared" si="1"/>
        <v/>
      </c>
    </row>
    <row r="2339" spans="14:14" ht="17" x14ac:dyDescent="0.2">
      <c r="N2339" s="67" t="str">
        <f t="shared" si="1"/>
        <v/>
      </c>
    </row>
    <row r="2340" spans="14:14" ht="17" x14ac:dyDescent="0.2">
      <c r="N2340" s="67" t="str">
        <f t="shared" si="1"/>
        <v/>
      </c>
    </row>
    <row r="2341" spans="14:14" ht="17" x14ac:dyDescent="0.2">
      <c r="N2341" s="67" t="str">
        <f t="shared" si="1"/>
        <v/>
      </c>
    </row>
    <row r="2342" spans="14:14" ht="17" x14ac:dyDescent="0.2">
      <c r="N2342" s="67" t="str">
        <f t="shared" si="1"/>
        <v/>
      </c>
    </row>
    <row r="2343" spans="14:14" ht="17" x14ac:dyDescent="0.2">
      <c r="N2343" s="67" t="str">
        <f t="shared" si="1"/>
        <v/>
      </c>
    </row>
    <row r="2344" spans="14:14" ht="17" x14ac:dyDescent="0.2">
      <c r="N2344" s="67" t="str">
        <f t="shared" si="1"/>
        <v/>
      </c>
    </row>
    <row r="2345" spans="14:14" ht="17" x14ac:dyDescent="0.2">
      <c r="N2345" s="67" t="str">
        <f t="shared" si="1"/>
        <v/>
      </c>
    </row>
    <row r="2346" spans="14:14" ht="17" x14ac:dyDescent="0.2">
      <c r="N2346" s="67" t="str">
        <f t="shared" si="1"/>
        <v/>
      </c>
    </row>
    <row r="2347" spans="14:14" ht="17" x14ac:dyDescent="0.2">
      <c r="N2347" s="67" t="str">
        <f t="shared" si="1"/>
        <v/>
      </c>
    </row>
    <row r="2348" spans="14:14" ht="17" x14ac:dyDescent="0.2">
      <c r="N2348" s="67" t="str">
        <f t="shared" si="1"/>
        <v/>
      </c>
    </row>
    <row r="2349" spans="14:14" ht="17" x14ac:dyDescent="0.2">
      <c r="N2349" s="67" t="str">
        <f t="shared" si="1"/>
        <v/>
      </c>
    </row>
    <row r="2350" spans="14:14" ht="17" x14ac:dyDescent="0.2">
      <c r="N2350" s="67" t="str">
        <f t="shared" si="1"/>
        <v/>
      </c>
    </row>
    <row r="2351" spans="14:14" ht="17" x14ac:dyDescent="0.2">
      <c r="N2351" s="67" t="str">
        <f t="shared" si="1"/>
        <v/>
      </c>
    </row>
    <row r="2352" spans="14:14" ht="17" x14ac:dyDescent="0.2">
      <c r="N2352" s="67" t="str">
        <f t="shared" si="1"/>
        <v/>
      </c>
    </row>
    <row r="2353" spans="14:14" ht="17" x14ac:dyDescent="0.2">
      <c r="N2353" s="67" t="str">
        <f t="shared" si="1"/>
        <v/>
      </c>
    </row>
    <row r="2354" spans="14:14" ht="17" x14ac:dyDescent="0.2">
      <c r="N2354" s="67" t="str">
        <f t="shared" si="1"/>
        <v/>
      </c>
    </row>
    <row r="2355" spans="14:14" ht="17" x14ac:dyDescent="0.2">
      <c r="N2355" s="67" t="str">
        <f t="shared" si="1"/>
        <v/>
      </c>
    </row>
    <row r="2356" spans="14:14" ht="17" x14ac:dyDescent="0.2">
      <c r="N2356" s="67" t="str">
        <f t="shared" si="1"/>
        <v/>
      </c>
    </row>
    <row r="2357" spans="14:14" ht="17" x14ac:dyDescent="0.2">
      <c r="N2357" s="67" t="str">
        <f t="shared" si="1"/>
        <v/>
      </c>
    </row>
    <row r="2358" spans="14:14" ht="17" x14ac:dyDescent="0.2">
      <c r="N2358" s="67" t="str">
        <f t="shared" ref="N2358:N2421" si="2">IF(C2358="","","Ina Sabadze")</f>
        <v/>
      </c>
    </row>
    <row r="2359" spans="14:14" ht="17" x14ac:dyDescent="0.2">
      <c r="N2359" s="67" t="str">
        <f t="shared" si="2"/>
        <v/>
      </c>
    </row>
    <row r="2360" spans="14:14" ht="17" x14ac:dyDescent="0.2">
      <c r="N2360" s="67" t="str">
        <f t="shared" si="2"/>
        <v/>
      </c>
    </row>
    <row r="2361" spans="14:14" ht="17" x14ac:dyDescent="0.2">
      <c r="N2361" s="67" t="str">
        <f t="shared" si="2"/>
        <v/>
      </c>
    </row>
    <row r="2362" spans="14:14" ht="17" x14ac:dyDescent="0.2">
      <c r="N2362" s="67" t="str">
        <f t="shared" si="2"/>
        <v/>
      </c>
    </row>
    <row r="2363" spans="14:14" ht="17" x14ac:dyDescent="0.2">
      <c r="N2363" s="67" t="str">
        <f t="shared" si="2"/>
        <v/>
      </c>
    </row>
    <row r="2364" spans="14:14" ht="17" x14ac:dyDescent="0.2">
      <c r="N2364" s="67" t="str">
        <f t="shared" si="2"/>
        <v/>
      </c>
    </row>
    <row r="2365" spans="14:14" ht="17" x14ac:dyDescent="0.2">
      <c r="N2365" s="67" t="str">
        <f t="shared" si="2"/>
        <v/>
      </c>
    </row>
    <row r="2366" spans="14:14" ht="17" x14ac:dyDescent="0.2">
      <c r="N2366" s="67" t="str">
        <f t="shared" si="2"/>
        <v/>
      </c>
    </row>
    <row r="2367" spans="14:14" ht="17" x14ac:dyDescent="0.2">
      <c r="N2367" s="67" t="str">
        <f t="shared" si="2"/>
        <v/>
      </c>
    </row>
    <row r="2368" spans="14:14" ht="17" x14ac:dyDescent="0.2">
      <c r="N2368" s="67" t="str">
        <f t="shared" si="2"/>
        <v/>
      </c>
    </row>
    <row r="2369" spans="14:14" ht="17" x14ac:dyDescent="0.2">
      <c r="N2369" s="67" t="str">
        <f t="shared" si="2"/>
        <v/>
      </c>
    </row>
    <row r="2370" spans="14:14" ht="17" x14ac:dyDescent="0.2">
      <c r="N2370" s="67" t="str">
        <f t="shared" si="2"/>
        <v/>
      </c>
    </row>
    <row r="2371" spans="14:14" ht="17" x14ac:dyDescent="0.2">
      <c r="N2371" s="67" t="str">
        <f t="shared" si="2"/>
        <v/>
      </c>
    </row>
    <row r="2372" spans="14:14" ht="17" x14ac:dyDescent="0.2">
      <c r="N2372" s="67" t="str">
        <f t="shared" si="2"/>
        <v/>
      </c>
    </row>
    <row r="2373" spans="14:14" ht="17" x14ac:dyDescent="0.2">
      <c r="N2373" s="67" t="str">
        <f t="shared" si="2"/>
        <v/>
      </c>
    </row>
    <row r="2374" spans="14:14" ht="17" x14ac:dyDescent="0.2">
      <c r="N2374" s="67" t="str">
        <f t="shared" si="2"/>
        <v/>
      </c>
    </row>
    <row r="2375" spans="14:14" ht="17" x14ac:dyDescent="0.2">
      <c r="N2375" s="67" t="str">
        <f t="shared" si="2"/>
        <v/>
      </c>
    </row>
    <row r="2376" spans="14:14" ht="17" x14ac:dyDescent="0.2">
      <c r="N2376" s="67" t="str">
        <f t="shared" si="2"/>
        <v/>
      </c>
    </row>
    <row r="2377" spans="14:14" ht="17" x14ac:dyDescent="0.2">
      <c r="N2377" s="67" t="str">
        <f t="shared" si="2"/>
        <v/>
      </c>
    </row>
    <row r="2378" spans="14:14" ht="17" x14ac:dyDescent="0.2">
      <c r="N2378" s="67" t="str">
        <f t="shared" si="2"/>
        <v/>
      </c>
    </row>
    <row r="2379" spans="14:14" ht="17" x14ac:dyDescent="0.2">
      <c r="N2379" s="67" t="str">
        <f t="shared" si="2"/>
        <v/>
      </c>
    </row>
    <row r="2380" spans="14:14" ht="17" x14ac:dyDescent="0.2">
      <c r="N2380" s="67" t="str">
        <f t="shared" si="2"/>
        <v/>
      </c>
    </row>
    <row r="2381" spans="14:14" ht="17" x14ac:dyDescent="0.2">
      <c r="N2381" s="67" t="str">
        <f t="shared" si="2"/>
        <v/>
      </c>
    </row>
    <row r="2382" spans="14:14" ht="17" x14ac:dyDescent="0.2">
      <c r="N2382" s="67" t="str">
        <f t="shared" si="2"/>
        <v/>
      </c>
    </row>
    <row r="2383" spans="14:14" ht="17" x14ac:dyDescent="0.2">
      <c r="N2383" s="67" t="str">
        <f t="shared" si="2"/>
        <v/>
      </c>
    </row>
    <row r="2384" spans="14:14" ht="17" x14ac:dyDescent="0.2">
      <c r="N2384" s="67" t="str">
        <f t="shared" si="2"/>
        <v/>
      </c>
    </row>
    <row r="2385" spans="14:14" ht="17" x14ac:dyDescent="0.2">
      <c r="N2385" s="67" t="str">
        <f t="shared" si="2"/>
        <v/>
      </c>
    </row>
    <row r="2386" spans="14:14" ht="17" x14ac:dyDescent="0.2">
      <c r="N2386" s="67" t="str">
        <f t="shared" si="2"/>
        <v/>
      </c>
    </row>
    <row r="2387" spans="14:14" ht="17" x14ac:dyDescent="0.2">
      <c r="N2387" s="67" t="str">
        <f t="shared" si="2"/>
        <v/>
      </c>
    </row>
    <row r="2388" spans="14:14" ht="17" x14ac:dyDescent="0.2">
      <c r="N2388" s="67" t="str">
        <f t="shared" si="2"/>
        <v/>
      </c>
    </row>
    <row r="2389" spans="14:14" ht="17" x14ac:dyDescent="0.2">
      <c r="N2389" s="67" t="str">
        <f t="shared" si="2"/>
        <v/>
      </c>
    </row>
    <row r="2390" spans="14:14" ht="17" x14ac:dyDescent="0.2">
      <c r="N2390" s="67" t="str">
        <f t="shared" si="2"/>
        <v/>
      </c>
    </row>
    <row r="2391" spans="14:14" ht="17" x14ac:dyDescent="0.2">
      <c r="N2391" s="67" t="str">
        <f t="shared" si="2"/>
        <v/>
      </c>
    </row>
    <row r="2392" spans="14:14" ht="17" x14ac:dyDescent="0.2">
      <c r="N2392" s="67" t="str">
        <f t="shared" si="2"/>
        <v/>
      </c>
    </row>
    <row r="2393" spans="14:14" ht="17" x14ac:dyDescent="0.2">
      <c r="N2393" s="67" t="str">
        <f t="shared" si="2"/>
        <v/>
      </c>
    </row>
    <row r="2394" spans="14:14" ht="17" x14ac:dyDescent="0.2">
      <c r="N2394" s="67" t="str">
        <f t="shared" si="2"/>
        <v/>
      </c>
    </row>
    <row r="2395" spans="14:14" ht="17" x14ac:dyDescent="0.2">
      <c r="N2395" s="67" t="str">
        <f t="shared" si="2"/>
        <v/>
      </c>
    </row>
    <row r="2396" spans="14:14" ht="17" x14ac:dyDescent="0.2">
      <c r="N2396" s="67" t="str">
        <f t="shared" si="2"/>
        <v/>
      </c>
    </row>
    <row r="2397" spans="14:14" ht="17" x14ac:dyDescent="0.2">
      <c r="N2397" s="67" t="str">
        <f t="shared" si="2"/>
        <v/>
      </c>
    </row>
    <row r="2398" spans="14:14" ht="17" x14ac:dyDescent="0.2">
      <c r="N2398" s="67" t="str">
        <f t="shared" si="2"/>
        <v/>
      </c>
    </row>
    <row r="2399" spans="14:14" ht="17" x14ac:dyDescent="0.2">
      <c r="N2399" s="67" t="str">
        <f t="shared" si="2"/>
        <v/>
      </c>
    </row>
    <row r="2400" spans="14:14" ht="17" x14ac:dyDescent="0.2">
      <c r="N2400" s="67" t="str">
        <f t="shared" si="2"/>
        <v/>
      </c>
    </row>
    <row r="2401" spans="14:14" ht="17" x14ac:dyDescent="0.2">
      <c r="N2401" s="67" t="str">
        <f t="shared" si="2"/>
        <v/>
      </c>
    </row>
    <row r="2402" spans="14:14" ht="17" x14ac:dyDescent="0.2">
      <c r="N2402" s="67" t="str">
        <f t="shared" si="2"/>
        <v/>
      </c>
    </row>
    <row r="2403" spans="14:14" ht="17" x14ac:dyDescent="0.2">
      <c r="N2403" s="67" t="str">
        <f t="shared" si="2"/>
        <v/>
      </c>
    </row>
    <row r="2404" spans="14:14" ht="17" x14ac:dyDescent="0.2">
      <c r="N2404" s="67" t="str">
        <f t="shared" si="2"/>
        <v/>
      </c>
    </row>
    <row r="2405" spans="14:14" ht="17" x14ac:dyDescent="0.2">
      <c r="N2405" s="67" t="str">
        <f t="shared" si="2"/>
        <v/>
      </c>
    </row>
    <row r="2406" spans="14:14" ht="17" x14ac:dyDescent="0.2">
      <c r="N2406" s="67" t="str">
        <f t="shared" si="2"/>
        <v/>
      </c>
    </row>
    <row r="2407" spans="14:14" ht="17" x14ac:dyDescent="0.2">
      <c r="N2407" s="67" t="str">
        <f t="shared" si="2"/>
        <v/>
      </c>
    </row>
    <row r="2408" spans="14:14" ht="17" x14ac:dyDescent="0.2">
      <c r="N2408" s="67" t="str">
        <f t="shared" si="2"/>
        <v/>
      </c>
    </row>
    <row r="2409" spans="14:14" ht="17" x14ac:dyDescent="0.2">
      <c r="N2409" s="67" t="str">
        <f t="shared" si="2"/>
        <v/>
      </c>
    </row>
    <row r="2410" spans="14:14" ht="17" x14ac:dyDescent="0.2">
      <c r="N2410" s="67" t="str">
        <f t="shared" si="2"/>
        <v/>
      </c>
    </row>
    <row r="2411" spans="14:14" ht="17" x14ac:dyDescent="0.2">
      <c r="N2411" s="67" t="str">
        <f t="shared" si="2"/>
        <v/>
      </c>
    </row>
    <row r="2412" spans="14:14" ht="17" x14ac:dyDescent="0.2">
      <c r="N2412" s="67" t="str">
        <f t="shared" si="2"/>
        <v/>
      </c>
    </row>
    <row r="2413" spans="14:14" ht="17" x14ac:dyDescent="0.2">
      <c r="N2413" s="67" t="str">
        <f t="shared" si="2"/>
        <v/>
      </c>
    </row>
    <row r="2414" spans="14:14" ht="17" x14ac:dyDescent="0.2">
      <c r="N2414" s="67" t="str">
        <f t="shared" si="2"/>
        <v/>
      </c>
    </row>
    <row r="2415" spans="14:14" ht="17" x14ac:dyDescent="0.2">
      <c r="N2415" s="67" t="str">
        <f t="shared" si="2"/>
        <v/>
      </c>
    </row>
    <row r="2416" spans="14:14" ht="17" x14ac:dyDescent="0.2">
      <c r="N2416" s="67" t="str">
        <f t="shared" si="2"/>
        <v/>
      </c>
    </row>
    <row r="2417" spans="14:14" ht="17" x14ac:dyDescent="0.2">
      <c r="N2417" s="67" t="str">
        <f t="shared" si="2"/>
        <v/>
      </c>
    </row>
    <row r="2418" spans="14:14" ht="17" x14ac:dyDescent="0.2">
      <c r="N2418" s="67" t="str">
        <f t="shared" si="2"/>
        <v/>
      </c>
    </row>
    <row r="2419" spans="14:14" ht="17" x14ac:dyDescent="0.2">
      <c r="N2419" s="67" t="str">
        <f t="shared" si="2"/>
        <v/>
      </c>
    </row>
    <row r="2420" spans="14:14" ht="17" x14ac:dyDescent="0.2">
      <c r="N2420" s="67" t="str">
        <f t="shared" si="2"/>
        <v/>
      </c>
    </row>
    <row r="2421" spans="14:14" ht="17" x14ac:dyDescent="0.2">
      <c r="N2421" s="67" t="str">
        <f t="shared" si="2"/>
        <v/>
      </c>
    </row>
    <row r="2422" spans="14:14" ht="17" x14ac:dyDescent="0.2">
      <c r="N2422" s="67" t="str">
        <f t="shared" ref="N2422:N2485" si="3">IF(C2422="","","Ina Sabadze")</f>
        <v/>
      </c>
    </row>
    <row r="2423" spans="14:14" ht="17" x14ac:dyDescent="0.2">
      <c r="N2423" s="67" t="str">
        <f t="shared" si="3"/>
        <v/>
      </c>
    </row>
    <row r="2424" spans="14:14" ht="17" x14ac:dyDescent="0.2">
      <c r="N2424" s="67" t="str">
        <f t="shared" si="3"/>
        <v/>
      </c>
    </row>
    <row r="2425" spans="14:14" ht="17" x14ac:dyDescent="0.2">
      <c r="N2425" s="67" t="str">
        <f t="shared" si="3"/>
        <v/>
      </c>
    </row>
    <row r="2426" spans="14:14" ht="17" x14ac:dyDescent="0.2">
      <c r="N2426" s="67" t="str">
        <f t="shared" si="3"/>
        <v/>
      </c>
    </row>
    <row r="2427" spans="14:14" ht="17" x14ac:dyDescent="0.2">
      <c r="N2427" s="67" t="str">
        <f t="shared" si="3"/>
        <v/>
      </c>
    </row>
    <row r="2428" spans="14:14" ht="17" x14ac:dyDescent="0.2">
      <c r="N2428" s="67" t="str">
        <f t="shared" si="3"/>
        <v/>
      </c>
    </row>
    <row r="2429" spans="14:14" ht="17" x14ac:dyDescent="0.2">
      <c r="N2429" s="67" t="str">
        <f t="shared" si="3"/>
        <v/>
      </c>
    </row>
    <row r="2430" spans="14:14" ht="17" x14ac:dyDescent="0.2">
      <c r="N2430" s="67" t="str">
        <f t="shared" si="3"/>
        <v/>
      </c>
    </row>
    <row r="2431" spans="14:14" ht="17" x14ac:dyDescent="0.2">
      <c r="N2431" s="67" t="str">
        <f t="shared" si="3"/>
        <v/>
      </c>
    </row>
    <row r="2432" spans="14:14" ht="17" x14ac:dyDescent="0.2">
      <c r="N2432" s="67" t="str">
        <f t="shared" si="3"/>
        <v/>
      </c>
    </row>
    <row r="2433" spans="14:14" ht="17" x14ac:dyDescent="0.2">
      <c r="N2433" s="67" t="str">
        <f t="shared" si="3"/>
        <v/>
      </c>
    </row>
    <row r="2434" spans="14:14" ht="17" x14ac:dyDescent="0.2">
      <c r="N2434" s="67" t="str">
        <f t="shared" si="3"/>
        <v/>
      </c>
    </row>
    <row r="2435" spans="14:14" ht="17" x14ac:dyDescent="0.2">
      <c r="N2435" s="67" t="str">
        <f t="shared" si="3"/>
        <v/>
      </c>
    </row>
    <row r="2436" spans="14:14" ht="17" x14ac:dyDescent="0.2">
      <c r="N2436" s="67" t="str">
        <f t="shared" si="3"/>
        <v/>
      </c>
    </row>
    <row r="2437" spans="14:14" ht="17" x14ac:dyDescent="0.2">
      <c r="N2437" s="67" t="str">
        <f t="shared" si="3"/>
        <v/>
      </c>
    </row>
    <row r="2438" spans="14:14" ht="17" x14ac:dyDescent="0.2">
      <c r="N2438" s="67" t="str">
        <f t="shared" si="3"/>
        <v/>
      </c>
    </row>
    <row r="2439" spans="14:14" ht="17" x14ac:dyDescent="0.2">
      <c r="N2439" s="67" t="str">
        <f t="shared" si="3"/>
        <v/>
      </c>
    </row>
    <row r="2440" spans="14:14" ht="17" x14ac:dyDescent="0.2">
      <c r="N2440" s="67" t="str">
        <f t="shared" si="3"/>
        <v/>
      </c>
    </row>
    <row r="2441" spans="14:14" ht="17" x14ac:dyDescent="0.2">
      <c r="N2441" s="67" t="str">
        <f t="shared" si="3"/>
        <v/>
      </c>
    </row>
    <row r="2442" spans="14:14" ht="17" x14ac:dyDescent="0.2">
      <c r="N2442" s="67" t="str">
        <f t="shared" si="3"/>
        <v/>
      </c>
    </row>
    <row r="2443" spans="14:14" ht="17" x14ac:dyDescent="0.2">
      <c r="N2443" s="67" t="str">
        <f t="shared" si="3"/>
        <v/>
      </c>
    </row>
    <row r="2444" spans="14:14" ht="17" x14ac:dyDescent="0.2">
      <c r="N2444" s="67" t="str">
        <f t="shared" si="3"/>
        <v/>
      </c>
    </row>
    <row r="2445" spans="14:14" ht="17" x14ac:dyDescent="0.2">
      <c r="N2445" s="67" t="str">
        <f t="shared" si="3"/>
        <v/>
      </c>
    </row>
    <row r="2446" spans="14:14" ht="17" x14ac:dyDescent="0.2">
      <c r="N2446" s="67" t="str">
        <f t="shared" si="3"/>
        <v/>
      </c>
    </row>
    <row r="2447" spans="14:14" ht="17" x14ac:dyDescent="0.2">
      <c r="N2447" s="67" t="str">
        <f t="shared" si="3"/>
        <v/>
      </c>
    </row>
    <row r="2448" spans="14:14" ht="17" x14ac:dyDescent="0.2">
      <c r="N2448" s="67" t="str">
        <f t="shared" si="3"/>
        <v/>
      </c>
    </row>
    <row r="2449" spans="14:14" ht="17" x14ac:dyDescent="0.2">
      <c r="N2449" s="67" t="str">
        <f t="shared" si="3"/>
        <v/>
      </c>
    </row>
    <row r="2450" spans="14:14" ht="17" x14ac:dyDescent="0.2">
      <c r="N2450" s="67" t="str">
        <f t="shared" si="3"/>
        <v/>
      </c>
    </row>
    <row r="2451" spans="14:14" ht="17" x14ac:dyDescent="0.2">
      <c r="N2451" s="67" t="str">
        <f t="shared" si="3"/>
        <v/>
      </c>
    </row>
    <row r="2452" spans="14:14" ht="17" x14ac:dyDescent="0.2">
      <c r="N2452" s="67" t="str">
        <f t="shared" si="3"/>
        <v/>
      </c>
    </row>
    <row r="2453" spans="14:14" ht="17" x14ac:dyDescent="0.2">
      <c r="N2453" s="67" t="str">
        <f t="shared" si="3"/>
        <v/>
      </c>
    </row>
    <row r="2454" spans="14:14" ht="17" x14ac:dyDescent="0.2">
      <c r="N2454" s="67" t="str">
        <f t="shared" si="3"/>
        <v/>
      </c>
    </row>
    <row r="2455" spans="14:14" ht="17" x14ac:dyDescent="0.2">
      <c r="N2455" s="67" t="str">
        <f t="shared" si="3"/>
        <v/>
      </c>
    </row>
    <row r="2456" spans="14:14" ht="17" x14ac:dyDescent="0.2">
      <c r="N2456" s="67" t="str">
        <f t="shared" si="3"/>
        <v/>
      </c>
    </row>
    <row r="2457" spans="14:14" ht="17" x14ac:dyDescent="0.2">
      <c r="N2457" s="67" t="str">
        <f t="shared" si="3"/>
        <v/>
      </c>
    </row>
    <row r="2458" spans="14:14" ht="17" x14ac:dyDescent="0.2">
      <c r="N2458" s="67" t="str">
        <f t="shared" si="3"/>
        <v/>
      </c>
    </row>
    <row r="2459" spans="14:14" ht="17" x14ac:dyDescent="0.2">
      <c r="N2459" s="67" t="str">
        <f t="shared" si="3"/>
        <v/>
      </c>
    </row>
    <row r="2460" spans="14:14" ht="17" x14ac:dyDescent="0.2">
      <c r="N2460" s="67" t="str">
        <f t="shared" si="3"/>
        <v/>
      </c>
    </row>
    <row r="2461" spans="14:14" ht="17" x14ac:dyDescent="0.2">
      <c r="N2461" s="67" t="str">
        <f t="shared" si="3"/>
        <v/>
      </c>
    </row>
    <row r="2462" spans="14:14" ht="17" x14ac:dyDescent="0.2">
      <c r="N2462" s="67" t="str">
        <f t="shared" si="3"/>
        <v/>
      </c>
    </row>
    <row r="2463" spans="14:14" ht="17" x14ac:dyDescent="0.2">
      <c r="N2463" s="67" t="str">
        <f t="shared" si="3"/>
        <v/>
      </c>
    </row>
    <row r="2464" spans="14:14" ht="17" x14ac:dyDescent="0.2">
      <c r="N2464" s="67" t="str">
        <f t="shared" si="3"/>
        <v/>
      </c>
    </row>
    <row r="2465" spans="14:14" ht="17" x14ac:dyDescent="0.2">
      <c r="N2465" s="67" t="str">
        <f t="shared" si="3"/>
        <v/>
      </c>
    </row>
    <row r="2466" spans="14:14" ht="17" x14ac:dyDescent="0.2">
      <c r="N2466" s="67" t="str">
        <f t="shared" si="3"/>
        <v/>
      </c>
    </row>
    <row r="2467" spans="14:14" ht="17" x14ac:dyDescent="0.2">
      <c r="N2467" s="67" t="str">
        <f t="shared" si="3"/>
        <v/>
      </c>
    </row>
    <row r="2468" spans="14:14" ht="17" x14ac:dyDescent="0.2">
      <c r="N2468" s="67" t="str">
        <f t="shared" si="3"/>
        <v/>
      </c>
    </row>
    <row r="2469" spans="14:14" ht="17" x14ac:dyDescent="0.2">
      <c r="N2469" s="67" t="str">
        <f t="shared" si="3"/>
        <v/>
      </c>
    </row>
    <row r="2470" spans="14:14" ht="17" x14ac:dyDescent="0.2">
      <c r="N2470" s="67" t="str">
        <f t="shared" si="3"/>
        <v/>
      </c>
    </row>
    <row r="2471" spans="14:14" ht="17" x14ac:dyDescent="0.2">
      <c r="N2471" s="67" t="str">
        <f t="shared" si="3"/>
        <v/>
      </c>
    </row>
    <row r="2472" spans="14:14" ht="17" x14ac:dyDescent="0.2">
      <c r="N2472" s="67" t="str">
        <f t="shared" si="3"/>
        <v/>
      </c>
    </row>
    <row r="2473" spans="14:14" ht="17" x14ac:dyDescent="0.2">
      <c r="N2473" s="67" t="str">
        <f t="shared" si="3"/>
        <v/>
      </c>
    </row>
    <row r="2474" spans="14:14" ht="17" x14ac:dyDescent="0.2">
      <c r="N2474" s="67" t="str">
        <f t="shared" si="3"/>
        <v/>
      </c>
    </row>
    <row r="2475" spans="14:14" ht="17" x14ac:dyDescent="0.2">
      <c r="N2475" s="67" t="str">
        <f t="shared" si="3"/>
        <v/>
      </c>
    </row>
    <row r="2476" spans="14:14" ht="17" x14ac:dyDescent="0.2">
      <c r="N2476" s="67" t="str">
        <f t="shared" si="3"/>
        <v/>
      </c>
    </row>
    <row r="2477" spans="14:14" ht="17" x14ac:dyDescent="0.2">
      <c r="N2477" s="67" t="str">
        <f t="shared" si="3"/>
        <v/>
      </c>
    </row>
    <row r="2478" spans="14:14" ht="17" x14ac:dyDescent="0.2">
      <c r="N2478" s="67" t="str">
        <f t="shared" si="3"/>
        <v/>
      </c>
    </row>
    <row r="2479" spans="14:14" ht="17" x14ac:dyDescent="0.2">
      <c r="N2479" s="67" t="str">
        <f t="shared" si="3"/>
        <v/>
      </c>
    </row>
    <row r="2480" spans="14:14" ht="17" x14ac:dyDescent="0.2">
      <c r="N2480" s="67" t="str">
        <f t="shared" si="3"/>
        <v/>
      </c>
    </row>
    <row r="2481" spans="14:14" ht="17" x14ac:dyDescent="0.2">
      <c r="N2481" s="67" t="str">
        <f t="shared" si="3"/>
        <v/>
      </c>
    </row>
    <row r="2482" spans="14:14" ht="17" x14ac:dyDescent="0.2">
      <c r="N2482" s="67" t="str">
        <f t="shared" si="3"/>
        <v/>
      </c>
    </row>
    <row r="2483" spans="14:14" ht="17" x14ac:dyDescent="0.2">
      <c r="N2483" s="67" t="str">
        <f t="shared" si="3"/>
        <v/>
      </c>
    </row>
    <row r="2484" spans="14:14" ht="17" x14ac:dyDescent="0.2">
      <c r="N2484" s="67" t="str">
        <f t="shared" si="3"/>
        <v/>
      </c>
    </row>
    <row r="2485" spans="14:14" ht="17" x14ac:dyDescent="0.2">
      <c r="N2485" s="67" t="str">
        <f t="shared" si="3"/>
        <v/>
      </c>
    </row>
    <row r="2486" spans="14:14" ht="17" x14ac:dyDescent="0.2">
      <c r="N2486" s="67" t="str">
        <f t="shared" ref="N2486:N2549" si="4">IF(C2486="","","Ina Sabadze")</f>
        <v/>
      </c>
    </row>
    <row r="2487" spans="14:14" ht="17" x14ac:dyDescent="0.2">
      <c r="N2487" s="67" t="str">
        <f t="shared" si="4"/>
        <v/>
      </c>
    </row>
    <row r="2488" spans="14:14" ht="17" x14ac:dyDescent="0.2">
      <c r="N2488" s="67" t="str">
        <f t="shared" si="4"/>
        <v/>
      </c>
    </row>
    <row r="2489" spans="14:14" ht="17" x14ac:dyDescent="0.2">
      <c r="N2489" s="67" t="str">
        <f t="shared" si="4"/>
        <v/>
      </c>
    </row>
    <row r="2490" spans="14:14" ht="17" x14ac:dyDescent="0.2">
      <c r="N2490" s="67" t="str">
        <f t="shared" si="4"/>
        <v/>
      </c>
    </row>
    <row r="2491" spans="14:14" ht="17" x14ac:dyDescent="0.2">
      <c r="N2491" s="67" t="str">
        <f t="shared" si="4"/>
        <v/>
      </c>
    </row>
    <row r="2492" spans="14:14" ht="17" x14ac:dyDescent="0.2">
      <c r="N2492" s="67" t="str">
        <f t="shared" si="4"/>
        <v/>
      </c>
    </row>
    <row r="2493" spans="14:14" ht="17" x14ac:dyDescent="0.2">
      <c r="N2493" s="67" t="str">
        <f t="shared" si="4"/>
        <v/>
      </c>
    </row>
    <row r="2494" spans="14:14" ht="17" x14ac:dyDescent="0.2">
      <c r="N2494" s="67" t="str">
        <f t="shared" si="4"/>
        <v/>
      </c>
    </row>
    <row r="2495" spans="14:14" ht="17" x14ac:dyDescent="0.2">
      <c r="N2495" s="67" t="str">
        <f t="shared" si="4"/>
        <v/>
      </c>
    </row>
    <row r="2496" spans="14:14" ht="17" x14ac:dyDescent="0.2">
      <c r="N2496" s="67" t="str">
        <f t="shared" si="4"/>
        <v/>
      </c>
    </row>
    <row r="2497" spans="14:14" ht="17" x14ac:dyDescent="0.2">
      <c r="N2497" s="67" t="str">
        <f t="shared" si="4"/>
        <v/>
      </c>
    </row>
    <row r="2498" spans="14:14" ht="17" x14ac:dyDescent="0.2">
      <c r="N2498" s="67" t="str">
        <f t="shared" si="4"/>
        <v/>
      </c>
    </row>
    <row r="2499" spans="14:14" ht="17" x14ac:dyDescent="0.2">
      <c r="N2499" s="67" t="str">
        <f t="shared" si="4"/>
        <v/>
      </c>
    </row>
    <row r="2500" spans="14:14" ht="17" x14ac:dyDescent="0.2">
      <c r="N2500" s="67" t="str">
        <f t="shared" si="4"/>
        <v/>
      </c>
    </row>
    <row r="2501" spans="14:14" ht="17" x14ac:dyDescent="0.2">
      <c r="N2501" s="67" t="str">
        <f t="shared" si="4"/>
        <v/>
      </c>
    </row>
    <row r="2502" spans="14:14" ht="17" x14ac:dyDescent="0.2">
      <c r="N2502" s="67" t="str">
        <f t="shared" si="4"/>
        <v/>
      </c>
    </row>
    <row r="2503" spans="14:14" ht="17" x14ac:dyDescent="0.2">
      <c r="N2503" s="67" t="str">
        <f t="shared" si="4"/>
        <v/>
      </c>
    </row>
    <row r="2504" spans="14:14" ht="17" x14ac:dyDescent="0.2">
      <c r="N2504" s="67" t="str">
        <f t="shared" si="4"/>
        <v/>
      </c>
    </row>
    <row r="2505" spans="14:14" ht="17" x14ac:dyDescent="0.2">
      <c r="N2505" s="67" t="str">
        <f t="shared" si="4"/>
        <v/>
      </c>
    </row>
    <row r="2506" spans="14:14" ht="17" x14ac:dyDescent="0.2">
      <c r="N2506" s="67" t="str">
        <f t="shared" si="4"/>
        <v/>
      </c>
    </row>
    <row r="2507" spans="14:14" ht="17" x14ac:dyDescent="0.2">
      <c r="N2507" s="67" t="str">
        <f t="shared" si="4"/>
        <v/>
      </c>
    </row>
    <row r="2508" spans="14:14" ht="17" x14ac:dyDescent="0.2">
      <c r="N2508" s="67" t="str">
        <f t="shared" si="4"/>
        <v/>
      </c>
    </row>
    <row r="2509" spans="14:14" ht="17" x14ac:dyDescent="0.2">
      <c r="N2509" s="67" t="str">
        <f t="shared" si="4"/>
        <v/>
      </c>
    </row>
    <row r="2510" spans="14:14" ht="17" x14ac:dyDescent="0.2">
      <c r="N2510" s="67" t="str">
        <f t="shared" si="4"/>
        <v/>
      </c>
    </row>
    <row r="2511" spans="14:14" ht="17" x14ac:dyDescent="0.2">
      <c r="N2511" s="67" t="str">
        <f t="shared" si="4"/>
        <v/>
      </c>
    </row>
    <row r="2512" spans="14:14" ht="17" x14ac:dyDescent="0.2">
      <c r="N2512" s="67" t="str">
        <f t="shared" si="4"/>
        <v/>
      </c>
    </row>
    <row r="2513" spans="14:14" ht="17" x14ac:dyDescent="0.2">
      <c r="N2513" s="67" t="str">
        <f t="shared" si="4"/>
        <v/>
      </c>
    </row>
    <row r="2514" spans="14:14" ht="17" x14ac:dyDescent="0.2">
      <c r="N2514" s="67" t="str">
        <f t="shared" si="4"/>
        <v/>
      </c>
    </row>
    <row r="2515" spans="14:14" ht="17" x14ac:dyDescent="0.2">
      <c r="N2515" s="67" t="str">
        <f t="shared" si="4"/>
        <v/>
      </c>
    </row>
    <row r="2516" spans="14:14" ht="17" x14ac:dyDescent="0.2">
      <c r="N2516" s="67" t="str">
        <f t="shared" si="4"/>
        <v/>
      </c>
    </row>
    <row r="2517" spans="14:14" ht="17" x14ac:dyDescent="0.2">
      <c r="N2517" s="67" t="str">
        <f t="shared" si="4"/>
        <v/>
      </c>
    </row>
    <row r="2518" spans="14:14" ht="17" x14ac:dyDescent="0.2">
      <c r="N2518" s="67" t="str">
        <f t="shared" si="4"/>
        <v/>
      </c>
    </row>
    <row r="2519" spans="14:14" ht="17" x14ac:dyDescent="0.2">
      <c r="N2519" s="67" t="str">
        <f t="shared" si="4"/>
        <v/>
      </c>
    </row>
    <row r="2520" spans="14:14" ht="17" x14ac:dyDescent="0.2">
      <c r="N2520" s="67" t="str">
        <f t="shared" si="4"/>
        <v/>
      </c>
    </row>
    <row r="2521" spans="14:14" ht="17" x14ac:dyDescent="0.2">
      <c r="N2521" s="67" t="str">
        <f t="shared" si="4"/>
        <v/>
      </c>
    </row>
    <row r="2522" spans="14:14" ht="17" x14ac:dyDescent="0.2">
      <c r="N2522" s="67" t="str">
        <f t="shared" si="4"/>
        <v/>
      </c>
    </row>
    <row r="2523" spans="14:14" ht="17" x14ac:dyDescent="0.2">
      <c r="N2523" s="67" t="str">
        <f t="shared" si="4"/>
        <v/>
      </c>
    </row>
    <row r="2524" spans="14:14" ht="17" x14ac:dyDescent="0.2">
      <c r="N2524" s="67" t="str">
        <f t="shared" si="4"/>
        <v/>
      </c>
    </row>
    <row r="2525" spans="14:14" ht="17" x14ac:dyDescent="0.2">
      <c r="N2525" s="67" t="str">
        <f t="shared" si="4"/>
        <v/>
      </c>
    </row>
    <row r="2526" spans="14:14" ht="17" x14ac:dyDescent="0.2">
      <c r="N2526" s="67" t="str">
        <f t="shared" si="4"/>
        <v/>
      </c>
    </row>
    <row r="2527" spans="14:14" ht="17" x14ac:dyDescent="0.2">
      <c r="N2527" s="67" t="str">
        <f t="shared" si="4"/>
        <v/>
      </c>
    </row>
    <row r="2528" spans="14:14" ht="17" x14ac:dyDescent="0.2">
      <c r="N2528" s="67" t="str">
        <f t="shared" si="4"/>
        <v/>
      </c>
    </row>
    <row r="2529" spans="14:14" ht="17" x14ac:dyDescent="0.2">
      <c r="N2529" s="67" t="str">
        <f t="shared" si="4"/>
        <v/>
      </c>
    </row>
    <row r="2530" spans="14:14" ht="17" x14ac:dyDescent="0.2">
      <c r="N2530" s="67" t="str">
        <f t="shared" si="4"/>
        <v/>
      </c>
    </row>
    <row r="2531" spans="14:14" ht="17" x14ac:dyDescent="0.2">
      <c r="N2531" s="67" t="str">
        <f t="shared" si="4"/>
        <v/>
      </c>
    </row>
    <row r="2532" spans="14:14" ht="17" x14ac:dyDescent="0.2">
      <c r="N2532" s="67" t="str">
        <f t="shared" si="4"/>
        <v/>
      </c>
    </row>
    <row r="2533" spans="14:14" ht="17" x14ac:dyDescent="0.2">
      <c r="N2533" s="67" t="str">
        <f t="shared" si="4"/>
        <v/>
      </c>
    </row>
    <row r="2534" spans="14:14" ht="17" x14ac:dyDescent="0.2">
      <c r="N2534" s="67" t="str">
        <f t="shared" si="4"/>
        <v/>
      </c>
    </row>
    <row r="2535" spans="14:14" ht="17" x14ac:dyDescent="0.2">
      <c r="N2535" s="67" t="str">
        <f t="shared" si="4"/>
        <v/>
      </c>
    </row>
    <row r="2536" spans="14:14" ht="17" x14ac:dyDescent="0.2">
      <c r="N2536" s="67" t="str">
        <f t="shared" si="4"/>
        <v/>
      </c>
    </row>
    <row r="2537" spans="14:14" ht="17" x14ac:dyDescent="0.2">
      <c r="N2537" s="67" t="str">
        <f t="shared" si="4"/>
        <v/>
      </c>
    </row>
    <row r="2538" spans="14:14" ht="17" x14ac:dyDescent="0.2">
      <c r="N2538" s="67" t="str">
        <f t="shared" si="4"/>
        <v/>
      </c>
    </row>
    <row r="2539" spans="14:14" ht="17" x14ac:dyDescent="0.2">
      <c r="N2539" s="67" t="str">
        <f t="shared" si="4"/>
        <v/>
      </c>
    </row>
    <row r="2540" spans="14:14" ht="17" x14ac:dyDescent="0.2">
      <c r="N2540" s="67" t="str">
        <f t="shared" si="4"/>
        <v/>
      </c>
    </row>
    <row r="2541" spans="14:14" ht="17" x14ac:dyDescent="0.2">
      <c r="N2541" s="67" t="str">
        <f t="shared" si="4"/>
        <v/>
      </c>
    </row>
    <row r="2542" spans="14:14" ht="17" x14ac:dyDescent="0.2">
      <c r="N2542" s="67" t="str">
        <f t="shared" si="4"/>
        <v/>
      </c>
    </row>
    <row r="2543" spans="14:14" ht="17" x14ac:dyDescent="0.2">
      <c r="N2543" s="67" t="str">
        <f t="shared" si="4"/>
        <v/>
      </c>
    </row>
    <row r="2544" spans="14:14" ht="17" x14ac:dyDescent="0.2">
      <c r="N2544" s="67" t="str">
        <f t="shared" si="4"/>
        <v/>
      </c>
    </row>
    <row r="2545" spans="14:14" ht="17" x14ac:dyDescent="0.2">
      <c r="N2545" s="67" t="str">
        <f t="shared" si="4"/>
        <v/>
      </c>
    </row>
    <row r="2546" spans="14:14" ht="17" x14ac:dyDescent="0.2">
      <c r="N2546" s="67" t="str">
        <f t="shared" si="4"/>
        <v/>
      </c>
    </row>
    <row r="2547" spans="14:14" ht="17" x14ac:dyDescent="0.2">
      <c r="N2547" s="67" t="str">
        <f t="shared" si="4"/>
        <v/>
      </c>
    </row>
    <row r="2548" spans="14:14" ht="17" x14ac:dyDescent="0.2">
      <c r="N2548" s="67" t="str">
        <f t="shared" si="4"/>
        <v/>
      </c>
    </row>
    <row r="2549" spans="14:14" ht="17" x14ac:dyDescent="0.2">
      <c r="N2549" s="67" t="str">
        <f t="shared" si="4"/>
        <v/>
      </c>
    </row>
    <row r="2550" spans="14:14" ht="17" x14ac:dyDescent="0.2">
      <c r="N2550" s="67" t="str">
        <f t="shared" ref="N2550:N2613" si="5">IF(C2550="","","Ina Sabadze")</f>
        <v/>
      </c>
    </row>
    <row r="2551" spans="14:14" ht="17" x14ac:dyDescent="0.2">
      <c r="N2551" s="67" t="str">
        <f t="shared" si="5"/>
        <v/>
      </c>
    </row>
    <row r="2552" spans="14:14" ht="17" x14ac:dyDescent="0.2">
      <c r="N2552" s="67" t="str">
        <f t="shared" si="5"/>
        <v/>
      </c>
    </row>
    <row r="2553" spans="14:14" ht="17" x14ac:dyDescent="0.2">
      <c r="N2553" s="67" t="str">
        <f t="shared" si="5"/>
        <v/>
      </c>
    </row>
    <row r="2554" spans="14:14" ht="17" x14ac:dyDescent="0.2">
      <c r="N2554" s="67" t="str">
        <f t="shared" si="5"/>
        <v/>
      </c>
    </row>
    <row r="2555" spans="14:14" ht="17" x14ac:dyDescent="0.2">
      <c r="N2555" s="67" t="str">
        <f t="shared" si="5"/>
        <v/>
      </c>
    </row>
    <row r="2556" spans="14:14" ht="17" x14ac:dyDescent="0.2">
      <c r="N2556" s="67" t="str">
        <f t="shared" si="5"/>
        <v/>
      </c>
    </row>
    <row r="2557" spans="14:14" ht="17" x14ac:dyDescent="0.2">
      <c r="N2557" s="67" t="str">
        <f t="shared" si="5"/>
        <v/>
      </c>
    </row>
    <row r="2558" spans="14:14" ht="17" x14ac:dyDescent="0.2">
      <c r="N2558" s="67" t="str">
        <f t="shared" si="5"/>
        <v/>
      </c>
    </row>
    <row r="2559" spans="14:14" ht="17" x14ac:dyDescent="0.2">
      <c r="N2559" s="67" t="str">
        <f t="shared" si="5"/>
        <v/>
      </c>
    </row>
    <row r="2560" spans="14:14" ht="17" x14ac:dyDescent="0.2">
      <c r="N2560" s="67" t="str">
        <f t="shared" si="5"/>
        <v/>
      </c>
    </row>
    <row r="2561" spans="14:14" ht="17" x14ac:dyDescent="0.2">
      <c r="N2561" s="67" t="str">
        <f t="shared" si="5"/>
        <v/>
      </c>
    </row>
    <row r="2562" spans="14:14" ht="17" x14ac:dyDescent="0.2">
      <c r="N2562" s="67" t="str">
        <f t="shared" si="5"/>
        <v/>
      </c>
    </row>
    <row r="2563" spans="14:14" ht="17" x14ac:dyDescent="0.2">
      <c r="N2563" s="67" t="str">
        <f t="shared" si="5"/>
        <v/>
      </c>
    </row>
    <row r="2564" spans="14:14" ht="17" x14ac:dyDescent="0.2">
      <c r="N2564" s="67" t="str">
        <f t="shared" si="5"/>
        <v/>
      </c>
    </row>
    <row r="2565" spans="14:14" ht="17" x14ac:dyDescent="0.2">
      <c r="N2565" s="67" t="str">
        <f t="shared" si="5"/>
        <v/>
      </c>
    </row>
    <row r="2566" spans="14:14" ht="17" x14ac:dyDescent="0.2">
      <c r="N2566" s="67" t="str">
        <f t="shared" si="5"/>
        <v/>
      </c>
    </row>
    <row r="2567" spans="14:14" ht="17" x14ac:dyDescent="0.2">
      <c r="N2567" s="67" t="str">
        <f t="shared" si="5"/>
        <v/>
      </c>
    </row>
    <row r="2568" spans="14:14" ht="17" x14ac:dyDescent="0.2">
      <c r="N2568" s="67" t="str">
        <f t="shared" si="5"/>
        <v/>
      </c>
    </row>
    <row r="2569" spans="14:14" ht="17" x14ac:dyDescent="0.2">
      <c r="N2569" s="67" t="str">
        <f t="shared" si="5"/>
        <v/>
      </c>
    </row>
    <row r="2570" spans="14:14" ht="17" x14ac:dyDescent="0.2">
      <c r="N2570" s="67" t="str">
        <f t="shared" si="5"/>
        <v/>
      </c>
    </row>
    <row r="2571" spans="14:14" ht="17" x14ac:dyDescent="0.2">
      <c r="N2571" s="67" t="str">
        <f t="shared" si="5"/>
        <v/>
      </c>
    </row>
    <row r="2572" spans="14:14" ht="17" x14ac:dyDescent="0.2">
      <c r="N2572" s="67" t="str">
        <f t="shared" si="5"/>
        <v/>
      </c>
    </row>
    <row r="2573" spans="14:14" ht="17" x14ac:dyDescent="0.2">
      <c r="N2573" s="67" t="str">
        <f t="shared" si="5"/>
        <v/>
      </c>
    </row>
    <row r="2574" spans="14:14" ht="17" x14ac:dyDescent="0.2">
      <c r="N2574" s="67" t="str">
        <f t="shared" si="5"/>
        <v/>
      </c>
    </row>
    <row r="2575" spans="14:14" ht="17" x14ac:dyDescent="0.2">
      <c r="N2575" s="67" t="str">
        <f t="shared" si="5"/>
        <v/>
      </c>
    </row>
    <row r="2576" spans="14:14" ht="17" x14ac:dyDescent="0.2">
      <c r="N2576" s="67" t="str">
        <f t="shared" si="5"/>
        <v/>
      </c>
    </row>
    <row r="2577" spans="14:14" ht="17" x14ac:dyDescent="0.2">
      <c r="N2577" s="67" t="str">
        <f t="shared" si="5"/>
        <v/>
      </c>
    </row>
    <row r="2578" spans="14:14" ht="17" x14ac:dyDescent="0.2">
      <c r="N2578" s="67" t="str">
        <f t="shared" si="5"/>
        <v/>
      </c>
    </row>
    <row r="2579" spans="14:14" ht="17" x14ac:dyDescent="0.2">
      <c r="N2579" s="67" t="str">
        <f t="shared" si="5"/>
        <v/>
      </c>
    </row>
    <row r="2580" spans="14:14" ht="17" x14ac:dyDescent="0.2">
      <c r="N2580" s="67" t="str">
        <f t="shared" si="5"/>
        <v/>
      </c>
    </row>
    <row r="2581" spans="14:14" ht="17" x14ac:dyDescent="0.2">
      <c r="N2581" s="67" t="str">
        <f t="shared" si="5"/>
        <v/>
      </c>
    </row>
    <row r="2582" spans="14:14" ht="17" x14ac:dyDescent="0.2">
      <c r="N2582" s="67" t="str">
        <f t="shared" si="5"/>
        <v/>
      </c>
    </row>
    <row r="2583" spans="14:14" ht="17" x14ac:dyDescent="0.2">
      <c r="N2583" s="67" t="str">
        <f t="shared" si="5"/>
        <v/>
      </c>
    </row>
    <row r="2584" spans="14:14" ht="17" x14ac:dyDescent="0.2">
      <c r="N2584" s="67" t="str">
        <f t="shared" si="5"/>
        <v/>
      </c>
    </row>
    <row r="2585" spans="14:14" ht="17" x14ac:dyDescent="0.2">
      <c r="N2585" s="67" t="str">
        <f t="shared" si="5"/>
        <v/>
      </c>
    </row>
    <row r="2586" spans="14:14" ht="17" x14ac:dyDescent="0.2">
      <c r="N2586" s="67" t="str">
        <f t="shared" si="5"/>
        <v/>
      </c>
    </row>
    <row r="2587" spans="14:14" ht="17" x14ac:dyDescent="0.2">
      <c r="N2587" s="67" t="str">
        <f t="shared" si="5"/>
        <v/>
      </c>
    </row>
    <row r="2588" spans="14:14" ht="17" x14ac:dyDescent="0.2">
      <c r="N2588" s="67" t="str">
        <f t="shared" si="5"/>
        <v/>
      </c>
    </row>
    <row r="2589" spans="14:14" ht="17" x14ac:dyDescent="0.2">
      <c r="N2589" s="67" t="str">
        <f t="shared" si="5"/>
        <v/>
      </c>
    </row>
    <row r="2590" spans="14:14" ht="17" x14ac:dyDescent="0.2">
      <c r="N2590" s="67" t="str">
        <f t="shared" si="5"/>
        <v/>
      </c>
    </row>
    <row r="2591" spans="14:14" ht="17" x14ac:dyDescent="0.2">
      <c r="N2591" s="67" t="str">
        <f t="shared" si="5"/>
        <v/>
      </c>
    </row>
    <row r="2592" spans="14:14" ht="17" x14ac:dyDescent="0.2">
      <c r="N2592" s="67" t="str">
        <f t="shared" si="5"/>
        <v/>
      </c>
    </row>
    <row r="2593" spans="14:14" ht="17" x14ac:dyDescent="0.2">
      <c r="N2593" s="67" t="str">
        <f t="shared" si="5"/>
        <v/>
      </c>
    </row>
    <row r="2594" spans="14:14" ht="17" x14ac:dyDescent="0.2">
      <c r="N2594" s="67" t="str">
        <f t="shared" si="5"/>
        <v/>
      </c>
    </row>
    <row r="2595" spans="14:14" ht="17" x14ac:dyDescent="0.2">
      <c r="N2595" s="67" t="str">
        <f t="shared" si="5"/>
        <v/>
      </c>
    </row>
    <row r="2596" spans="14:14" ht="17" x14ac:dyDescent="0.2">
      <c r="N2596" s="67" t="str">
        <f t="shared" si="5"/>
        <v/>
      </c>
    </row>
    <row r="2597" spans="14:14" ht="17" x14ac:dyDescent="0.2">
      <c r="N2597" s="67" t="str">
        <f t="shared" si="5"/>
        <v/>
      </c>
    </row>
    <row r="2598" spans="14:14" ht="17" x14ac:dyDescent="0.2">
      <c r="N2598" s="67" t="str">
        <f t="shared" si="5"/>
        <v/>
      </c>
    </row>
    <row r="2599" spans="14:14" ht="17" x14ac:dyDescent="0.2">
      <c r="N2599" s="67" t="str">
        <f t="shared" si="5"/>
        <v/>
      </c>
    </row>
    <row r="2600" spans="14:14" ht="17" x14ac:dyDescent="0.2">
      <c r="N2600" s="67" t="str">
        <f t="shared" si="5"/>
        <v/>
      </c>
    </row>
    <row r="2601" spans="14:14" ht="17" x14ac:dyDescent="0.2">
      <c r="N2601" s="67" t="str">
        <f t="shared" si="5"/>
        <v/>
      </c>
    </row>
    <row r="2602" spans="14:14" ht="17" x14ac:dyDescent="0.2">
      <c r="N2602" s="67" t="str">
        <f t="shared" si="5"/>
        <v/>
      </c>
    </row>
    <row r="2603" spans="14:14" ht="17" x14ac:dyDescent="0.2">
      <c r="N2603" s="67" t="str">
        <f t="shared" si="5"/>
        <v/>
      </c>
    </row>
    <row r="2604" spans="14:14" ht="17" x14ac:dyDescent="0.2">
      <c r="N2604" s="67" t="str">
        <f t="shared" si="5"/>
        <v/>
      </c>
    </row>
    <row r="2605" spans="14:14" ht="17" x14ac:dyDescent="0.2">
      <c r="N2605" s="67" t="str">
        <f t="shared" si="5"/>
        <v/>
      </c>
    </row>
    <row r="2606" spans="14:14" ht="17" x14ac:dyDescent="0.2">
      <c r="N2606" s="67" t="str">
        <f t="shared" si="5"/>
        <v/>
      </c>
    </row>
    <row r="2607" spans="14:14" ht="17" x14ac:dyDescent="0.2">
      <c r="N2607" s="67" t="str">
        <f t="shared" si="5"/>
        <v/>
      </c>
    </row>
    <row r="2608" spans="14:14" ht="17" x14ac:dyDescent="0.2">
      <c r="N2608" s="67" t="str">
        <f t="shared" si="5"/>
        <v/>
      </c>
    </row>
    <row r="2609" spans="14:14" ht="17" x14ac:dyDescent="0.2">
      <c r="N2609" s="67" t="str">
        <f t="shared" si="5"/>
        <v/>
      </c>
    </row>
    <row r="2610" spans="14:14" ht="17" x14ac:dyDescent="0.2">
      <c r="N2610" s="67" t="str">
        <f t="shared" si="5"/>
        <v/>
      </c>
    </row>
    <row r="2611" spans="14:14" ht="17" x14ac:dyDescent="0.2">
      <c r="N2611" s="67" t="str">
        <f t="shared" si="5"/>
        <v/>
      </c>
    </row>
    <row r="2612" spans="14:14" ht="17" x14ac:dyDescent="0.2">
      <c r="N2612" s="67" t="str">
        <f t="shared" si="5"/>
        <v/>
      </c>
    </row>
    <row r="2613" spans="14:14" ht="17" x14ac:dyDescent="0.2">
      <c r="N2613" s="67" t="str">
        <f t="shared" si="5"/>
        <v/>
      </c>
    </row>
    <row r="2614" spans="14:14" ht="17" x14ac:dyDescent="0.2">
      <c r="N2614" s="67" t="str">
        <f t="shared" ref="N2614:N2677" si="6">IF(C2614="","","Ina Sabadze")</f>
        <v/>
      </c>
    </row>
    <row r="2615" spans="14:14" ht="17" x14ac:dyDescent="0.2">
      <c r="N2615" s="67" t="str">
        <f t="shared" si="6"/>
        <v/>
      </c>
    </row>
    <row r="2616" spans="14:14" ht="17" x14ac:dyDescent="0.2">
      <c r="N2616" s="67" t="str">
        <f t="shared" si="6"/>
        <v/>
      </c>
    </row>
    <row r="2617" spans="14:14" ht="17" x14ac:dyDescent="0.2">
      <c r="N2617" s="67" t="str">
        <f t="shared" si="6"/>
        <v/>
      </c>
    </row>
    <row r="2618" spans="14:14" ht="17" x14ac:dyDescent="0.2">
      <c r="N2618" s="67" t="str">
        <f t="shared" si="6"/>
        <v/>
      </c>
    </row>
    <row r="2619" spans="14:14" ht="17" x14ac:dyDescent="0.2">
      <c r="N2619" s="67" t="str">
        <f t="shared" si="6"/>
        <v/>
      </c>
    </row>
    <row r="2620" spans="14:14" ht="17" x14ac:dyDescent="0.2">
      <c r="N2620" s="67" t="str">
        <f t="shared" si="6"/>
        <v/>
      </c>
    </row>
    <row r="2621" spans="14:14" ht="17" x14ac:dyDescent="0.2">
      <c r="N2621" s="67" t="str">
        <f t="shared" si="6"/>
        <v/>
      </c>
    </row>
    <row r="2622" spans="14:14" ht="17" x14ac:dyDescent="0.2">
      <c r="N2622" s="67" t="str">
        <f t="shared" si="6"/>
        <v/>
      </c>
    </row>
    <row r="2623" spans="14:14" ht="17" x14ac:dyDescent="0.2">
      <c r="N2623" s="67" t="str">
        <f t="shared" si="6"/>
        <v/>
      </c>
    </row>
    <row r="2624" spans="14:14" ht="17" x14ac:dyDescent="0.2">
      <c r="N2624" s="67" t="str">
        <f t="shared" si="6"/>
        <v/>
      </c>
    </row>
    <row r="2625" spans="14:14" ht="17" x14ac:dyDescent="0.2">
      <c r="N2625" s="67" t="str">
        <f t="shared" si="6"/>
        <v/>
      </c>
    </row>
    <row r="2626" spans="14:14" ht="17" x14ac:dyDescent="0.2">
      <c r="N2626" s="67" t="str">
        <f t="shared" si="6"/>
        <v/>
      </c>
    </row>
    <row r="2627" spans="14:14" ht="17" x14ac:dyDescent="0.2">
      <c r="N2627" s="67" t="str">
        <f t="shared" si="6"/>
        <v/>
      </c>
    </row>
    <row r="2628" spans="14:14" ht="17" x14ac:dyDescent="0.2">
      <c r="N2628" s="67" t="str">
        <f t="shared" si="6"/>
        <v/>
      </c>
    </row>
    <row r="2629" spans="14:14" ht="17" x14ac:dyDescent="0.2">
      <c r="N2629" s="67" t="str">
        <f t="shared" si="6"/>
        <v/>
      </c>
    </row>
    <row r="2630" spans="14:14" ht="17" x14ac:dyDescent="0.2">
      <c r="N2630" s="67" t="str">
        <f t="shared" si="6"/>
        <v/>
      </c>
    </row>
    <row r="2631" spans="14:14" ht="17" x14ac:dyDescent="0.2">
      <c r="N2631" s="67" t="str">
        <f t="shared" si="6"/>
        <v/>
      </c>
    </row>
    <row r="2632" spans="14:14" ht="17" x14ac:dyDescent="0.2">
      <c r="N2632" s="67" t="str">
        <f t="shared" si="6"/>
        <v/>
      </c>
    </row>
    <row r="2633" spans="14:14" ht="17" x14ac:dyDescent="0.2">
      <c r="N2633" s="67" t="str">
        <f t="shared" si="6"/>
        <v/>
      </c>
    </row>
    <row r="2634" spans="14:14" ht="17" x14ac:dyDescent="0.2">
      <c r="N2634" s="67" t="str">
        <f t="shared" si="6"/>
        <v/>
      </c>
    </row>
    <row r="2635" spans="14:14" ht="17" x14ac:dyDescent="0.2">
      <c r="N2635" s="67" t="str">
        <f t="shared" si="6"/>
        <v/>
      </c>
    </row>
    <row r="2636" spans="14:14" ht="17" x14ac:dyDescent="0.2">
      <c r="N2636" s="67" t="str">
        <f t="shared" si="6"/>
        <v/>
      </c>
    </row>
    <row r="2637" spans="14:14" ht="17" x14ac:dyDescent="0.2">
      <c r="N2637" s="67" t="str">
        <f t="shared" si="6"/>
        <v/>
      </c>
    </row>
    <row r="2638" spans="14:14" ht="17" x14ac:dyDescent="0.2">
      <c r="N2638" s="67" t="str">
        <f t="shared" si="6"/>
        <v/>
      </c>
    </row>
    <row r="2639" spans="14:14" ht="17" x14ac:dyDescent="0.2">
      <c r="N2639" s="67" t="str">
        <f t="shared" si="6"/>
        <v/>
      </c>
    </row>
    <row r="2640" spans="14:14" ht="17" x14ac:dyDescent="0.2">
      <c r="N2640" s="67" t="str">
        <f t="shared" si="6"/>
        <v/>
      </c>
    </row>
    <row r="2641" spans="14:14" ht="17" x14ac:dyDescent="0.2">
      <c r="N2641" s="67" t="str">
        <f t="shared" si="6"/>
        <v/>
      </c>
    </row>
    <row r="2642" spans="14:14" ht="17" x14ac:dyDescent="0.2">
      <c r="N2642" s="67" t="str">
        <f t="shared" si="6"/>
        <v/>
      </c>
    </row>
    <row r="2643" spans="14:14" ht="17" x14ac:dyDescent="0.2">
      <c r="N2643" s="67" t="str">
        <f t="shared" si="6"/>
        <v/>
      </c>
    </row>
    <row r="2644" spans="14:14" ht="17" x14ac:dyDescent="0.2">
      <c r="N2644" s="67" t="str">
        <f t="shared" si="6"/>
        <v/>
      </c>
    </row>
    <row r="2645" spans="14:14" ht="17" x14ac:dyDescent="0.2">
      <c r="N2645" s="67" t="str">
        <f t="shared" si="6"/>
        <v/>
      </c>
    </row>
    <row r="2646" spans="14:14" ht="17" x14ac:dyDescent="0.2">
      <c r="N2646" s="67" t="str">
        <f t="shared" si="6"/>
        <v/>
      </c>
    </row>
    <row r="2647" spans="14:14" ht="17" x14ac:dyDescent="0.2">
      <c r="N2647" s="67" t="str">
        <f t="shared" si="6"/>
        <v/>
      </c>
    </row>
    <row r="2648" spans="14:14" ht="17" x14ac:dyDescent="0.2">
      <c r="N2648" s="67" t="str">
        <f t="shared" si="6"/>
        <v/>
      </c>
    </row>
    <row r="2649" spans="14:14" ht="17" x14ac:dyDescent="0.2">
      <c r="N2649" s="67" t="str">
        <f t="shared" si="6"/>
        <v/>
      </c>
    </row>
    <row r="2650" spans="14:14" ht="17" x14ac:dyDescent="0.2">
      <c r="N2650" s="67" t="str">
        <f t="shared" si="6"/>
        <v/>
      </c>
    </row>
    <row r="2651" spans="14:14" ht="17" x14ac:dyDescent="0.2">
      <c r="N2651" s="67" t="str">
        <f t="shared" si="6"/>
        <v/>
      </c>
    </row>
    <row r="2652" spans="14:14" ht="17" x14ac:dyDescent="0.2">
      <c r="N2652" s="67" t="str">
        <f t="shared" si="6"/>
        <v/>
      </c>
    </row>
    <row r="2653" spans="14:14" ht="17" x14ac:dyDescent="0.2">
      <c r="N2653" s="67" t="str">
        <f t="shared" si="6"/>
        <v/>
      </c>
    </row>
    <row r="2654" spans="14:14" ht="17" x14ac:dyDescent="0.2">
      <c r="N2654" s="67" t="str">
        <f t="shared" si="6"/>
        <v/>
      </c>
    </row>
    <row r="2655" spans="14:14" ht="17" x14ac:dyDescent="0.2">
      <c r="N2655" s="67" t="str">
        <f t="shared" si="6"/>
        <v/>
      </c>
    </row>
    <row r="2656" spans="14:14" ht="17" x14ac:dyDescent="0.2">
      <c r="N2656" s="67" t="str">
        <f t="shared" si="6"/>
        <v/>
      </c>
    </row>
    <row r="2657" spans="14:14" ht="17" x14ac:dyDescent="0.2">
      <c r="N2657" s="67" t="str">
        <f t="shared" si="6"/>
        <v/>
      </c>
    </row>
    <row r="2658" spans="14:14" ht="17" x14ac:dyDescent="0.2">
      <c r="N2658" s="67" t="str">
        <f t="shared" si="6"/>
        <v/>
      </c>
    </row>
    <row r="2659" spans="14:14" ht="17" x14ac:dyDescent="0.2">
      <c r="N2659" s="67" t="str">
        <f t="shared" si="6"/>
        <v/>
      </c>
    </row>
    <row r="2660" spans="14:14" ht="17" x14ac:dyDescent="0.2">
      <c r="N2660" s="67" t="str">
        <f t="shared" si="6"/>
        <v/>
      </c>
    </row>
    <row r="2661" spans="14:14" ht="17" x14ac:dyDescent="0.2">
      <c r="N2661" s="67" t="str">
        <f t="shared" si="6"/>
        <v/>
      </c>
    </row>
    <row r="2662" spans="14:14" ht="17" x14ac:dyDescent="0.2">
      <c r="N2662" s="67" t="str">
        <f t="shared" si="6"/>
        <v/>
      </c>
    </row>
    <row r="2663" spans="14:14" ht="17" x14ac:dyDescent="0.2">
      <c r="N2663" s="67" t="str">
        <f t="shared" si="6"/>
        <v/>
      </c>
    </row>
    <row r="2664" spans="14:14" ht="17" x14ac:dyDescent="0.2">
      <c r="N2664" s="67" t="str">
        <f t="shared" si="6"/>
        <v/>
      </c>
    </row>
    <row r="2665" spans="14:14" ht="17" x14ac:dyDescent="0.2">
      <c r="N2665" s="67" t="str">
        <f t="shared" si="6"/>
        <v/>
      </c>
    </row>
    <row r="2666" spans="14:14" ht="17" x14ac:dyDescent="0.2">
      <c r="N2666" s="67" t="str">
        <f t="shared" si="6"/>
        <v/>
      </c>
    </row>
    <row r="2667" spans="14:14" ht="17" x14ac:dyDescent="0.2">
      <c r="N2667" s="67" t="str">
        <f t="shared" si="6"/>
        <v/>
      </c>
    </row>
    <row r="2668" spans="14:14" ht="17" x14ac:dyDescent="0.2">
      <c r="N2668" s="67" t="str">
        <f t="shared" si="6"/>
        <v/>
      </c>
    </row>
    <row r="2669" spans="14:14" ht="17" x14ac:dyDescent="0.2">
      <c r="N2669" s="67" t="str">
        <f t="shared" si="6"/>
        <v/>
      </c>
    </row>
    <row r="2670" spans="14:14" ht="17" x14ac:dyDescent="0.2">
      <c r="N2670" s="67" t="str">
        <f t="shared" si="6"/>
        <v/>
      </c>
    </row>
    <row r="2671" spans="14:14" ht="17" x14ac:dyDescent="0.2">
      <c r="N2671" s="67" t="str">
        <f t="shared" si="6"/>
        <v/>
      </c>
    </row>
    <row r="2672" spans="14:14" ht="17" x14ac:dyDescent="0.2">
      <c r="N2672" s="67" t="str">
        <f t="shared" si="6"/>
        <v/>
      </c>
    </row>
    <row r="2673" spans="14:14" ht="17" x14ac:dyDescent="0.2">
      <c r="N2673" s="67" t="str">
        <f t="shared" si="6"/>
        <v/>
      </c>
    </row>
    <row r="2674" spans="14:14" ht="17" x14ac:dyDescent="0.2">
      <c r="N2674" s="67" t="str">
        <f t="shared" si="6"/>
        <v/>
      </c>
    </row>
    <row r="2675" spans="14:14" ht="17" x14ac:dyDescent="0.2">
      <c r="N2675" s="67" t="str">
        <f t="shared" si="6"/>
        <v/>
      </c>
    </row>
    <row r="2676" spans="14:14" ht="17" x14ac:dyDescent="0.2">
      <c r="N2676" s="67" t="str">
        <f t="shared" si="6"/>
        <v/>
      </c>
    </row>
    <row r="2677" spans="14:14" ht="17" x14ac:dyDescent="0.2">
      <c r="N2677" s="67" t="str">
        <f t="shared" si="6"/>
        <v/>
      </c>
    </row>
    <row r="2678" spans="14:14" ht="17" x14ac:dyDescent="0.2">
      <c r="N2678" s="67" t="str">
        <f t="shared" ref="N2678:N2683" si="7">IF(C2678="","","Ina Sabadze")</f>
        <v/>
      </c>
    </row>
    <row r="2679" spans="14:14" ht="17" x14ac:dyDescent="0.2">
      <c r="N2679" s="67" t="str">
        <f t="shared" si="7"/>
        <v/>
      </c>
    </row>
    <row r="2680" spans="14:14" ht="17" x14ac:dyDescent="0.2">
      <c r="N2680" s="67" t="str">
        <f t="shared" si="7"/>
        <v/>
      </c>
    </row>
    <row r="2681" spans="14:14" ht="17" x14ac:dyDescent="0.2">
      <c r="N2681" s="67" t="str">
        <f t="shared" si="7"/>
        <v/>
      </c>
    </row>
    <row r="2682" spans="14:14" ht="17" x14ac:dyDescent="0.2">
      <c r="N2682" s="67" t="str">
        <f t="shared" si="7"/>
        <v/>
      </c>
    </row>
    <row r="2683" spans="14:14" ht="17" x14ac:dyDescent="0.2">
      <c r="N2683" s="67" t="str">
        <f t="shared" si="7"/>
        <v/>
      </c>
    </row>
  </sheetData>
  <mergeCells count="21">
    <mergeCell ref="B3:C3"/>
    <mergeCell ref="A6:A8"/>
    <mergeCell ref="A9:B9"/>
    <mergeCell ref="A10:B10"/>
    <mergeCell ref="A13:A15"/>
    <mergeCell ref="B13:B15"/>
    <mergeCell ref="C13:C15"/>
    <mergeCell ref="S13:S15"/>
    <mergeCell ref="D14:F14"/>
    <mergeCell ref="G14:G15"/>
    <mergeCell ref="H14:H15"/>
    <mergeCell ref="I14:K14"/>
    <mergeCell ref="L14:L15"/>
    <mergeCell ref="M14:M15"/>
    <mergeCell ref="P14:P15"/>
    <mergeCell ref="Q14:Q15"/>
    <mergeCell ref="R14:R15"/>
    <mergeCell ref="D13:H13"/>
    <mergeCell ref="I13:M13"/>
    <mergeCell ref="O13:O15"/>
    <mergeCell ref="P13:R13"/>
  </mergeCells>
  <conditionalFormatting sqref="B167:B176">
    <cfRule type="containsText" dxfId="265" priority="782" operator="containsText" text="High">
      <formula>NOT(ISERROR(SEARCH("High",B167)))</formula>
    </cfRule>
    <cfRule type="containsText" dxfId="264" priority="781" operator="containsText" text="Medium">
      <formula>NOT(ISERROR(SEARCH("Medium",B167)))</formula>
    </cfRule>
    <cfRule type="containsText" dxfId="263" priority="780" operator="containsText" text="Low">
      <formula>NOT(ISERROR(SEARCH("Low",B167)))</formula>
    </cfRule>
  </conditionalFormatting>
  <conditionalFormatting sqref="B333:B342">
    <cfRule type="containsText" dxfId="262" priority="585" operator="containsText" text="High">
      <formula>NOT(ISERROR(SEARCH("High",B333)))</formula>
    </cfRule>
    <cfRule type="containsText" dxfId="261" priority="584" operator="containsText" text="Medium">
      <formula>NOT(ISERROR(SEARCH("Medium",B333)))</formula>
    </cfRule>
    <cfRule type="containsText" dxfId="260" priority="583" operator="containsText" text="Low">
      <formula>NOT(ISERROR(SEARCH("Low",B333)))</formula>
    </cfRule>
  </conditionalFormatting>
  <conditionalFormatting sqref="B504:B513">
    <cfRule type="containsText" dxfId="259" priority="571" operator="containsText" text="High">
      <formula>NOT(ISERROR(SEARCH("High",B504)))</formula>
    </cfRule>
    <cfRule type="containsText" dxfId="258" priority="569" operator="containsText" text="Low">
      <formula>NOT(ISERROR(SEARCH("Low",B504)))</formula>
    </cfRule>
    <cfRule type="containsText" dxfId="257" priority="570" operator="containsText" text="Medium">
      <formula>NOT(ISERROR(SEARCH("Medium",B504)))</formula>
    </cfRule>
  </conditionalFormatting>
  <conditionalFormatting sqref="B692:B701">
    <cfRule type="containsText" dxfId="256" priority="538" operator="containsText" text="Low">
      <formula>NOT(ISERROR(SEARCH("Low",B692)))</formula>
    </cfRule>
    <cfRule type="containsText" dxfId="255" priority="539" operator="containsText" text="Medium">
      <formula>NOT(ISERROR(SEARCH("Medium",B692)))</formula>
    </cfRule>
    <cfRule type="containsText" dxfId="254" priority="540" operator="containsText" text="High">
      <formula>NOT(ISERROR(SEARCH("High",B692)))</formula>
    </cfRule>
  </conditionalFormatting>
  <conditionalFormatting sqref="B851:B858">
    <cfRule type="containsText" dxfId="253" priority="503" operator="containsText" text="High">
      <formula>NOT(ISERROR(SEARCH("High",B851)))</formula>
    </cfRule>
    <cfRule type="containsText" dxfId="252" priority="501" operator="containsText" text="Low">
      <formula>NOT(ISERROR(SEARCH("Low",B851)))</formula>
    </cfRule>
    <cfRule type="containsText" dxfId="251" priority="502" operator="containsText" text="Medium">
      <formula>NOT(ISERROR(SEARCH("Medium",B851)))</formula>
    </cfRule>
  </conditionalFormatting>
  <conditionalFormatting sqref="B995:B1000">
    <cfRule type="containsText" dxfId="250" priority="473" operator="containsText" text="Low">
      <formula>NOT(ISERROR(SEARCH("Low",B995)))</formula>
    </cfRule>
    <cfRule type="containsText" dxfId="249" priority="474" operator="containsText" text="Medium">
      <formula>NOT(ISERROR(SEARCH("Medium",B995)))</formula>
    </cfRule>
    <cfRule type="containsText" dxfId="248" priority="475" operator="containsText" text="High">
      <formula>NOT(ISERROR(SEARCH("High",B995)))</formula>
    </cfRule>
  </conditionalFormatting>
  <conditionalFormatting sqref="B1150:B1157">
    <cfRule type="containsText" dxfId="247" priority="305" operator="containsText" text="Low">
      <formula>NOT(ISERROR(SEARCH("Low",B1150)))</formula>
    </cfRule>
    <cfRule type="containsText" dxfId="246" priority="306" operator="containsText" text="Medium">
      <formula>NOT(ISERROR(SEARCH("Medium",B1150)))</formula>
    </cfRule>
    <cfRule type="containsText" dxfId="245" priority="307" operator="containsText" text="High">
      <formula>NOT(ISERROR(SEARCH("High",B1150)))</formula>
    </cfRule>
  </conditionalFormatting>
  <conditionalFormatting sqref="B1349:B1360">
    <cfRule type="containsText" dxfId="244" priority="230" operator="containsText" text="High">
      <formula>NOT(ISERROR(SEARCH("High",B1349)))</formula>
    </cfRule>
    <cfRule type="containsText" dxfId="243" priority="229" operator="containsText" text="Medium">
      <formula>NOT(ISERROR(SEARCH("Medium",B1349)))</formula>
    </cfRule>
    <cfRule type="containsText" dxfId="242" priority="228" operator="containsText" text="Low">
      <formula>NOT(ISERROR(SEARCH("Low",B1349)))</formula>
    </cfRule>
  </conditionalFormatting>
  <conditionalFormatting sqref="B1519:B1528">
    <cfRule type="containsText" dxfId="241" priority="210" operator="containsText" text="High">
      <formula>NOT(ISERROR(SEARCH("High",B1519)))</formula>
    </cfRule>
    <cfRule type="containsText" dxfId="240" priority="209" operator="containsText" text="Medium">
      <formula>NOT(ISERROR(SEARCH("Medium",B1519)))</formula>
    </cfRule>
    <cfRule type="containsText" dxfId="239" priority="208" operator="containsText" text="Low">
      <formula>NOT(ISERROR(SEARCH("Low",B1519)))</formula>
    </cfRule>
  </conditionalFormatting>
  <conditionalFormatting sqref="B1688:B1697">
    <cfRule type="containsText" dxfId="238" priority="159" operator="containsText" text="Medium">
      <formula>NOT(ISERROR(SEARCH("Medium",B1688)))</formula>
    </cfRule>
    <cfRule type="containsText" dxfId="237" priority="160" operator="containsText" text="High">
      <formula>NOT(ISERROR(SEARCH("High",B1688)))</formula>
    </cfRule>
    <cfRule type="containsText" dxfId="236" priority="158" operator="containsText" text="Low">
      <formula>NOT(ISERROR(SEARCH("Low",B1688)))</formula>
    </cfRule>
  </conditionalFormatting>
  <conditionalFormatting sqref="B1866:B1875">
    <cfRule type="containsText" dxfId="235" priority="108" operator="containsText" text="Low">
      <formula>NOT(ISERROR(SEARCH("Low",B1866)))</formula>
    </cfRule>
    <cfRule type="containsText" dxfId="234" priority="109" operator="containsText" text="Medium">
      <formula>NOT(ISERROR(SEARCH("Medium",B1866)))</formula>
    </cfRule>
    <cfRule type="containsText" dxfId="233" priority="110" operator="containsText" text="High">
      <formula>NOT(ISERROR(SEARCH("High",B1866)))</formula>
    </cfRule>
  </conditionalFormatting>
  <conditionalFormatting sqref="B2052:B2061">
    <cfRule type="containsText" dxfId="232" priority="42" operator="containsText" text="Low">
      <formula>NOT(ISERROR(SEARCH("Low",B2052)))</formula>
    </cfRule>
    <cfRule type="containsText" dxfId="231" priority="43" operator="containsText" text="Medium">
      <formula>NOT(ISERROR(SEARCH("Medium",B2052)))</formula>
    </cfRule>
    <cfRule type="containsText" dxfId="230" priority="44" operator="containsText" text="High">
      <formula>NOT(ISERROR(SEARCH("High",B2052)))</formula>
    </cfRule>
  </conditionalFormatting>
  <conditionalFormatting sqref="B2218:B2227">
    <cfRule type="containsText" dxfId="229" priority="1" operator="containsText" text="Low">
      <formula>NOT(ISERROR(SEARCH("Low",B2218)))</formula>
    </cfRule>
    <cfRule type="containsText" dxfId="228" priority="2" operator="containsText" text="Medium">
      <formula>NOT(ISERROR(SEARCH("Medium",B2218)))</formula>
    </cfRule>
    <cfRule type="containsText" dxfId="227" priority="3" operator="containsText" text="High">
      <formula>NOT(ISERROR(SEARCH("High",B2218)))</formula>
    </cfRule>
  </conditionalFormatting>
  <conditionalFormatting sqref="C16:C348">
    <cfRule type="containsText" dxfId="226" priority="578" operator="containsText" text="Low">
      <formula>NOT(ISERROR(SEARCH("Low",C16)))</formula>
    </cfRule>
  </conditionalFormatting>
  <conditionalFormatting sqref="C16:C357">
    <cfRule type="containsText" dxfId="225" priority="580" operator="containsText" text="High">
      <formula>NOT(ISERROR(SEARCH("High",C16)))</formula>
    </cfRule>
    <cfRule type="containsText" dxfId="224" priority="579" operator="containsText" text="Medium">
      <formula>NOT(ISERROR(SEARCH("Medium",C16)))</formula>
    </cfRule>
  </conditionalFormatting>
  <conditionalFormatting sqref="C349:C357 C360:C373 C532:C545 C552:C613 C521:C529 C707:C716 C719:C732 C863:C872 C875:C888 C1006:C1015 C1018:C1031 C1164:C1172 C1175:C1187 C1193:C1227 C1282:C1290 C1309:C1333 C1337:C1352 C1355:C1364 C1366:C1374 C1377:C1389 C1395:C1475 C1482:C1533 C1535:C1543 C1546:C1558 C1626:C1644 C1651:C1702 C1704:C1712 C1715:C1727 C1733:C1785 C1804:C1822 C1829:C1879 C1881:C1887">
    <cfRule type="containsText" dxfId="223" priority="810" operator="containsText" text="Low">
      <formula>NOT(ISERROR(SEARCH("Low",C349)))</formula>
    </cfRule>
  </conditionalFormatting>
  <conditionalFormatting sqref="C358:C359">
    <cfRule type="containsText" dxfId="222" priority="560" operator="containsText" text="Low">
      <formula>NOT(ISERROR(SEARCH("Low",C358)))</formula>
    </cfRule>
  </conditionalFormatting>
  <conditionalFormatting sqref="C358:C447">
    <cfRule type="containsText" dxfId="221" priority="562" operator="containsText" text="High">
      <formula>NOT(ISERROR(SEARCH("High",C358)))</formula>
    </cfRule>
    <cfRule type="containsText" dxfId="220" priority="561" operator="containsText" text="Medium">
      <formula>NOT(ISERROR(SEARCH("Medium",C358)))</formula>
    </cfRule>
  </conditionalFormatting>
  <conditionalFormatting sqref="C374:C460">
    <cfRule type="containsText" dxfId="219" priority="326" operator="containsText" text="Low">
      <formula>NOT(ISERROR(SEARCH("Low",C374)))</formula>
    </cfRule>
  </conditionalFormatting>
  <conditionalFormatting sqref="C448:C450">
    <cfRule type="containsText" dxfId="218" priority="325" operator="containsText" text="High">
      <formula>NOT(ISERROR(SEARCH("High",C448)))</formula>
    </cfRule>
    <cfRule type="containsText" dxfId="217" priority="324" operator="containsText" text="Medium">
      <formula>NOT(ISERROR(SEARCH("Medium",C448)))</formula>
    </cfRule>
  </conditionalFormatting>
  <conditionalFormatting sqref="C451:C460">
    <cfRule type="containsText" dxfId="216" priority="328" operator="containsText" text="High">
      <formula>NOT(ISERROR(SEARCH("High",C451)))</formula>
    </cfRule>
    <cfRule type="containsText" dxfId="215" priority="327" operator="containsText" text="Medium">
      <formula>NOT(ISERROR(SEARCH("Medium",C451)))</formula>
    </cfRule>
  </conditionalFormatting>
  <conditionalFormatting sqref="C461:C466">
    <cfRule type="containsText" dxfId="214" priority="323" operator="containsText" text="High">
      <formula>NOT(ISERROR(SEARCH("High",C461)))</formula>
    </cfRule>
    <cfRule type="containsText" dxfId="213" priority="322" operator="containsText" text="Medium">
      <formula>NOT(ISERROR(SEARCH("Medium",C461)))</formula>
    </cfRule>
  </conditionalFormatting>
  <conditionalFormatting sqref="C461:C520">
    <cfRule type="containsText" dxfId="212" priority="321" operator="containsText" text="Low">
      <formula>NOT(ISERROR(SEARCH("Low",C461)))</formula>
    </cfRule>
  </conditionalFormatting>
  <conditionalFormatting sqref="C467:C531">
    <cfRule type="containsText" dxfId="211" priority="531" operator="containsText" text="High">
      <formula>NOT(ISERROR(SEARCH("High",C467)))</formula>
    </cfRule>
    <cfRule type="containsText" dxfId="210" priority="530" operator="containsText" text="Medium">
      <formula>NOT(ISERROR(SEARCH("Medium",C467)))</formula>
    </cfRule>
  </conditionalFormatting>
  <conditionalFormatting sqref="C530:C531">
    <cfRule type="containsText" dxfId="209" priority="529" operator="containsText" text="Low">
      <formula>NOT(ISERROR(SEARCH("Low",C530)))</formula>
    </cfRule>
  </conditionalFormatting>
  <conditionalFormatting sqref="C532:C613">
    <cfRule type="containsText" dxfId="208" priority="534" operator="containsText" text="High">
      <formula>NOT(ISERROR(SEARCH("High",C532)))</formula>
    </cfRule>
    <cfRule type="containsText" dxfId="207" priority="533" operator="containsText" text="Medium">
      <formula>NOT(ISERROR(SEARCH("Medium",C532)))</formula>
    </cfRule>
  </conditionalFormatting>
  <conditionalFormatting sqref="C546:C551">
    <cfRule type="containsText" dxfId="206" priority="532" operator="containsText" text="Low">
      <formula>NOT(ISERROR(SEARCH("Low",C546)))</formula>
    </cfRule>
  </conditionalFormatting>
  <conditionalFormatting sqref="C614:C706">
    <cfRule type="containsText" dxfId="205" priority="510" operator="containsText" text="Low">
      <formula>NOT(ISERROR(SEARCH("Low",C614)))</formula>
    </cfRule>
  </conditionalFormatting>
  <conditionalFormatting sqref="C614:C716">
    <cfRule type="containsText" dxfId="204" priority="512" operator="containsText" text="High">
      <formula>NOT(ISERROR(SEARCH("High",C614)))</formula>
    </cfRule>
    <cfRule type="containsText" dxfId="203" priority="511" operator="containsText" text="Medium">
      <formula>NOT(ISERROR(SEARCH("Medium",C614)))</formula>
    </cfRule>
  </conditionalFormatting>
  <conditionalFormatting sqref="C717:C718">
    <cfRule type="containsText" dxfId="202" priority="492" operator="containsText" text="Low">
      <formula>NOT(ISERROR(SEARCH("Low",C717)))</formula>
    </cfRule>
  </conditionalFormatting>
  <conditionalFormatting sqref="C717:C810">
    <cfRule type="containsText" dxfId="201" priority="494" operator="containsText" text="High">
      <formula>NOT(ISERROR(SEARCH("High",C717)))</formula>
    </cfRule>
    <cfRule type="containsText" dxfId="200" priority="493" operator="containsText" text="Medium">
      <formula>NOT(ISERROR(SEARCH("Medium",C717)))</formula>
    </cfRule>
  </conditionalFormatting>
  <conditionalFormatting sqref="C733:C862">
    <cfRule type="containsText" dxfId="199" priority="318" operator="containsText" text="Low">
      <formula>NOT(ISERROR(SEARCH("Low",C733)))</formula>
    </cfRule>
  </conditionalFormatting>
  <conditionalFormatting sqref="C811:C816">
    <cfRule type="containsText" dxfId="198" priority="319" operator="containsText" text="Medium">
      <formula>NOT(ISERROR(SEARCH("Medium",C811)))</formula>
    </cfRule>
    <cfRule type="containsText" dxfId="197" priority="320" operator="containsText" text="High">
      <formula>NOT(ISERROR(SEARCH("High",C811)))</formula>
    </cfRule>
  </conditionalFormatting>
  <conditionalFormatting sqref="C817:C957">
    <cfRule type="containsText" dxfId="196" priority="463" operator="containsText" text="High">
      <formula>NOT(ISERROR(SEARCH("High",C817)))</formula>
    </cfRule>
    <cfRule type="containsText" dxfId="195" priority="462" operator="containsText" text="Medium">
      <formula>NOT(ISERROR(SEARCH("Medium",C817)))</formula>
    </cfRule>
  </conditionalFormatting>
  <conditionalFormatting sqref="C873:C874">
    <cfRule type="containsText" dxfId="194" priority="461" operator="containsText" text="Low">
      <formula>NOT(ISERROR(SEARCH("Low",C873)))</formula>
    </cfRule>
  </conditionalFormatting>
  <conditionalFormatting sqref="C889:C1005">
    <cfRule type="containsText" dxfId="193" priority="311" operator="containsText" text="Low">
      <formula>NOT(ISERROR(SEARCH("Low",C889)))</formula>
    </cfRule>
  </conditionalFormatting>
  <conditionalFormatting sqref="C958:C1015">
    <cfRule type="containsText" dxfId="192" priority="312" operator="containsText" text="Medium">
      <formula>NOT(ISERROR(SEARCH("Medium",C958)))</formula>
    </cfRule>
    <cfRule type="containsText" dxfId="191" priority="313" operator="containsText" text="High">
      <formula>NOT(ISERROR(SEARCH("High",C958)))</formula>
    </cfRule>
  </conditionalFormatting>
  <conditionalFormatting sqref="C1016:C1017">
    <cfRule type="containsText" dxfId="190" priority="293" operator="containsText" text="Low">
      <formula>NOT(ISERROR(SEARCH("Low",C1016)))</formula>
    </cfRule>
  </conditionalFormatting>
  <conditionalFormatting sqref="C1016:C1096">
    <cfRule type="containsText" dxfId="189" priority="295" operator="containsText" text="High">
      <formula>NOT(ISERROR(SEARCH("High",C1016)))</formula>
    </cfRule>
    <cfRule type="containsText" dxfId="188" priority="294" operator="containsText" text="Medium">
      <formula>NOT(ISERROR(SEARCH("Medium",C1016)))</formula>
    </cfRule>
  </conditionalFormatting>
  <conditionalFormatting sqref="C1032:C1109">
    <cfRule type="containsText" dxfId="187" priority="290" operator="containsText" text="Low">
      <formula>NOT(ISERROR(SEARCH("Low",C1032)))</formula>
    </cfRule>
  </conditionalFormatting>
  <conditionalFormatting sqref="C1097:C1099">
    <cfRule type="containsText" dxfId="186" priority="289" operator="containsText" text="High">
      <formula>NOT(ISERROR(SEARCH("High",C1097)))</formula>
    </cfRule>
    <cfRule type="containsText" dxfId="185" priority="288" operator="containsText" text="Medium">
      <formula>NOT(ISERROR(SEARCH("Medium",C1097)))</formula>
    </cfRule>
  </conditionalFormatting>
  <conditionalFormatting sqref="C1100:C1109">
    <cfRule type="containsText" dxfId="184" priority="292" operator="containsText" text="High">
      <formula>NOT(ISERROR(SEARCH("High",C1100)))</formula>
    </cfRule>
    <cfRule type="containsText" dxfId="183" priority="291" operator="containsText" text="Medium">
      <formula>NOT(ISERROR(SEARCH("Medium",C1100)))</formula>
    </cfRule>
  </conditionalFormatting>
  <conditionalFormatting sqref="C1110:C1163">
    <cfRule type="containsText" dxfId="182" priority="276" operator="containsText" text="Low">
      <formula>NOT(ISERROR(SEARCH("Low",C1110)))</formula>
    </cfRule>
  </conditionalFormatting>
  <conditionalFormatting sqref="C1110:C1172">
    <cfRule type="containsText" dxfId="181" priority="277" operator="containsText" text="Medium">
      <formula>NOT(ISERROR(SEARCH("Medium",C1110)))</formula>
    </cfRule>
    <cfRule type="containsText" dxfId="180" priority="278" operator="containsText" text="High">
      <formula>NOT(ISERROR(SEARCH("High",C1110)))</formula>
    </cfRule>
  </conditionalFormatting>
  <conditionalFormatting sqref="C1173:C1174">
    <cfRule type="containsText" dxfId="179" priority="258" operator="containsText" text="Low">
      <formula>NOT(ISERROR(SEARCH("Low",C1173)))</formula>
    </cfRule>
  </conditionalFormatting>
  <conditionalFormatting sqref="C1173:C1187">
    <cfRule type="containsText" dxfId="178" priority="259" operator="containsText" text="Medium">
      <formula>NOT(ISERROR(SEARCH("Medium",C1173)))</formula>
    </cfRule>
    <cfRule type="containsText" dxfId="177" priority="260" operator="containsText" text="High">
      <formula>NOT(ISERROR(SEARCH("High",C1173)))</formula>
    </cfRule>
  </conditionalFormatting>
  <conditionalFormatting sqref="C1188:C1192">
    <cfRule type="containsText" dxfId="176" priority="243" operator="containsText" text="Low">
      <formula>NOT(ISERROR(SEARCH("Low",C1188)))</formula>
    </cfRule>
  </conditionalFormatting>
  <conditionalFormatting sqref="C1188:C1227">
    <cfRule type="containsText" dxfId="175" priority="244" operator="containsText" text="Medium">
      <formula>NOT(ISERROR(SEARCH("Medium",C1188)))</formula>
    </cfRule>
    <cfRule type="containsText" dxfId="174" priority="245" operator="containsText" text="High">
      <formula>NOT(ISERROR(SEARCH("High",C1188)))</formula>
    </cfRule>
  </conditionalFormatting>
  <conditionalFormatting sqref="C1228:C1281">
    <cfRule type="containsText" dxfId="173" priority="240" operator="containsText" text="Low">
      <formula>NOT(ISERROR(SEARCH("Low",C1228)))</formula>
    </cfRule>
  </conditionalFormatting>
  <conditionalFormatting sqref="C1228:C1302">
    <cfRule type="containsText" dxfId="172" priority="242" operator="containsText" text="High">
      <formula>NOT(ISERROR(SEARCH("High",C1228)))</formula>
    </cfRule>
    <cfRule type="containsText" dxfId="171" priority="241" operator="containsText" text="Medium">
      <formula>NOT(ISERROR(SEARCH("Medium",C1228)))</formula>
    </cfRule>
  </conditionalFormatting>
  <conditionalFormatting sqref="C1291:C1308">
    <cfRule type="containsText" dxfId="170" priority="237" operator="containsText" text="Low">
      <formula>NOT(ISERROR(SEARCH("Low",C1291)))</formula>
    </cfRule>
  </conditionalFormatting>
  <conditionalFormatting sqref="C1303:C1333">
    <cfRule type="containsText" dxfId="169" priority="239" operator="containsText" text="High">
      <formula>NOT(ISERROR(SEARCH("High",C1303)))</formula>
    </cfRule>
    <cfRule type="containsText" dxfId="168" priority="238" operator="containsText" text="Medium">
      <formula>NOT(ISERROR(SEARCH("Medium",C1303)))</formula>
    </cfRule>
  </conditionalFormatting>
  <conditionalFormatting sqref="C1334:C1336">
    <cfRule type="containsText" dxfId="167" priority="234" operator="containsText" text="Low">
      <formula>NOT(ISERROR(SEARCH("Low",C1334)))</formula>
    </cfRule>
  </conditionalFormatting>
  <conditionalFormatting sqref="C1334:C1352">
    <cfRule type="containsText" dxfId="166" priority="236" operator="containsText" text="High">
      <formula>NOT(ISERROR(SEARCH("High",C1334)))</formula>
    </cfRule>
    <cfRule type="containsText" dxfId="165" priority="235" operator="containsText" text="Medium">
      <formula>NOT(ISERROR(SEARCH("Medium",C1334)))</formula>
    </cfRule>
  </conditionalFormatting>
  <conditionalFormatting sqref="C1353:C1354">
    <cfRule type="containsText" dxfId="164" priority="231" operator="containsText" text="Low">
      <formula>NOT(ISERROR(SEARCH("Low",C1353)))</formula>
    </cfRule>
  </conditionalFormatting>
  <conditionalFormatting sqref="C1353:C1362">
    <cfRule type="containsText" dxfId="163" priority="233" operator="containsText" text="High">
      <formula>NOT(ISERROR(SEARCH("High",C1353)))</formula>
    </cfRule>
    <cfRule type="containsText" dxfId="162" priority="232" operator="containsText" text="Medium">
      <formula>NOT(ISERROR(SEARCH("Medium",C1353)))</formula>
    </cfRule>
  </conditionalFormatting>
  <conditionalFormatting sqref="C1363:C1364 C1531:C1533 C1700:C1702 C1878:C1879">
    <cfRule type="containsText" dxfId="161" priority="815" operator="containsText" text="High">
      <formula>NOT(ISERROR(SEARCH("High",C1363)))</formula>
    </cfRule>
    <cfRule type="containsText" dxfId="160" priority="814" operator="containsText" text="Medium">
      <formula>NOT(ISERROR(SEARCH("Medium",C1363)))</formula>
    </cfRule>
  </conditionalFormatting>
  <conditionalFormatting sqref="C1365">
    <cfRule type="containsText" dxfId="159" priority="217" operator="containsText" text="Low">
      <formula>NOT(ISERROR(SEARCH("Low",C1365)))</formula>
    </cfRule>
  </conditionalFormatting>
  <conditionalFormatting sqref="C1365:C1374">
    <cfRule type="containsText" dxfId="158" priority="219" operator="containsText" text="High">
      <formula>NOT(ISERROR(SEARCH("High",C1365)))</formula>
    </cfRule>
    <cfRule type="containsText" dxfId="157" priority="218" operator="containsText" text="Medium">
      <formula>NOT(ISERROR(SEARCH("Medium",C1365)))</formula>
    </cfRule>
  </conditionalFormatting>
  <conditionalFormatting sqref="C1375:C1376">
    <cfRule type="containsText" dxfId="156" priority="205" operator="containsText" text="Low">
      <formula>NOT(ISERROR(SEARCH("Low",C1375)))</formula>
    </cfRule>
  </conditionalFormatting>
  <conditionalFormatting sqref="C1375:C1389">
    <cfRule type="containsText" dxfId="155" priority="207" operator="containsText" text="High">
      <formula>NOT(ISERROR(SEARCH("High",C1375)))</formula>
    </cfRule>
    <cfRule type="containsText" dxfId="154" priority="206" operator="containsText" text="Medium">
      <formula>NOT(ISERROR(SEARCH("Medium",C1375)))</formula>
    </cfRule>
  </conditionalFormatting>
  <conditionalFormatting sqref="C1390:C1394">
    <cfRule type="containsText" dxfId="153" priority="193" operator="containsText" text="Low">
      <formula>NOT(ISERROR(SEARCH("Low",C1390)))</formula>
    </cfRule>
  </conditionalFormatting>
  <conditionalFormatting sqref="C1390:C1465">
    <cfRule type="containsText" dxfId="152" priority="195" operator="containsText" text="High">
      <formula>NOT(ISERROR(SEARCH("High",C1390)))</formula>
    </cfRule>
    <cfRule type="containsText" dxfId="151" priority="194" operator="containsText" text="Medium">
      <formula>NOT(ISERROR(SEARCH("Medium",C1390)))</formula>
    </cfRule>
  </conditionalFormatting>
  <conditionalFormatting sqref="C1466:C1475 C1635:C1644">
    <cfRule type="containsText" dxfId="150" priority="811" operator="containsText" text="Medium">
      <formula>NOT(ISERROR(SEARCH("Medium",C1466)))</formula>
    </cfRule>
    <cfRule type="containsText" dxfId="149" priority="812" operator="containsText" text="High">
      <formula>NOT(ISERROR(SEARCH("High",C1466)))</formula>
    </cfRule>
  </conditionalFormatting>
  <conditionalFormatting sqref="C1476:C1481">
    <cfRule type="containsText" dxfId="148" priority="187" operator="containsText" text="Low">
      <formula>NOT(ISERROR(SEARCH("Low",C1476)))</formula>
    </cfRule>
  </conditionalFormatting>
  <conditionalFormatting sqref="C1476:C1530">
    <cfRule type="containsText" dxfId="147" priority="189" operator="containsText" text="High">
      <formula>NOT(ISERROR(SEARCH("High",C1476)))</formula>
    </cfRule>
    <cfRule type="containsText" dxfId="146" priority="188" operator="containsText" text="Medium">
      <formula>NOT(ISERROR(SEARCH("Medium",C1476)))</formula>
    </cfRule>
  </conditionalFormatting>
  <conditionalFormatting sqref="C1534">
    <cfRule type="containsText" dxfId="145" priority="167" operator="containsText" text="Low">
      <formula>NOT(ISERROR(SEARCH("Low",C1534)))</formula>
    </cfRule>
  </conditionalFormatting>
  <conditionalFormatting sqref="C1534:C1543">
    <cfRule type="containsText" dxfId="144" priority="168" operator="containsText" text="Medium">
      <formula>NOT(ISERROR(SEARCH("Medium",C1534)))</formula>
    </cfRule>
    <cfRule type="containsText" dxfId="143" priority="169" operator="containsText" text="High">
      <formula>NOT(ISERROR(SEARCH("High",C1534)))</formula>
    </cfRule>
  </conditionalFormatting>
  <conditionalFormatting sqref="C1544:C1545">
    <cfRule type="containsText" dxfId="142" priority="155" operator="containsText" text="Low">
      <formula>NOT(ISERROR(SEARCH("Low",C1544)))</formula>
    </cfRule>
  </conditionalFormatting>
  <conditionalFormatting sqref="C1544:C1558">
    <cfRule type="containsText" dxfId="141" priority="157" operator="containsText" text="High">
      <formula>NOT(ISERROR(SEARCH("High",C1544)))</formula>
    </cfRule>
    <cfRule type="containsText" dxfId="140" priority="156" operator="containsText" text="Medium">
      <formula>NOT(ISERROR(SEARCH("Medium",C1544)))</formula>
    </cfRule>
  </conditionalFormatting>
  <conditionalFormatting sqref="C1559:C1563">
    <cfRule type="containsText" dxfId="139" priority="143" operator="containsText" text="Low">
      <formula>NOT(ISERROR(SEARCH("Low",C1559)))</formula>
    </cfRule>
  </conditionalFormatting>
  <conditionalFormatting sqref="C1559:C1598">
    <cfRule type="containsText" dxfId="138" priority="144" operator="containsText" text="Medium">
      <formula>NOT(ISERROR(SEARCH("Medium",C1559)))</formula>
    </cfRule>
    <cfRule type="containsText" dxfId="137" priority="145" operator="containsText" text="High">
      <formula>NOT(ISERROR(SEARCH("High",C1559)))</formula>
    </cfRule>
  </conditionalFormatting>
  <conditionalFormatting sqref="C1564:C1625">
    <cfRule type="containsText" dxfId="136" priority="146" operator="containsText" text="Low">
      <formula>NOT(ISERROR(SEARCH("Low",C1564)))</formula>
    </cfRule>
  </conditionalFormatting>
  <conditionalFormatting sqref="C1599:C1634">
    <cfRule type="containsText" dxfId="135" priority="147" operator="containsText" text="Medium">
      <formula>NOT(ISERROR(SEARCH("Medium",C1599)))</formula>
    </cfRule>
    <cfRule type="containsText" dxfId="134" priority="148" operator="containsText" text="High">
      <formula>NOT(ISERROR(SEARCH("High",C1599)))</formula>
    </cfRule>
  </conditionalFormatting>
  <conditionalFormatting sqref="C1645:C1650">
    <cfRule type="containsText" dxfId="133" priority="137" operator="containsText" text="Low">
      <formula>NOT(ISERROR(SEARCH("Low",C1645)))</formula>
    </cfRule>
  </conditionalFormatting>
  <conditionalFormatting sqref="C1645:C1699">
    <cfRule type="containsText" dxfId="132" priority="139" operator="containsText" text="High">
      <formula>NOT(ISERROR(SEARCH("High",C1645)))</formula>
    </cfRule>
    <cfRule type="containsText" dxfId="131" priority="138" operator="containsText" text="Medium">
      <formula>NOT(ISERROR(SEARCH("Medium",C1645)))</formula>
    </cfRule>
  </conditionalFormatting>
  <conditionalFormatting sqref="C1703">
    <cfRule type="containsText" dxfId="130" priority="117" operator="containsText" text="Low">
      <formula>NOT(ISERROR(SEARCH("Low",C1703)))</formula>
    </cfRule>
  </conditionalFormatting>
  <conditionalFormatting sqref="C1703:C1712">
    <cfRule type="containsText" dxfId="129" priority="119" operator="containsText" text="High">
      <formula>NOT(ISERROR(SEARCH("High",C1703)))</formula>
    </cfRule>
    <cfRule type="containsText" dxfId="128" priority="118" operator="containsText" text="Medium">
      <formula>NOT(ISERROR(SEARCH("Medium",C1703)))</formula>
    </cfRule>
  </conditionalFormatting>
  <conditionalFormatting sqref="C1713:C1714">
    <cfRule type="containsText" dxfId="127" priority="105" operator="containsText" text="Low">
      <formula>NOT(ISERROR(SEARCH("Low",C1713)))</formula>
    </cfRule>
  </conditionalFormatting>
  <conditionalFormatting sqref="C1713:C1727">
    <cfRule type="containsText" dxfId="126" priority="107" operator="containsText" text="High">
      <formula>NOT(ISERROR(SEARCH("High",C1713)))</formula>
    </cfRule>
    <cfRule type="containsText" dxfId="125" priority="106" operator="containsText" text="Medium">
      <formula>NOT(ISERROR(SEARCH("Medium",C1713)))</formula>
    </cfRule>
  </conditionalFormatting>
  <conditionalFormatting sqref="C1728:C1732">
    <cfRule type="containsText" dxfId="124" priority="99" operator="containsText" text="Low">
      <formula>NOT(ISERROR(SEARCH("Low",C1728)))</formula>
    </cfRule>
  </conditionalFormatting>
  <conditionalFormatting sqref="C1728:C1794">
    <cfRule type="containsText" dxfId="123" priority="100" operator="containsText" text="Medium">
      <formula>NOT(ISERROR(SEARCH("Medium",C1728)))</formula>
    </cfRule>
    <cfRule type="containsText" dxfId="122" priority="101" operator="containsText" text="High">
      <formula>NOT(ISERROR(SEARCH("High",C1728)))</formula>
    </cfRule>
  </conditionalFormatting>
  <conditionalFormatting sqref="C1786:C1803">
    <cfRule type="containsText" dxfId="121" priority="93" operator="containsText" text="Low">
      <formula>NOT(ISERROR(SEARCH("Low",C1786)))</formula>
    </cfRule>
  </conditionalFormatting>
  <conditionalFormatting sqref="C1795:C1803">
    <cfRule type="containsText" dxfId="120" priority="94" operator="containsText" text="Medium">
      <formula>NOT(ISERROR(SEARCH("Medium",C1795)))</formula>
    </cfRule>
    <cfRule type="containsText" dxfId="119" priority="95" operator="containsText" text="High">
      <formula>NOT(ISERROR(SEARCH("High",C1795)))</formula>
    </cfRule>
  </conditionalFormatting>
  <conditionalFormatting sqref="C1804:C1877">
    <cfRule type="containsText" dxfId="118" priority="97" operator="containsText" text="Medium">
      <formula>NOT(ISERROR(SEARCH("Medium",C1804)))</formula>
    </cfRule>
    <cfRule type="containsText" dxfId="117" priority="98" operator="containsText" text="High">
      <formula>NOT(ISERROR(SEARCH("High",C1804)))</formula>
    </cfRule>
  </conditionalFormatting>
  <conditionalFormatting sqref="C1823:C1828">
    <cfRule type="containsText" dxfId="116" priority="96" operator="containsText" text="Low">
      <formula>NOT(ISERROR(SEARCH("Low",C1823)))</formula>
    </cfRule>
  </conditionalFormatting>
  <conditionalFormatting sqref="C1880">
    <cfRule type="containsText" dxfId="115" priority="82" operator="containsText" text="Low">
      <formula>NOT(ISERROR(SEARCH("Low",C1880)))</formula>
    </cfRule>
  </conditionalFormatting>
  <conditionalFormatting sqref="C1880:C1887">
    <cfRule type="containsText" dxfId="114" priority="84" operator="containsText" text="High">
      <formula>NOT(ISERROR(SEARCH("High",C1880)))</formula>
    </cfRule>
    <cfRule type="containsText" dxfId="113" priority="83" operator="containsText" text="Medium">
      <formula>NOT(ISERROR(SEARCH("Medium",C1880)))</formula>
    </cfRule>
  </conditionalFormatting>
  <conditionalFormatting sqref="C1888:C1889 C1892:C1905 C1912:C1973">
    <cfRule type="containsText" dxfId="112" priority="55" operator="containsText" text="Low">
      <formula>NOT(ISERROR(SEARCH("Low",C1888)))</formula>
    </cfRule>
  </conditionalFormatting>
  <conditionalFormatting sqref="C1888:C1906">
    <cfRule type="containsText" dxfId="111" priority="34" operator="containsText" text="Medium">
      <formula>NOT(ISERROR(SEARCH("Medium",C1888)))</formula>
    </cfRule>
    <cfRule type="containsText" dxfId="110" priority="35" operator="containsText" text="High">
      <formula>NOT(ISERROR(SEARCH("High",C1888)))</formula>
    </cfRule>
  </conditionalFormatting>
  <conditionalFormatting sqref="C1890:C1891">
    <cfRule type="containsText" dxfId="109" priority="33" operator="containsText" text="Low">
      <formula>NOT(ISERROR(SEARCH("Low",C1890)))</formula>
    </cfRule>
  </conditionalFormatting>
  <conditionalFormatting sqref="C1906:C1911">
    <cfRule type="containsText" dxfId="108" priority="17" operator="containsText" text="Low">
      <formula>NOT(ISERROR(SEARCH("Low",C1906)))</formula>
    </cfRule>
  </conditionalFormatting>
  <conditionalFormatting sqref="C1907:C1908">
    <cfRule type="containsText" dxfId="107" priority="16" operator="containsText" text="High">
      <formula>NOT(ISERROR(SEARCH("High",C1907)))</formula>
    </cfRule>
    <cfRule type="containsText" dxfId="106" priority="15" operator="containsText" text="Medium">
      <formula>NOT(ISERROR(SEARCH("Medium",C1907)))</formula>
    </cfRule>
  </conditionalFormatting>
  <conditionalFormatting sqref="C1909:C2066">
    <cfRule type="containsText" dxfId="105" priority="23" operator="containsText" text="High">
      <formula>NOT(ISERROR(SEARCH("High",C1909)))</formula>
    </cfRule>
    <cfRule type="containsText" dxfId="104" priority="22" operator="containsText" text="Medium">
      <formula>NOT(ISERROR(SEARCH("Medium",C1909)))</formula>
    </cfRule>
  </conditionalFormatting>
  <conditionalFormatting sqref="C1974:C1048576">
    <cfRule type="containsText" dxfId="103" priority="10" operator="containsText" text="Low">
      <formula>NOT(ISERROR(SEARCH("Low",C1974)))</formula>
    </cfRule>
  </conditionalFormatting>
  <conditionalFormatting sqref="C2067:C1048576">
    <cfRule type="containsText" dxfId="102" priority="12" operator="containsText" text="High">
      <formula>NOT(ISERROR(SEARCH("High",C2067)))</formula>
    </cfRule>
    <cfRule type="containsText" dxfId="101" priority="11" operator="containsText" text="Medium">
      <formula>NOT(ISERROR(SEARCH("Medium",C2067)))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DF5D-70B6-4D33-B050-1FD57355932B}">
  <dimension ref="A1:W1471"/>
  <sheetViews>
    <sheetView workbookViewId="0">
      <pane xSplit="2" topLeftCell="G1" activePane="topRight" state="frozen"/>
      <selection pane="topRight" activeCell="G1463" sqref="G1463"/>
    </sheetView>
  </sheetViews>
  <sheetFormatPr baseColWidth="10" defaultColWidth="8.83203125" defaultRowHeight="16" x14ac:dyDescent="0.2"/>
  <cols>
    <col min="1" max="1" width="10.33203125" style="51" customWidth="1"/>
    <col min="2" max="2" width="101.5" style="52" customWidth="1"/>
    <col min="3" max="3" width="21" style="51" customWidth="1"/>
    <col min="4" max="4" width="10.33203125" style="34" customWidth="1"/>
    <col min="5" max="5" width="11.33203125" style="34" customWidth="1"/>
    <col min="6" max="6" width="10.33203125" style="34" customWidth="1"/>
    <col min="7" max="7" width="17.5" style="50" customWidth="1"/>
    <col min="8" max="8" width="41.6640625" style="6" customWidth="1"/>
    <col min="9" max="9" width="11.33203125" style="64" customWidth="1"/>
    <col min="10" max="10" width="11.5" style="34" customWidth="1"/>
    <col min="11" max="11" width="10.33203125" style="34" customWidth="1"/>
    <col min="12" max="12" width="17.5" style="35" customWidth="1"/>
    <col min="13" max="13" width="38.1640625" style="34" customWidth="1"/>
    <col min="14" max="14" width="59.5" style="23" customWidth="1"/>
    <col min="15" max="15" width="81" style="6" customWidth="1"/>
    <col min="16" max="16" width="29.5" style="6" customWidth="1"/>
    <col min="17" max="17" width="24.1640625" style="5" customWidth="1"/>
    <col min="18" max="18" width="39.1640625" style="5" customWidth="1"/>
    <col min="19" max="19" width="35.6640625" style="5" customWidth="1"/>
    <col min="20" max="20" width="36.1640625" style="5" customWidth="1"/>
    <col min="21" max="21" width="9.1640625" style="7" bestFit="1" customWidth="1"/>
    <col min="22" max="22" width="21.6640625" style="7" customWidth="1"/>
    <col min="23" max="23" width="17.5" style="7" customWidth="1"/>
  </cols>
  <sheetData>
    <row r="1" spans="1:19" x14ac:dyDescent="0.2">
      <c r="A1"/>
      <c r="B1"/>
      <c r="C1"/>
      <c r="D1" s="1"/>
      <c r="E1" s="1"/>
      <c r="F1" s="2" t="s">
        <v>0</v>
      </c>
      <c r="G1" s="2"/>
      <c r="H1" s="3"/>
      <c r="I1" s="2"/>
      <c r="J1" s="4"/>
      <c r="K1" s="2"/>
      <c r="L1" s="2"/>
      <c r="M1" s="5"/>
      <c r="N1" s="2"/>
      <c r="O1" s="2"/>
    </row>
    <row r="2" spans="1:19" ht="18" x14ac:dyDescent="0.2">
      <c r="A2" s="8"/>
      <c r="B2" s="9"/>
      <c r="C2" s="10"/>
      <c r="D2" s="11"/>
      <c r="E2" s="11"/>
      <c r="F2" s="11"/>
      <c r="G2" s="12"/>
      <c r="H2" s="13"/>
      <c r="I2" s="14"/>
      <c r="J2" s="15"/>
      <c r="K2" s="11"/>
      <c r="L2" s="12"/>
      <c r="M2" s="11"/>
      <c r="N2" s="16"/>
      <c r="O2" s="17"/>
    </row>
    <row r="3" spans="1:19" x14ac:dyDescent="0.2">
      <c r="A3" s="18" t="s">
        <v>1</v>
      </c>
      <c r="B3" s="311"/>
      <c r="C3" s="311"/>
      <c r="D3" s="20"/>
      <c r="E3" s="20"/>
      <c r="F3" s="20"/>
      <c r="G3" s="21"/>
      <c r="I3" s="22"/>
      <c r="J3" s="20"/>
      <c r="K3" s="20"/>
      <c r="L3" s="21"/>
      <c r="M3" s="20"/>
      <c r="R3" s="24" t="s">
        <v>2</v>
      </c>
      <c r="S3" s="25">
        <v>45586</v>
      </c>
    </row>
    <row r="4" spans="1:19" x14ac:dyDescent="0.2">
      <c r="A4" s="26"/>
      <c r="B4" s="27"/>
      <c r="C4" s="28"/>
      <c r="D4" s="20"/>
      <c r="E4" s="20"/>
      <c r="F4" s="20"/>
      <c r="G4" s="21"/>
      <c r="I4" s="22"/>
      <c r="J4" s="20"/>
      <c r="K4" s="20"/>
      <c r="L4" s="21"/>
      <c r="M4" s="20"/>
      <c r="N4" s="29"/>
      <c r="O4" s="30"/>
    </row>
    <row r="5" spans="1:19" ht="25" x14ac:dyDescent="0.2">
      <c r="A5"/>
      <c r="B5"/>
      <c r="C5"/>
      <c r="D5" s="20"/>
      <c r="E5" s="31" t="s">
        <v>3</v>
      </c>
      <c r="F5" s="31" t="s">
        <v>4</v>
      </c>
      <c r="G5" s="32" t="s">
        <v>5</v>
      </c>
      <c r="H5" s="33"/>
      <c r="I5" s="23"/>
      <c r="K5" s="6"/>
    </row>
    <row r="6" spans="1:19" x14ac:dyDescent="0.2">
      <c r="A6" s="312" t="s">
        <v>6</v>
      </c>
      <c r="B6" s="36" t="s">
        <v>7</v>
      </c>
      <c r="C6" s="37">
        <f>COUNTIF(D16:P1048576,"P")</f>
        <v>1041</v>
      </c>
      <c r="E6" s="38">
        <f>IFERROR(C8/C10,0)</f>
        <v>1</v>
      </c>
      <c r="F6" s="39">
        <f>IFERROR(C6/C8,0)</f>
        <v>1</v>
      </c>
      <c r="G6" s="40">
        <f>IFERROR(C7/C8,0)</f>
        <v>0</v>
      </c>
      <c r="I6" s="23"/>
      <c r="K6" s="6"/>
    </row>
    <row r="7" spans="1:19" x14ac:dyDescent="0.2">
      <c r="A7" s="312"/>
      <c r="B7" s="41" t="s">
        <v>8</v>
      </c>
      <c r="C7" s="42">
        <f>COUNTIF(D16:P1048576,"F")</f>
        <v>0</v>
      </c>
      <c r="E7" s="6"/>
      <c r="G7" s="35"/>
      <c r="I7" s="23"/>
      <c r="K7" s="6"/>
    </row>
    <row r="8" spans="1:19" x14ac:dyDescent="0.2">
      <c r="A8" s="312"/>
      <c r="B8" s="43" t="s">
        <v>9</v>
      </c>
      <c r="C8" s="44">
        <f>C6+C7</f>
        <v>1041</v>
      </c>
      <c r="E8" s="6"/>
      <c r="G8" s="35"/>
      <c r="I8" s="23"/>
      <c r="K8" s="6"/>
    </row>
    <row r="9" spans="1:19" x14ac:dyDescent="0.2">
      <c r="A9" s="313" t="s">
        <v>10</v>
      </c>
      <c r="B9" s="313"/>
      <c r="C9" s="42">
        <f>COUNTIF(D16:P1048576,"0")</f>
        <v>0</v>
      </c>
      <c r="E9" s="6"/>
      <c r="F9" s="45"/>
      <c r="G9" s="46"/>
      <c r="I9" s="23"/>
      <c r="K9" s="6"/>
    </row>
    <row r="10" spans="1:19" x14ac:dyDescent="0.2">
      <c r="A10" s="314" t="s">
        <v>11</v>
      </c>
      <c r="B10" s="314"/>
      <c r="C10" s="44">
        <f>SUM(C8:C9)</f>
        <v>1041</v>
      </c>
      <c r="E10" s="6"/>
      <c r="G10" s="35"/>
      <c r="I10" s="23"/>
      <c r="K10" s="6"/>
    </row>
    <row r="11" spans="1:19" x14ac:dyDescent="0.2">
      <c r="A11" s="47"/>
      <c r="B11" s="48"/>
      <c r="C11" s="49"/>
      <c r="D11" s="6"/>
      <c r="F11" s="6"/>
      <c r="I11" s="23"/>
      <c r="K11" s="6"/>
    </row>
    <row r="12" spans="1:19" x14ac:dyDescent="0.2">
      <c r="D12" s="6"/>
      <c r="E12" s="6"/>
      <c r="F12" s="6"/>
      <c r="I12" s="23"/>
      <c r="K12" s="6"/>
    </row>
    <row r="13" spans="1:19" ht="17" x14ac:dyDescent="0.2">
      <c r="A13" s="315" t="s">
        <v>12</v>
      </c>
      <c r="B13" s="316" t="s">
        <v>13</v>
      </c>
      <c r="C13" s="318" t="s">
        <v>14</v>
      </c>
      <c r="D13" s="330" t="s">
        <v>15</v>
      </c>
      <c r="E13" s="330"/>
      <c r="F13" s="330"/>
      <c r="G13" s="330"/>
      <c r="H13" s="330"/>
      <c r="I13" s="331" t="s">
        <v>16</v>
      </c>
      <c r="J13" s="331"/>
      <c r="K13" s="331"/>
      <c r="L13" s="331"/>
      <c r="M13" s="331"/>
      <c r="N13" s="53" t="s">
        <v>17</v>
      </c>
      <c r="O13" s="332" t="s">
        <v>18</v>
      </c>
      <c r="P13" s="334" t="s">
        <v>19</v>
      </c>
      <c r="Q13" s="334"/>
      <c r="R13" s="334"/>
      <c r="S13" s="319" t="s">
        <v>20</v>
      </c>
    </row>
    <row r="14" spans="1:19" ht="42" customHeight="1" x14ac:dyDescent="0.2">
      <c r="A14" s="315"/>
      <c r="B14" s="316"/>
      <c r="C14" s="318"/>
      <c r="D14" s="320" t="s">
        <v>21</v>
      </c>
      <c r="E14" s="320"/>
      <c r="F14" s="320"/>
      <c r="G14" s="321" t="s">
        <v>22</v>
      </c>
      <c r="H14" s="323" t="s">
        <v>23</v>
      </c>
      <c r="I14" s="324" t="s">
        <v>24</v>
      </c>
      <c r="J14" s="325"/>
      <c r="K14" s="325"/>
      <c r="L14" s="326" t="s">
        <v>22</v>
      </c>
      <c r="M14" s="325" t="s">
        <v>23</v>
      </c>
      <c r="N14" s="53"/>
      <c r="O14" s="332"/>
      <c r="P14" s="328" t="s">
        <v>25</v>
      </c>
      <c r="Q14" s="329" t="s">
        <v>22</v>
      </c>
      <c r="R14" s="329" t="s">
        <v>17</v>
      </c>
      <c r="S14" s="319"/>
    </row>
    <row r="15" spans="1:19" ht="17" x14ac:dyDescent="0.2">
      <c r="A15" s="315"/>
      <c r="B15" s="317"/>
      <c r="C15" s="318"/>
      <c r="D15" s="54" t="s">
        <v>26</v>
      </c>
      <c r="E15" s="55" t="s">
        <v>27</v>
      </c>
      <c r="F15" s="55" t="s">
        <v>28</v>
      </c>
      <c r="G15" s="322"/>
      <c r="H15" s="323"/>
      <c r="I15" s="56" t="s">
        <v>26</v>
      </c>
      <c r="J15" s="57" t="s">
        <v>27</v>
      </c>
      <c r="K15" s="55" t="s">
        <v>28</v>
      </c>
      <c r="L15" s="327"/>
      <c r="M15" s="325"/>
      <c r="N15" s="58"/>
      <c r="O15" s="333"/>
      <c r="P15" s="328"/>
      <c r="Q15" s="329"/>
      <c r="R15" s="329"/>
      <c r="S15" s="319"/>
    </row>
    <row r="16" spans="1:19" ht="50" x14ac:dyDescent="0.3">
      <c r="B16" s="125" t="s">
        <v>473</v>
      </c>
      <c r="C16" s="59"/>
      <c r="D16" s="60"/>
      <c r="E16" s="61"/>
      <c r="F16" s="61"/>
      <c r="G16" s="62"/>
      <c r="H16" s="63"/>
      <c r="L16" s="62"/>
      <c r="M16" s="63"/>
      <c r="N16" s="65"/>
    </row>
    <row r="17" spans="2:17" ht="69" x14ac:dyDescent="0.2">
      <c r="B17" s="170" t="s">
        <v>474</v>
      </c>
      <c r="C17" s="19"/>
      <c r="F17" s="35"/>
      <c r="G17" s="62"/>
      <c r="H17" s="61"/>
      <c r="L17" s="62"/>
      <c r="N17" s="67"/>
      <c r="P17" s="66"/>
      <c r="Q17" s="68"/>
    </row>
    <row r="18" spans="2:17" ht="17" x14ac:dyDescent="0.2">
      <c r="B18" s="127" t="s">
        <v>31</v>
      </c>
      <c r="C18" s="19"/>
      <c r="F18" s="35"/>
      <c r="G18" s="62"/>
      <c r="H18" s="61"/>
      <c r="L18" s="62"/>
      <c r="N18" s="67"/>
      <c r="P18" s="66"/>
      <c r="Q18" s="68"/>
    </row>
    <row r="19" spans="2:17" ht="17" x14ac:dyDescent="0.2">
      <c r="B19" s="127" t="s">
        <v>32</v>
      </c>
      <c r="F19" s="35"/>
      <c r="G19" s="62"/>
      <c r="H19" s="61"/>
      <c r="L19" s="62"/>
      <c r="N19" s="67"/>
      <c r="P19" s="23"/>
    </row>
    <row r="20" spans="2:17" ht="17" x14ac:dyDescent="0.2">
      <c r="B20" s="128" t="s">
        <v>33</v>
      </c>
      <c r="G20" s="62"/>
      <c r="H20" s="61"/>
      <c r="L20" s="62"/>
      <c r="N20" s="67"/>
      <c r="P20" s="23"/>
    </row>
    <row r="21" spans="2:17" ht="17" x14ac:dyDescent="0.2">
      <c r="B21" s="127" t="s">
        <v>34</v>
      </c>
      <c r="C21" s="19"/>
      <c r="G21" s="62"/>
      <c r="H21" s="61"/>
      <c r="L21" s="62"/>
      <c r="N21" s="67"/>
      <c r="P21" s="66"/>
      <c r="Q21" s="68"/>
    </row>
    <row r="22" spans="2:17" ht="17" x14ac:dyDescent="0.2">
      <c r="B22" s="163" t="s">
        <v>475</v>
      </c>
      <c r="C22" s="19"/>
      <c r="F22" s="35"/>
      <c r="G22" s="62"/>
      <c r="H22" s="61"/>
      <c r="L22" s="62"/>
      <c r="N22" s="67"/>
      <c r="P22" s="66"/>
      <c r="Q22" s="68"/>
    </row>
    <row r="23" spans="2:17" ht="34" x14ac:dyDescent="0.2">
      <c r="B23" s="163" t="s">
        <v>476</v>
      </c>
      <c r="C23" s="19"/>
      <c r="F23" s="35"/>
      <c r="G23" s="62"/>
      <c r="H23" s="61"/>
      <c r="L23" s="62"/>
      <c r="N23" s="67"/>
      <c r="P23" s="66"/>
      <c r="Q23" s="68"/>
    </row>
    <row r="24" spans="2:17" ht="17" x14ac:dyDescent="0.2">
      <c r="B24" s="129" t="s">
        <v>36</v>
      </c>
      <c r="C24" s="19"/>
      <c r="G24" s="62"/>
      <c r="H24" s="61"/>
      <c r="L24" s="62"/>
      <c r="N24" s="67"/>
      <c r="P24" s="66"/>
      <c r="Q24" s="68"/>
    </row>
    <row r="25" spans="2:17" ht="17" x14ac:dyDescent="0.2">
      <c r="B25" s="129" t="s">
        <v>37</v>
      </c>
      <c r="C25" s="19"/>
      <c r="G25" s="62"/>
      <c r="H25" s="61"/>
      <c r="L25" s="61"/>
      <c r="N25" s="67"/>
      <c r="P25" s="66"/>
      <c r="Q25" s="68"/>
    </row>
    <row r="26" spans="2:17" ht="17" x14ac:dyDescent="0.2">
      <c r="B26" s="128" t="s">
        <v>38</v>
      </c>
      <c r="C26" s="19"/>
      <c r="G26" s="62"/>
      <c r="H26" s="61"/>
      <c r="L26" s="62"/>
      <c r="N26" s="67"/>
      <c r="P26" s="66"/>
      <c r="Q26" s="68"/>
    </row>
    <row r="27" spans="2:17" ht="48" x14ac:dyDescent="0.2">
      <c r="B27" s="164" t="s">
        <v>477</v>
      </c>
      <c r="C27" s="19" t="s">
        <v>40</v>
      </c>
      <c r="G27" s="62"/>
      <c r="H27" s="61"/>
      <c r="J27" s="34" t="s">
        <v>0</v>
      </c>
      <c r="L27" s="62" t="s">
        <v>41</v>
      </c>
      <c r="M27" s="34" t="s">
        <v>478</v>
      </c>
      <c r="N27" s="67" t="s">
        <v>479</v>
      </c>
      <c r="P27" s="66"/>
      <c r="Q27" s="68"/>
    </row>
    <row r="28" spans="2:17" ht="48" x14ac:dyDescent="0.2">
      <c r="B28" s="164" t="s">
        <v>480</v>
      </c>
      <c r="C28" s="19" t="s">
        <v>40</v>
      </c>
      <c r="G28" s="62"/>
      <c r="H28" s="61"/>
      <c r="J28" s="34" t="s">
        <v>0</v>
      </c>
      <c r="L28" s="62" t="s">
        <v>41</v>
      </c>
      <c r="M28" s="34" t="s">
        <v>478</v>
      </c>
      <c r="N28" s="67" t="s">
        <v>479</v>
      </c>
      <c r="P28" s="66"/>
      <c r="Q28" s="68"/>
    </row>
    <row r="29" spans="2:17" ht="17" x14ac:dyDescent="0.2">
      <c r="B29" s="128" t="s">
        <v>44</v>
      </c>
      <c r="C29" s="19"/>
      <c r="G29" s="62"/>
      <c r="H29" s="61"/>
      <c r="L29" s="61"/>
      <c r="M29" s="69"/>
      <c r="N29" s="67"/>
      <c r="P29" s="66"/>
      <c r="Q29" s="68"/>
    </row>
    <row r="30" spans="2:17" ht="23.25" customHeight="1" x14ac:dyDescent="0.2">
      <c r="B30" s="130" t="s">
        <v>46</v>
      </c>
      <c r="C30" s="19" t="s">
        <v>40</v>
      </c>
      <c r="G30" s="62"/>
      <c r="H30" s="61"/>
      <c r="J30" s="34" t="s">
        <v>0</v>
      </c>
      <c r="L30" s="62" t="s">
        <v>41</v>
      </c>
      <c r="M30" s="34" t="s">
        <v>478</v>
      </c>
      <c r="N30" s="67" t="s">
        <v>479</v>
      </c>
      <c r="P30" s="23"/>
    </row>
    <row r="31" spans="2:17" ht="17" x14ac:dyDescent="0.2">
      <c r="B31" s="128" t="s">
        <v>47</v>
      </c>
      <c r="G31" s="62"/>
      <c r="H31" s="61"/>
      <c r="L31" s="62"/>
      <c r="N31" s="67"/>
      <c r="P31" s="23"/>
    </row>
    <row r="32" spans="2:17" ht="17" x14ac:dyDescent="0.2">
      <c r="B32" s="165" t="s">
        <v>481</v>
      </c>
      <c r="C32" s="19" t="s">
        <v>40</v>
      </c>
      <c r="G32" s="62"/>
      <c r="H32" s="61"/>
      <c r="J32" s="34" t="s">
        <v>0</v>
      </c>
      <c r="L32" s="62" t="s">
        <v>41</v>
      </c>
      <c r="M32" s="34" t="s">
        <v>478</v>
      </c>
      <c r="N32" s="67" t="s">
        <v>479</v>
      </c>
      <c r="P32" s="23"/>
    </row>
    <row r="33" spans="2:17" ht="17" x14ac:dyDescent="0.2">
      <c r="B33" s="131" t="s">
        <v>49</v>
      </c>
      <c r="C33" s="19" t="s">
        <v>40</v>
      </c>
      <c r="G33" s="62"/>
      <c r="H33" s="61"/>
      <c r="J33" s="34" t="s">
        <v>0</v>
      </c>
      <c r="L33" s="62" t="s">
        <v>41</v>
      </c>
      <c r="M33" s="34" t="s">
        <v>478</v>
      </c>
      <c r="N33" s="67" t="s">
        <v>479</v>
      </c>
      <c r="P33" s="66"/>
      <c r="Q33" s="68"/>
    </row>
    <row r="34" spans="2:17" ht="17" x14ac:dyDescent="0.2">
      <c r="B34" s="128" t="s">
        <v>482</v>
      </c>
      <c r="G34" s="62"/>
      <c r="H34" s="61"/>
      <c r="L34" s="69"/>
      <c r="M34" s="69"/>
      <c r="N34" s="67"/>
      <c r="P34" s="23"/>
    </row>
    <row r="35" spans="2:17" ht="17" x14ac:dyDescent="0.2">
      <c r="B35" s="165" t="s">
        <v>66</v>
      </c>
      <c r="C35" s="19" t="s">
        <v>40</v>
      </c>
      <c r="G35" s="62"/>
      <c r="H35" s="61"/>
      <c r="J35" s="34" t="s">
        <v>0</v>
      </c>
      <c r="L35" s="62" t="s">
        <v>41</v>
      </c>
      <c r="M35" s="34" t="s">
        <v>478</v>
      </c>
      <c r="N35" s="67" t="s">
        <v>479</v>
      </c>
      <c r="P35" s="23"/>
    </row>
    <row r="36" spans="2:17" ht="17" x14ac:dyDescent="0.2">
      <c r="B36" s="138" t="s">
        <v>67</v>
      </c>
      <c r="C36" s="19" t="s">
        <v>40</v>
      </c>
      <c r="G36" s="62"/>
      <c r="H36" s="61"/>
      <c r="J36" s="34" t="s">
        <v>0</v>
      </c>
      <c r="L36" s="62" t="s">
        <v>41</v>
      </c>
      <c r="M36" s="34" t="s">
        <v>478</v>
      </c>
      <c r="N36" s="67" t="s">
        <v>479</v>
      </c>
      <c r="P36" s="23"/>
    </row>
    <row r="37" spans="2:17" ht="17" x14ac:dyDescent="0.2">
      <c r="B37" s="166" t="s">
        <v>68</v>
      </c>
      <c r="C37" s="19" t="s">
        <v>40</v>
      </c>
      <c r="G37" s="62"/>
      <c r="H37" s="61"/>
      <c r="J37" s="34" t="s">
        <v>0</v>
      </c>
      <c r="L37" s="62" t="s">
        <v>41</v>
      </c>
      <c r="M37" s="34" t="s">
        <v>478</v>
      </c>
      <c r="N37" s="67" t="s">
        <v>479</v>
      </c>
      <c r="P37" s="23"/>
    </row>
    <row r="38" spans="2:17" ht="17" x14ac:dyDescent="0.2">
      <c r="B38" s="166" t="s">
        <v>69</v>
      </c>
      <c r="C38" s="19" t="s">
        <v>40</v>
      </c>
      <c r="G38" s="62"/>
      <c r="H38" s="61"/>
      <c r="J38" s="34" t="s">
        <v>0</v>
      </c>
      <c r="L38" s="62" t="s">
        <v>41</v>
      </c>
      <c r="M38" s="34" t="s">
        <v>478</v>
      </c>
      <c r="N38" s="67" t="s">
        <v>479</v>
      </c>
      <c r="P38" s="66"/>
      <c r="Q38" s="68"/>
    </row>
    <row r="39" spans="2:17" ht="17" x14ac:dyDescent="0.2">
      <c r="B39" s="166" t="s">
        <v>70</v>
      </c>
      <c r="C39" s="19" t="s">
        <v>40</v>
      </c>
      <c r="G39" s="62"/>
      <c r="H39" s="61"/>
      <c r="J39" s="34" t="s">
        <v>0</v>
      </c>
      <c r="L39" s="62" t="s">
        <v>41</v>
      </c>
      <c r="M39" s="34" t="s">
        <v>478</v>
      </c>
      <c r="N39" s="67" t="s">
        <v>479</v>
      </c>
      <c r="P39" s="66"/>
      <c r="Q39" s="68"/>
    </row>
    <row r="40" spans="2:17" ht="17" x14ac:dyDescent="0.2">
      <c r="B40" s="138" t="s">
        <v>71</v>
      </c>
      <c r="C40" s="19" t="s">
        <v>40</v>
      </c>
      <c r="G40" s="62"/>
      <c r="H40" s="61"/>
      <c r="J40" s="34" t="s">
        <v>0</v>
      </c>
      <c r="L40" s="62" t="s">
        <v>41</v>
      </c>
      <c r="M40" s="34" t="s">
        <v>478</v>
      </c>
      <c r="N40" s="67" t="s">
        <v>479</v>
      </c>
      <c r="P40" s="66"/>
      <c r="Q40" s="68"/>
    </row>
    <row r="41" spans="2:17" ht="17" x14ac:dyDescent="0.2">
      <c r="B41" s="139" t="s">
        <v>72</v>
      </c>
      <c r="C41" s="19" t="s">
        <v>40</v>
      </c>
      <c r="G41" s="62"/>
      <c r="H41" s="61"/>
      <c r="J41" s="34" t="s">
        <v>0</v>
      </c>
      <c r="L41" s="62" t="s">
        <v>41</v>
      </c>
      <c r="M41" s="34" t="s">
        <v>478</v>
      </c>
      <c r="N41" s="67" t="s">
        <v>479</v>
      </c>
      <c r="P41" s="66"/>
      <c r="Q41" s="68"/>
    </row>
    <row r="42" spans="2:17" ht="17" x14ac:dyDescent="0.2">
      <c r="B42" s="166" t="s">
        <v>483</v>
      </c>
      <c r="C42" s="19" t="s">
        <v>40</v>
      </c>
      <c r="G42" s="62"/>
      <c r="H42" s="61"/>
      <c r="J42" s="34" t="s">
        <v>0</v>
      </c>
      <c r="L42" s="62" t="s">
        <v>41</v>
      </c>
      <c r="M42" s="34" t="s">
        <v>478</v>
      </c>
      <c r="N42" s="67" t="s">
        <v>479</v>
      </c>
      <c r="P42" s="66"/>
      <c r="Q42" s="68"/>
    </row>
    <row r="43" spans="2:17" ht="17" x14ac:dyDescent="0.2">
      <c r="B43" s="166" t="s">
        <v>484</v>
      </c>
      <c r="C43" s="19" t="s">
        <v>40</v>
      </c>
      <c r="G43" s="62"/>
      <c r="H43" s="61"/>
      <c r="J43" s="34" t="s">
        <v>0</v>
      </c>
      <c r="L43" s="62" t="s">
        <v>41</v>
      </c>
      <c r="M43" s="34" t="s">
        <v>478</v>
      </c>
      <c r="N43" s="67" t="s">
        <v>479</v>
      </c>
      <c r="P43" s="66"/>
      <c r="Q43" s="68"/>
    </row>
    <row r="44" spans="2:17" ht="17" x14ac:dyDescent="0.2">
      <c r="B44" s="167" t="s">
        <v>485</v>
      </c>
      <c r="C44" s="19" t="s">
        <v>40</v>
      </c>
      <c r="G44" s="62"/>
      <c r="H44" s="61"/>
      <c r="J44" s="34" t="s">
        <v>0</v>
      </c>
      <c r="L44" s="62" t="s">
        <v>41</v>
      </c>
      <c r="M44" s="34" t="s">
        <v>478</v>
      </c>
      <c r="N44" s="67" t="s">
        <v>479</v>
      </c>
      <c r="P44" s="66"/>
      <c r="Q44" s="68"/>
    </row>
    <row r="45" spans="2:17" ht="17" x14ac:dyDescent="0.2">
      <c r="B45" s="169" t="s">
        <v>486</v>
      </c>
      <c r="C45" s="19" t="s">
        <v>40</v>
      </c>
      <c r="G45" s="62"/>
      <c r="H45" s="61"/>
      <c r="L45" s="62"/>
      <c r="N45" s="67"/>
      <c r="P45" s="66"/>
      <c r="Q45" s="68"/>
    </row>
    <row r="46" spans="2:17" ht="17" x14ac:dyDescent="0.2">
      <c r="B46" s="167" t="s">
        <v>487</v>
      </c>
      <c r="C46" s="19" t="s">
        <v>40</v>
      </c>
      <c r="G46" s="62"/>
      <c r="H46" s="61"/>
      <c r="J46" s="34" t="s">
        <v>0</v>
      </c>
      <c r="L46" s="62" t="s">
        <v>41</v>
      </c>
      <c r="M46" s="34" t="s">
        <v>478</v>
      </c>
      <c r="N46" s="67" t="s">
        <v>479</v>
      </c>
      <c r="P46" s="66"/>
      <c r="Q46" s="68"/>
    </row>
    <row r="47" spans="2:17" ht="17" x14ac:dyDescent="0.2">
      <c r="B47" s="167" t="s">
        <v>488</v>
      </c>
      <c r="C47" s="19" t="s">
        <v>40</v>
      </c>
      <c r="G47" s="62"/>
      <c r="H47" s="61"/>
      <c r="J47" s="34" t="s">
        <v>0</v>
      </c>
      <c r="L47" s="62" t="s">
        <v>41</v>
      </c>
      <c r="M47" s="34" t="s">
        <v>478</v>
      </c>
      <c r="N47" s="67" t="s">
        <v>479</v>
      </c>
      <c r="P47" s="23"/>
    </row>
    <row r="48" spans="2:17" ht="17" x14ac:dyDescent="0.2">
      <c r="B48" s="167" t="s">
        <v>489</v>
      </c>
      <c r="C48" s="19" t="s">
        <v>40</v>
      </c>
      <c r="G48" s="62"/>
      <c r="H48" s="61"/>
      <c r="J48" s="34" t="s">
        <v>0</v>
      </c>
      <c r="L48" s="62" t="s">
        <v>41</v>
      </c>
      <c r="M48" s="34" t="s">
        <v>478</v>
      </c>
      <c r="N48" s="67" t="s">
        <v>479</v>
      </c>
      <c r="P48" s="66"/>
      <c r="Q48" s="68"/>
    </row>
    <row r="49" spans="2:17" ht="17" x14ac:dyDescent="0.2">
      <c r="B49" s="167" t="s">
        <v>490</v>
      </c>
      <c r="C49" s="19" t="s">
        <v>40</v>
      </c>
      <c r="G49" s="62"/>
      <c r="H49" s="61"/>
      <c r="J49" s="34" t="s">
        <v>0</v>
      </c>
      <c r="L49" s="62" t="s">
        <v>41</v>
      </c>
      <c r="M49" s="34" t="s">
        <v>478</v>
      </c>
      <c r="N49" s="67" t="s">
        <v>479</v>
      </c>
      <c r="P49" s="66"/>
      <c r="Q49" s="68"/>
    </row>
    <row r="50" spans="2:17" ht="17" x14ac:dyDescent="0.2">
      <c r="B50" s="147" t="s">
        <v>134</v>
      </c>
      <c r="C50" s="19" t="s">
        <v>40</v>
      </c>
      <c r="G50" s="62"/>
      <c r="H50" s="61"/>
      <c r="J50" s="34" t="s">
        <v>0</v>
      </c>
      <c r="L50" s="62" t="s">
        <v>41</v>
      </c>
      <c r="M50" s="34" t="s">
        <v>478</v>
      </c>
      <c r="N50" s="67" t="s">
        <v>479</v>
      </c>
      <c r="P50" s="66"/>
      <c r="Q50" s="68"/>
    </row>
    <row r="51" spans="2:17" ht="17" x14ac:dyDescent="0.2">
      <c r="B51" s="167" t="s">
        <v>491</v>
      </c>
      <c r="C51" s="19" t="s">
        <v>40</v>
      </c>
      <c r="G51" s="62"/>
      <c r="H51" s="61"/>
      <c r="J51" s="34" t="s">
        <v>0</v>
      </c>
      <c r="L51" s="62" t="s">
        <v>41</v>
      </c>
      <c r="M51" s="34" t="s">
        <v>478</v>
      </c>
      <c r="N51" s="67" t="s">
        <v>479</v>
      </c>
      <c r="P51" s="66"/>
      <c r="Q51" s="68"/>
    </row>
    <row r="52" spans="2:17" ht="17" x14ac:dyDescent="0.2">
      <c r="B52" s="167" t="s">
        <v>492</v>
      </c>
      <c r="C52" s="19" t="s">
        <v>40</v>
      </c>
      <c r="G52" s="62"/>
      <c r="H52" s="61"/>
      <c r="J52" s="34" t="s">
        <v>0</v>
      </c>
      <c r="L52" s="62" t="s">
        <v>41</v>
      </c>
      <c r="M52" s="34" t="s">
        <v>478</v>
      </c>
      <c r="N52" s="67" t="s">
        <v>479</v>
      </c>
      <c r="P52" s="66"/>
      <c r="Q52" s="68"/>
    </row>
    <row r="53" spans="2:17" ht="17" x14ac:dyDescent="0.2">
      <c r="B53" s="167" t="s">
        <v>493</v>
      </c>
      <c r="C53" s="19" t="s">
        <v>40</v>
      </c>
      <c r="G53" s="62"/>
      <c r="H53" s="61"/>
      <c r="J53" s="34" t="s">
        <v>0</v>
      </c>
      <c r="L53" s="62" t="s">
        <v>41</v>
      </c>
      <c r="M53" s="34" t="s">
        <v>478</v>
      </c>
      <c r="N53" s="67" t="s">
        <v>479</v>
      </c>
      <c r="P53" s="66"/>
      <c r="Q53" s="68"/>
    </row>
    <row r="54" spans="2:17" ht="17" x14ac:dyDescent="0.2">
      <c r="B54" s="166" t="s">
        <v>78</v>
      </c>
      <c r="C54" s="19" t="s">
        <v>40</v>
      </c>
      <c r="G54" s="62"/>
      <c r="H54" s="61"/>
      <c r="J54" s="34" t="s">
        <v>0</v>
      </c>
      <c r="L54" s="62" t="s">
        <v>41</v>
      </c>
      <c r="M54" s="34" t="s">
        <v>478</v>
      </c>
      <c r="N54" s="67" t="s">
        <v>479</v>
      </c>
      <c r="P54" s="66"/>
      <c r="Q54" s="68"/>
    </row>
    <row r="55" spans="2:17" ht="17" x14ac:dyDescent="0.2">
      <c r="B55" s="138" t="s">
        <v>79</v>
      </c>
      <c r="C55" s="19" t="s">
        <v>40</v>
      </c>
      <c r="G55" s="62"/>
      <c r="H55" s="61"/>
      <c r="J55" s="34" t="s">
        <v>0</v>
      </c>
      <c r="L55" s="62" t="s">
        <v>41</v>
      </c>
      <c r="M55" s="34" t="s">
        <v>478</v>
      </c>
      <c r="N55" s="67" t="s">
        <v>479</v>
      </c>
      <c r="P55" s="66"/>
      <c r="Q55" s="68"/>
    </row>
    <row r="56" spans="2:17" ht="17" x14ac:dyDescent="0.2">
      <c r="B56" s="138" t="s">
        <v>80</v>
      </c>
      <c r="C56" s="19" t="s">
        <v>40</v>
      </c>
      <c r="G56" s="62"/>
      <c r="H56" s="61"/>
      <c r="J56" s="34" t="s">
        <v>0</v>
      </c>
      <c r="L56" s="62" t="s">
        <v>41</v>
      </c>
      <c r="M56" s="34" t="s">
        <v>478</v>
      </c>
      <c r="N56" s="67" t="s">
        <v>479</v>
      </c>
      <c r="P56" s="66"/>
      <c r="Q56" s="68"/>
    </row>
    <row r="57" spans="2:17" ht="17" x14ac:dyDescent="0.2">
      <c r="B57" s="138" t="s">
        <v>81</v>
      </c>
      <c r="C57" s="19" t="s">
        <v>40</v>
      </c>
      <c r="G57" s="62"/>
      <c r="H57" s="61"/>
      <c r="J57" s="34" t="s">
        <v>0</v>
      </c>
      <c r="L57" s="62" t="s">
        <v>41</v>
      </c>
      <c r="M57" s="34" t="s">
        <v>478</v>
      </c>
      <c r="N57" s="67" t="s">
        <v>479</v>
      </c>
      <c r="P57" s="66"/>
      <c r="Q57" s="68"/>
    </row>
    <row r="58" spans="2:17" ht="17" x14ac:dyDescent="0.2">
      <c r="B58" s="138" t="s">
        <v>82</v>
      </c>
      <c r="C58" s="19" t="s">
        <v>40</v>
      </c>
      <c r="G58" s="62"/>
      <c r="H58" s="61"/>
      <c r="J58" s="34" t="s">
        <v>0</v>
      </c>
      <c r="L58" s="62" t="s">
        <v>41</v>
      </c>
      <c r="M58" s="34" t="s">
        <v>478</v>
      </c>
      <c r="N58" s="67" t="s">
        <v>479</v>
      </c>
      <c r="P58" s="66"/>
      <c r="Q58" s="68"/>
    </row>
    <row r="59" spans="2:17" ht="17" x14ac:dyDescent="0.2">
      <c r="B59" s="166" t="s">
        <v>494</v>
      </c>
      <c r="C59" s="19" t="s">
        <v>40</v>
      </c>
      <c r="G59" s="62"/>
      <c r="H59" s="61"/>
      <c r="J59" s="34" t="s">
        <v>0</v>
      </c>
      <c r="L59" s="62" t="s">
        <v>41</v>
      </c>
      <c r="M59" s="34" t="s">
        <v>478</v>
      </c>
      <c r="N59" s="67" t="s">
        <v>479</v>
      </c>
      <c r="P59" s="66"/>
      <c r="Q59" s="68"/>
    </row>
    <row r="60" spans="2:17" ht="17" x14ac:dyDescent="0.2">
      <c r="B60" s="166" t="s">
        <v>495</v>
      </c>
      <c r="C60" s="19" t="s">
        <v>40</v>
      </c>
      <c r="G60" s="62"/>
      <c r="H60" s="61"/>
      <c r="J60" s="34" t="s">
        <v>0</v>
      </c>
      <c r="L60" s="62" t="s">
        <v>41</v>
      </c>
      <c r="M60" s="34" t="s">
        <v>478</v>
      </c>
      <c r="N60" s="67" t="s">
        <v>479</v>
      </c>
      <c r="P60" s="23"/>
    </row>
    <row r="61" spans="2:17" ht="17" x14ac:dyDescent="0.2">
      <c r="B61" s="169" t="s">
        <v>496</v>
      </c>
      <c r="C61" s="19"/>
      <c r="G61" s="62"/>
      <c r="H61" s="61"/>
      <c r="L61" s="62"/>
      <c r="N61" s="67"/>
      <c r="P61" s="23"/>
    </row>
    <row r="62" spans="2:17" ht="17" x14ac:dyDescent="0.2">
      <c r="B62" s="168" t="s">
        <v>134</v>
      </c>
      <c r="C62" s="19" t="s">
        <v>40</v>
      </c>
      <c r="G62" s="62"/>
      <c r="H62" s="61"/>
      <c r="J62" s="34" t="s">
        <v>0</v>
      </c>
      <c r="L62" s="62" t="s">
        <v>41</v>
      </c>
      <c r="M62" s="34" t="s">
        <v>478</v>
      </c>
      <c r="N62" s="67" t="s">
        <v>479</v>
      </c>
      <c r="P62" s="23"/>
    </row>
    <row r="63" spans="2:17" ht="17" x14ac:dyDescent="0.2">
      <c r="B63" s="167" t="s">
        <v>497</v>
      </c>
      <c r="C63" s="19" t="s">
        <v>40</v>
      </c>
      <c r="G63" s="62"/>
      <c r="H63" s="61"/>
      <c r="J63" s="34" t="s">
        <v>0</v>
      </c>
      <c r="L63" s="62" t="s">
        <v>41</v>
      </c>
      <c r="M63" s="34" t="s">
        <v>478</v>
      </c>
      <c r="N63" s="67" t="s">
        <v>479</v>
      </c>
      <c r="P63" s="23"/>
    </row>
    <row r="64" spans="2:17" ht="17" x14ac:dyDescent="0.2">
      <c r="B64" s="166" t="s">
        <v>498</v>
      </c>
      <c r="C64" s="19" t="s">
        <v>40</v>
      </c>
      <c r="G64" s="62"/>
      <c r="H64" s="61"/>
      <c r="J64" s="34" t="s">
        <v>0</v>
      </c>
      <c r="L64" s="62" t="s">
        <v>41</v>
      </c>
      <c r="M64" s="34" t="s">
        <v>478</v>
      </c>
      <c r="N64" s="67" t="s">
        <v>479</v>
      </c>
      <c r="P64" s="23"/>
    </row>
    <row r="65" spans="2:17" ht="17" x14ac:dyDescent="0.2">
      <c r="B65" s="167" t="s">
        <v>499</v>
      </c>
      <c r="C65" s="19" t="s">
        <v>40</v>
      </c>
      <c r="G65" s="62"/>
      <c r="H65" s="61"/>
      <c r="J65" s="34" t="s">
        <v>0</v>
      </c>
      <c r="L65" s="62" t="s">
        <v>41</v>
      </c>
      <c r="M65" s="34" t="s">
        <v>478</v>
      </c>
      <c r="N65" s="67" t="s">
        <v>479</v>
      </c>
      <c r="P65" s="23"/>
    </row>
    <row r="66" spans="2:17" x14ac:dyDescent="0.2">
      <c r="B66" s="140" t="s">
        <v>86</v>
      </c>
      <c r="G66" s="62"/>
      <c r="H66" s="61"/>
      <c r="L66" s="69"/>
      <c r="N66" s="67"/>
      <c r="P66" s="23"/>
    </row>
    <row r="67" spans="2:17" x14ac:dyDescent="0.2">
      <c r="B67" s="140" t="s">
        <v>500</v>
      </c>
      <c r="G67" s="62"/>
      <c r="H67" s="61"/>
      <c r="L67" s="62"/>
      <c r="N67" s="67"/>
      <c r="P67" s="23"/>
    </row>
    <row r="68" spans="2:17" ht="17" x14ac:dyDescent="0.2">
      <c r="B68" s="141" t="s">
        <v>87</v>
      </c>
      <c r="C68" s="19" t="s">
        <v>40</v>
      </c>
      <c r="G68" s="62"/>
      <c r="H68" s="61"/>
      <c r="J68" s="34" t="s">
        <v>0</v>
      </c>
      <c r="L68" s="62" t="s">
        <v>41</v>
      </c>
      <c r="M68" s="34" t="s">
        <v>478</v>
      </c>
      <c r="N68" s="67" t="s">
        <v>479</v>
      </c>
      <c r="P68" s="66"/>
      <c r="Q68" s="68"/>
    </row>
    <row r="69" spans="2:17" ht="32" x14ac:dyDescent="0.2">
      <c r="B69" s="142" t="s">
        <v>102</v>
      </c>
      <c r="C69" s="19" t="s">
        <v>40</v>
      </c>
      <c r="G69" s="62"/>
      <c r="H69" s="61"/>
      <c r="J69" s="34" t="s">
        <v>0</v>
      </c>
      <c r="L69" s="62" t="s">
        <v>41</v>
      </c>
      <c r="M69" s="34" t="s">
        <v>478</v>
      </c>
      <c r="N69" s="67" t="s">
        <v>479</v>
      </c>
      <c r="P69" s="66"/>
      <c r="Q69" s="68"/>
    </row>
    <row r="70" spans="2:17" ht="48" x14ac:dyDescent="0.2">
      <c r="B70" s="143" t="s">
        <v>103</v>
      </c>
      <c r="C70" s="19" t="s">
        <v>40</v>
      </c>
      <c r="G70" s="62"/>
      <c r="H70" s="61"/>
      <c r="J70" s="34" t="s">
        <v>0</v>
      </c>
      <c r="L70" s="62" t="s">
        <v>41</v>
      </c>
      <c r="M70" s="34" t="s">
        <v>478</v>
      </c>
      <c r="N70" s="67" t="s">
        <v>479</v>
      </c>
      <c r="P70" s="23"/>
    </row>
    <row r="71" spans="2:17" ht="17" x14ac:dyDescent="0.2">
      <c r="B71" s="144" t="s">
        <v>96</v>
      </c>
      <c r="C71" s="19" t="s">
        <v>40</v>
      </c>
      <c r="G71" s="62"/>
      <c r="H71" s="61"/>
      <c r="J71" s="34" t="s">
        <v>0</v>
      </c>
      <c r="L71" s="62" t="s">
        <v>41</v>
      </c>
      <c r="M71" s="34" t="s">
        <v>478</v>
      </c>
      <c r="N71" s="67" t="s">
        <v>479</v>
      </c>
      <c r="P71" s="23"/>
    </row>
    <row r="72" spans="2:17" ht="32" x14ac:dyDescent="0.2">
      <c r="B72" s="143" t="s">
        <v>104</v>
      </c>
      <c r="C72" s="19" t="s">
        <v>40</v>
      </c>
      <c r="G72" s="62"/>
      <c r="H72" s="61"/>
      <c r="J72" s="34" t="s">
        <v>0</v>
      </c>
      <c r="L72" s="62" t="s">
        <v>41</v>
      </c>
      <c r="M72" s="34" t="s">
        <v>478</v>
      </c>
      <c r="N72" s="67" t="s">
        <v>479</v>
      </c>
      <c r="P72" s="64"/>
      <c r="Q72" s="68"/>
    </row>
    <row r="73" spans="2:17" ht="32" x14ac:dyDescent="0.2">
      <c r="B73" s="142" t="s">
        <v>105</v>
      </c>
      <c r="C73" s="19" t="s">
        <v>40</v>
      </c>
      <c r="G73" s="62"/>
      <c r="H73" s="61"/>
      <c r="J73" s="34" t="s">
        <v>0</v>
      </c>
      <c r="L73" s="62" t="s">
        <v>41</v>
      </c>
      <c r="M73" s="34" t="s">
        <v>478</v>
      </c>
      <c r="N73" s="67" t="s">
        <v>479</v>
      </c>
      <c r="P73" s="23"/>
    </row>
    <row r="74" spans="2:17" ht="17" x14ac:dyDescent="0.2">
      <c r="B74" s="144" t="s">
        <v>99</v>
      </c>
      <c r="C74" s="19" t="s">
        <v>40</v>
      </c>
      <c r="G74" s="62"/>
      <c r="H74" s="61"/>
      <c r="J74" s="34" t="s">
        <v>0</v>
      </c>
      <c r="L74" s="62" t="s">
        <v>41</v>
      </c>
      <c r="M74" s="34" t="s">
        <v>478</v>
      </c>
      <c r="N74" s="67" t="s">
        <v>479</v>
      </c>
      <c r="P74" s="23"/>
    </row>
    <row r="75" spans="2:17" ht="17" x14ac:dyDescent="0.2">
      <c r="B75" s="143" t="s">
        <v>106</v>
      </c>
      <c r="C75" s="19" t="s">
        <v>40</v>
      </c>
      <c r="G75" s="62"/>
      <c r="H75" s="61"/>
      <c r="J75" s="34" t="s">
        <v>0</v>
      </c>
      <c r="L75" s="62" t="s">
        <v>41</v>
      </c>
      <c r="M75" s="34" t="s">
        <v>478</v>
      </c>
      <c r="N75" s="67" t="s">
        <v>479</v>
      </c>
      <c r="P75" s="23"/>
    </row>
    <row r="76" spans="2:17" x14ac:dyDescent="0.2">
      <c r="B76" s="140" t="s">
        <v>101</v>
      </c>
      <c r="G76" s="62"/>
      <c r="H76" s="61"/>
      <c r="L76" s="69"/>
      <c r="N76" s="67"/>
      <c r="P76" s="23"/>
    </row>
    <row r="77" spans="2:17" ht="17" x14ac:dyDescent="0.2">
      <c r="B77" s="141" t="s">
        <v>87</v>
      </c>
      <c r="C77" s="19" t="s">
        <v>40</v>
      </c>
      <c r="G77" s="62"/>
      <c r="H77" s="61"/>
      <c r="J77" s="34" t="s">
        <v>0</v>
      </c>
      <c r="L77" s="62" t="s">
        <v>41</v>
      </c>
      <c r="M77" s="34" t="s">
        <v>478</v>
      </c>
      <c r="N77" s="67" t="s">
        <v>479</v>
      </c>
      <c r="P77" s="23"/>
    </row>
    <row r="78" spans="2:17" ht="32" x14ac:dyDescent="0.2">
      <c r="B78" s="142" t="s">
        <v>102</v>
      </c>
      <c r="C78" s="19" t="s">
        <v>40</v>
      </c>
      <c r="G78" s="62"/>
      <c r="H78" s="61"/>
      <c r="J78" s="34" t="s">
        <v>0</v>
      </c>
      <c r="L78" s="62" t="s">
        <v>41</v>
      </c>
      <c r="M78" s="34" t="s">
        <v>478</v>
      </c>
      <c r="N78" s="67" t="s">
        <v>479</v>
      </c>
      <c r="P78" s="23"/>
    </row>
    <row r="79" spans="2:17" ht="48" x14ac:dyDescent="0.2">
      <c r="B79" s="143" t="s">
        <v>108</v>
      </c>
      <c r="C79" s="19" t="s">
        <v>40</v>
      </c>
      <c r="G79" s="62"/>
      <c r="H79" s="61"/>
      <c r="J79" s="34" t="s">
        <v>0</v>
      </c>
      <c r="L79" s="62" t="s">
        <v>41</v>
      </c>
      <c r="M79" s="34" t="s">
        <v>478</v>
      </c>
      <c r="N79" s="67" t="s">
        <v>479</v>
      </c>
      <c r="P79" s="23"/>
    </row>
    <row r="80" spans="2:17" ht="17" x14ac:dyDescent="0.2">
      <c r="B80" s="144" t="s">
        <v>96</v>
      </c>
      <c r="C80" s="19" t="s">
        <v>40</v>
      </c>
      <c r="G80" s="62"/>
      <c r="H80" s="61"/>
      <c r="J80" s="34" t="s">
        <v>0</v>
      </c>
      <c r="L80" s="62" t="s">
        <v>41</v>
      </c>
      <c r="M80" s="34" t="s">
        <v>478</v>
      </c>
      <c r="N80" s="67" t="s">
        <v>479</v>
      </c>
      <c r="P80" s="23"/>
    </row>
    <row r="81" spans="2:16" ht="32" x14ac:dyDescent="0.2">
      <c r="B81" s="143" t="s">
        <v>109</v>
      </c>
      <c r="C81" s="19" t="s">
        <v>40</v>
      </c>
      <c r="G81" s="62"/>
      <c r="H81" s="61"/>
      <c r="J81" s="34" t="s">
        <v>0</v>
      </c>
      <c r="L81" s="62" t="s">
        <v>41</v>
      </c>
      <c r="M81" s="34" t="s">
        <v>478</v>
      </c>
      <c r="N81" s="67" t="s">
        <v>479</v>
      </c>
      <c r="P81" s="23"/>
    </row>
    <row r="82" spans="2:16" ht="32" x14ac:dyDescent="0.2">
      <c r="B82" s="142" t="s">
        <v>110</v>
      </c>
      <c r="C82" s="19" t="s">
        <v>40</v>
      </c>
      <c r="G82" s="62"/>
      <c r="H82" s="61"/>
      <c r="J82" s="34" t="s">
        <v>0</v>
      </c>
      <c r="L82" s="62" t="s">
        <v>41</v>
      </c>
      <c r="M82" s="34" t="s">
        <v>478</v>
      </c>
      <c r="N82" s="67" t="s">
        <v>479</v>
      </c>
      <c r="P82" s="23"/>
    </row>
    <row r="83" spans="2:16" ht="17" x14ac:dyDescent="0.2">
      <c r="B83" s="144" t="s">
        <v>99</v>
      </c>
      <c r="C83" s="19" t="s">
        <v>40</v>
      </c>
      <c r="G83" s="62"/>
      <c r="H83" s="61"/>
      <c r="J83" s="34" t="s">
        <v>0</v>
      </c>
      <c r="L83" s="62" t="s">
        <v>41</v>
      </c>
      <c r="M83" s="34" t="s">
        <v>478</v>
      </c>
      <c r="N83" s="67" t="s">
        <v>479</v>
      </c>
      <c r="P83" s="23"/>
    </row>
    <row r="84" spans="2:16" ht="17" x14ac:dyDescent="0.2">
      <c r="B84" s="143" t="s">
        <v>111</v>
      </c>
      <c r="C84" s="19" t="s">
        <v>40</v>
      </c>
      <c r="G84" s="62"/>
      <c r="H84" s="61"/>
      <c r="J84" s="34" t="s">
        <v>0</v>
      </c>
      <c r="L84" s="62" t="s">
        <v>41</v>
      </c>
      <c r="M84" s="34" t="s">
        <v>478</v>
      </c>
      <c r="N84" s="67" t="s">
        <v>479</v>
      </c>
      <c r="P84" s="23"/>
    </row>
    <row r="85" spans="2:16" x14ac:dyDescent="0.2">
      <c r="B85" s="140" t="s">
        <v>107</v>
      </c>
      <c r="G85" s="62"/>
      <c r="H85" s="61"/>
      <c r="L85" s="62"/>
      <c r="N85" s="67"/>
      <c r="P85" s="23"/>
    </row>
    <row r="86" spans="2:16" ht="17" x14ac:dyDescent="0.2">
      <c r="B86" s="141" t="s">
        <v>87</v>
      </c>
      <c r="C86" s="19" t="s">
        <v>40</v>
      </c>
      <c r="G86" s="62"/>
      <c r="H86" s="61"/>
      <c r="J86" s="34" t="s">
        <v>0</v>
      </c>
      <c r="L86" s="62" t="s">
        <v>41</v>
      </c>
      <c r="M86" s="34" t="s">
        <v>478</v>
      </c>
      <c r="N86" s="67" t="s">
        <v>479</v>
      </c>
      <c r="P86" s="23"/>
    </row>
    <row r="87" spans="2:16" ht="32" x14ac:dyDescent="0.2">
      <c r="B87" s="142" t="s">
        <v>102</v>
      </c>
      <c r="C87" s="19" t="s">
        <v>40</v>
      </c>
      <c r="G87" s="62"/>
      <c r="H87" s="61"/>
      <c r="J87" s="34" t="s">
        <v>0</v>
      </c>
      <c r="L87" s="62" t="s">
        <v>41</v>
      </c>
      <c r="M87" s="34" t="s">
        <v>478</v>
      </c>
      <c r="N87" s="67" t="s">
        <v>479</v>
      </c>
      <c r="P87" s="23"/>
    </row>
    <row r="88" spans="2:16" ht="48" x14ac:dyDescent="0.2">
      <c r="B88" s="143" t="s">
        <v>113</v>
      </c>
      <c r="C88" s="19" t="s">
        <v>40</v>
      </c>
      <c r="G88" s="62"/>
      <c r="H88" s="61"/>
      <c r="J88" s="34" t="s">
        <v>0</v>
      </c>
      <c r="L88" s="62" t="s">
        <v>41</v>
      </c>
      <c r="M88" s="34" t="s">
        <v>478</v>
      </c>
      <c r="N88" s="67" t="s">
        <v>479</v>
      </c>
      <c r="P88" s="23"/>
    </row>
    <row r="89" spans="2:16" ht="17" x14ac:dyDescent="0.2">
      <c r="B89" s="144" t="s">
        <v>96</v>
      </c>
      <c r="C89" s="19" t="s">
        <v>40</v>
      </c>
      <c r="G89" s="62"/>
      <c r="H89" s="61"/>
      <c r="J89" s="34" t="s">
        <v>0</v>
      </c>
      <c r="L89" s="62" t="s">
        <v>41</v>
      </c>
      <c r="M89" s="34" t="s">
        <v>478</v>
      </c>
      <c r="N89" s="67" t="s">
        <v>479</v>
      </c>
      <c r="P89" s="23"/>
    </row>
    <row r="90" spans="2:16" ht="32" x14ac:dyDescent="0.2">
      <c r="B90" s="143" t="s">
        <v>97</v>
      </c>
      <c r="C90" s="19" t="s">
        <v>40</v>
      </c>
      <c r="G90" s="62"/>
      <c r="H90" s="61"/>
      <c r="J90" s="34" t="s">
        <v>0</v>
      </c>
      <c r="L90" s="62" t="s">
        <v>41</v>
      </c>
      <c r="M90" s="34" t="s">
        <v>478</v>
      </c>
      <c r="N90" s="67" t="s">
        <v>479</v>
      </c>
      <c r="P90" s="23"/>
    </row>
    <row r="91" spans="2:16" ht="32" x14ac:dyDescent="0.2">
      <c r="B91" s="142" t="s">
        <v>114</v>
      </c>
      <c r="C91" s="19" t="s">
        <v>40</v>
      </c>
      <c r="G91" s="62"/>
      <c r="H91" s="61"/>
      <c r="J91" s="34" t="s">
        <v>0</v>
      </c>
      <c r="L91" s="62" t="s">
        <v>41</v>
      </c>
      <c r="M91" s="34" t="s">
        <v>478</v>
      </c>
      <c r="N91" s="67" t="s">
        <v>479</v>
      </c>
      <c r="P91" s="23"/>
    </row>
    <row r="92" spans="2:16" ht="17" x14ac:dyDescent="0.2">
      <c r="B92" s="144" t="s">
        <v>99</v>
      </c>
      <c r="C92" s="19" t="s">
        <v>40</v>
      </c>
      <c r="G92" s="62"/>
      <c r="H92" s="61"/>
      <c r="J92" s="34" t="s">
        <v>0</v>
      </c>
      <c r="L92" s="62" t="s">
        <v>41</v>
      </c>
      <c r="M92" s="34" t="s">
        <v>478</v>
      </c>
      <c r="N92" s="67" t="s">
        <v>479</v>
      </c>
      <c r="P92" s="23"/>
    </row>
    <row r="93" spans="2:16" ht="17" x14ac:dyDescent="0.2">
      <c r="B93" s="143" t="s">
        <v>115</v>
      </c>
      <c r="C93" s="19" t="s">
        <v>40</v>
      </c>
      <c r="G93" s="62"/>
      <c r="H93" s="61"/>
      <c r="J93" s="34" t="s">
        <v>0</v>
      </c>
      <c r="L93" s="62" t="s">
        <v>41</v>
      </c>
      <c r="M93" s="34" t="s">
        <v>478</v>
      </c>
      <c r="N93" s="67" t="s">
        <v>479</v>
      </c>
      <c r="P93" s="23"/>
    </row>
    <row r="94" spans="2:16" ht="17" x14ac:dyDescent="0.2">
      <c r="B94" s="128" t="s">
        <v>121</v>
      </c>
      <c r="C94" s="19"/>
      <c r="G94" s="62"/>
      <c r="H94" s="61"/>
      <c r="L94" s="69"/>
      <c r="N94" s="67"/>
      <c r="P94" s="23"/>
    </row>
    <row r="95" spans="2:16" ht="17" x14ac:dyDescent="0.2">
      <c r="B95" s="145" t="s">
        <v>122</v>
      </c>
      <c r="C95" s="19" t="s">
        <v>40</v>
      </c>
      <c r="G95" s="62"/>
      <c r="H95" s="61"/>
      <c r="L95" s="62"/>
      <c r="N95" s="67"/>
      <c r="P95" s="23"/>
    </row>
    <row r="96" spans="2:16" ht="17" x14ac:dyDescent="0.2">
      <c r="B96" s="167" t="s">
        <v>123</v>
      </c>
      <c r="C96" s="19" t="s">
        <v>40</v>
      </c>
      <c r="G96" s="62"/>
      <c r="H96" s="61"/>
      <c r="J96" s="34" t="s">
        <v>0</v>
      </c>
      <c r="L96" s="62" t="s">
        <v>41</v>
      </c>
      <c r="M96" s="34" t="s">
        <v>478</v>
      </c>
      <c r="N96" s="67" t="s">
        <v>479</v>
      </c>
      <c r="P96" s="23"/>
    </row>
    <row r="97" spans="2:16" ht="17" x14ac:dyDescent="0.2">
      <c r="B97" s="167" t="s">
        <v>124</v>
      </c>
      <c r="C97" s="19" t="s">
        <v>40</v>
      </c>
      <c r="G97" s="62"/>
      <c r="H97" s="61"/>
      <c r="J97" s="34" t="s">
        <v>0</v>
      </c>
      <c r="L97" s="62" t="s">
        <v>41</v>
      </c>
      <c r="M97" s="34" t="s">
        <v>478</v>
      </c>
      <c r="N97" s="67" t="s">
        <v>479</v>
      </c>
      <c r="P97" s="23"/>
    </row>
    <row r="98" spans="2:16" ht="17" x14ac:dyDescent="0.2">
      <c r="B98" s="139" t="s">
        <v>125</v>
      </c>
      <c r="C98" s="19" t="s">
        <v>40</v>
      </c>
      <c r="G98" s="62"/>
      <c r="H98" s="61"/>
      <c r="J98" s="34" t="s">
        <v>0</v>
      </c>
      <c r="L98" s="62" t="s">
        <v>41</v>
      </c>
      <c r="M98" s="34" t="s">
        <v>478</v>
      </c>
      <c r="N98" s="67" t="s">
        <v>479</v>
      </c>
      <c r="P98" s="23"/>
    </row>
    <row r="99" spans="2:16" ht="17" x14ac:dyDescent="0.2">
      <c r="B99" s="145" t="s">
        <v>126</v>
      </c>
      <c r="C99" s="19" t="s">
        <v>40</v>
      </c>
      <c r="G99" s="62"/>
      <c r="H99" s="61"/>
      <c r="L99" s="62"/>
      <c r="N99" s="67"/>
      <c r="P99" s="23"/>
    </row>
    <row r="100" spans="2:16" ht="17" x14ac:dyDescent="0.2">
      <c r="B100" s="138" t="s">
        <v>127</v>
      </c>
      <c r="C100" s="19" t="s">
        <v>40</v>
      </c>
      <c r="G100" s="62"/>
      <c r="H100" s="61"/>
      <c r="J100" s="34" t="s">
        <v>0</v>
      </c>
      <c r="L100" s="62" t="s">
        <v>41</v>
      </c>
      <c r="M100" s="34" t="s">
        <v>478</v>
      </c>
      <c r="N100" s="67" t="s">
        <v>479</v>
      </c>
      <c r="P100" s="23"/>
    </row>
    <row r="101" spans="2:16" ht="17" x14ac:dyDescent="0.2">
      <c r="B101" s="138" t="s">
        <v>128</v>
      </c>
      <c r="C101" s="19" t="s">
        <v>40</v>
      </c>
      <c r="G101" s="62"/>
      <c r="H101" s="61"/>
      <c r="J101" s="34" t="s">
        <v>0</v>
      </c>
      <c r="L101" s="62" t="s">
        <v>41</v>
      </c>
      <c r="M101" s="34" t="s">
        <v>478</v>
      </c>
      <c r="N101" s="67" t="s">
        <v>479</v>
      </c>
      <c r="P101" s="23"/>
    </row>
    <row r="102" spans="2:16" ht="17" x14ac:dyDescent="0.2">
      <c r="B102" s="146" t="s">
        <v>129</v>
      </c>
      <c r="C102" s="19" t="s">
        <v>40</v>
      </c>
      <c r="E102" s="70"/>
      <c r="F102" s="70"/>
      <c r="G102" s="62"/>
      <c r="H102" s="61"/>
      <c r="J102" s="34" t="s">
        <v>0</v>
      </c>
      <c r="L102" s="62" t="s">
        <v>41</v>
      </c>
      <c r="M102" s="34" t="s">
        <v>478</v>
      </c>
      <c r="N102" s="67" t="s">
        <v>479</v>
      </c>
      <c r="P102" s="23"/>
    </row>
    <row r="103" spans="2:16" ht="17" x14ac:dyDescent="0.2">
      <c r="B103" s="138" t="s">
        <v>130</v>
      </c>
      <c r="C103" s="19" t="s">
        <v>40</v>
      </c>
      <c r="D103" s="35"/>
      <c r="F103" s="64"/>
      <c r="G103" s="62"/>
      <c r="H103" s="61"/>
      <c r="J103" s="34" t="s">
        <v>0</v>
      </c>
      <c r="L103" s="62" t="s">
        <v>41</v>
      </c>
      <c r="M103" s="34" t="s">
        <v>478</v>
      </c>
      <c r="N103" s="67" t="s">
        <v>479</v>
      </c>
      <c r="P103" s="23"/>
    </row>
    <row r="104" spans="2:16" ht="17" x14ac:dyDescent="0.2">
      <c r="B104" s="168" t="s">
        <v>501</v>
      </c>
      <c r="C104" s="19" t="s">
        <v>40</v>
      </c>
      <c r="D104" s="35"/>
      <c r="E104" s="71"/>
      <c r="F104" s="72"/>
      <c r="G104" s="62"/>
      <c r="H104" s="61"/>
      <c r="J104" s="34" t="s">
        <v>0</v>
      </c>
      <c r="L104" s="62" t="s">
        <v>41</v>
      </c>
      <c r="M104" s="34" t="s">
        <v>478</v>
      </c>
      <c r="N104" s="67" t="s">
        <v>479</v>
      </c>
      <c r="P104" s="23"/>
    </row>
    <row r="105" spans="2:16" ht="17" x14ac:dyDescent="0.2">
      <c r="B105" s="147" t="s">
        <v>132</v>
      </c>
      <c r="C105" s="19" t="s">
        <v>40</v>
      </c>
      <c r="D105" s="35"/>
      <c r="E105" s="71"/>
      <c r="F105" s="72"/>
      <c r="G105" s="62"/>
      <c r="H105" s="61"/>
      <c r="J105" s="34" t="s">
        <v>0</v>
      </c>
      <c r="L105" s="62" t="s">
        <v>41</v>
      </c>
      <c r="M105" s="34" t="s">
        <v>478</v>
      </c>
      <c r="N105" s="67" t="s">
        <v>479</v>
      </c>
      <c r="P105" s="23"/>
    </row>
    <row r="106" spans="2:16" ht="17" x14ac:dyDescent="0.2">
      <c r="B106" s="147" t="s">
        <v>134</v>
      </c>
      <c r="C106" s="19" t="s">
        <v>40</v>
      </c>
      <c r="G106" s="62"/>
      <c r="H106" s="61"/>
      <c r="J106" s="34" t="s">
        <v>0</v>
      </c>
      <c r="L106" s="62" t="s">
        <v>41</v>
      </c>
      <c r="M106" s="34" t="s">
        <v>478</v>
      </c>
      <c r="N106" s="67" t="s">
        <v>479</v>
      </c>
      <c r="P106" s="23"/>
    </row>
    <row r="107" spans="2:16" ht="17" x14ac:dyDescent="0.2">
      <c r="B107" s="147" t="s">
        <v>136</v>
      </c>
      <c r="C107" s="19" t="s">
        <v>40</v>
      </c>
      <c r="G107" s="62"/>
      <c r="H107" s="61"/>
      <c r="J107" s="34" t="s">
        <v>0</v>
      </c>
      <c r="L107" s="62" t="s">
        <v>41</v>
      </c>
      <c r="M107" s="34" t="s">
        <v>478</v>
      </c>
      <c r="N107" s="67" t="s">
        <v>479</v>
      </c>
      <c r="P107" s="23"/>
    </row>
    <row r="108" spans="2:16" ht="23" x14ac:dyDescent="0.3">
      <c r="B108" s="148" t="s">
        <v>137</v>
      </c>
      <c r="C108" s="19"/>
      <c r="G108" s="62"/>
      <c r="H108" s="61"/>
      <c r="L108" s="69"/>
      <c r="N108" s="67"/>
      <c r="P108" s="23"/>
    </row>
    <row r="109" spans="2:16" ht="23" x14ac:dyDescent="0.3">
      <c r="B109" s="148" t="s">
        <v>138</v>
      </c>
      <c r="C109" s="19"/>
      <c r="G109" s="62"/>
      <c r="H109" s="61"/>
      <c r="L109" s="62"/>
      <c r="N109" s="67"/>
      <c r="P109" s="23"/>
    </row>
    <row r="110" spans="2:16" ht="17" x14ac:dyDescent="0.2">
      <c r="B110" s="168" t="s">
        <v>139</v>
      </c>
      <c r="C110" s="19" t="s">
        <v>40</v>
      </c>
      <c r="G110" s="62"/>
      <c r="H110" s="61"/>
      <c r="J110" s="34" t="s">
        <v>0</v>
      </c>
      <c r="L110" s="62" t="s">
        <v>41</v>
      </c>
      <c r="M110" s="34" t="s">
        <v>478</v>
      </c>
      <c r="N110" s="67" t="s">
        <v>479</v>
      </c>
      <c r="P110" s="23"/>
    </row>
    <row r="111" spans="2:16" ht="17" x14ac:dyDescent="0.2">
      <c r="B111" s="147" t="s">
        <v>140</v>
      </c>
      <c r="C111" s="19" t="s">
        <v>40</v>
      </c>
      <c r="G111" s="62"/>
      <c r="H111" s="61"/>
      <c r="J111" s="34" t="s">
        <v>0</v>
      </c>
      <c r="L111" s="62" t="s">
        <v>41</v>
      </c>
      <c r="M111" s="34" t="s">
        <v>478</v>
      </c>
      <c r="N111" s="67" t="s">
        <v>479</v>
      </c>
      <c r="P111" s="23"/>
    </row>
    <row r="112" spans="2:16" ht="17" x14ac:dyDescent="0.2">
      <c r="B112" s="147" t="s">
        <v>141</v>
      </c>
      <c r="C112" s="19" t="s">
        <v>40</v>
      </c>
      <c r="G112" s="62"/>
      <c r="H112" s="61"/>
      <c r="J112" s="34" t="s">
        <v>0</v>
      </c>
      <c r="L112" s="62" t="s">
        <v>41</v>
      </c>
      <c r="M112" s="34" t="s">
        <v>478</v>
      </c>
      <c r="N112" s="67" t="s">
        <v>479</v>
      </c>
      <c r="P112" s="23"/>
    </row>
    <row r="113" spans="2:16" ht="17" x14ac:dyDescent="0.2">
      <c r="B113" s="147" t="s">
        <v>142</v>
      </c>
      <c r="C113" s="19" t="s">
        <v>40</v>
      </c>
      <c r="G113" s="62"/>
      <c r="H113" s="61"/>
      <c r="J113" s="34" t="s">
        <v>0</v>
      </c>
      <c r="L113" s="62" t="s">
        <v>41</v>
      </c>
      <c r="M113" s="34" t="s">
        <v>478</v>
      </c>
      <c r="N113" s="67" t="s">
        <v>479</v>
      </c>
      <c r="P113" s="23"/>
    </row>
    <row r="114" spans="2:16" ht="17" x14ac:dyDescent="0.2">
      <c r="B114" s="147" t="s">
        <v>143</v>
      </c>
      <c r="C114" s="19" t="s">
        <v>40</v>
      </c>
      <c r="G114" s="62"/>
      <c r="H114" s="61"/>
      <c r="J114" s="34" t="s">
        <v>0</v>
      </c>
      <c r="L114" s="62" t="s">
        <v>41</v>
      </c>
      <c r="M114" s="34" t="s">
        <v>478</v>
      </c>
      <c r="N114" s="67" t="s">
        <v>479</v>
      </c>
      <c r="P114" s="23"/>
    </row>
    <row r="115" spans="2:16" ht="23" x14ac:dyDescent="0.3">
      <c r="B115" s="148" t="s">
        <v>144</v>
      </c>
      <c r="C115" s="19"/>
      <c r="G115" s="62"/>
      <c r="H115" s="61"/>
      <c r="L115" s="175"/>
      <c r="N115" s="67"/>
      <c r="P115" s="23"/>
    </row>
    <row r="116" spans="2:16" ht="17" x14ac:dyDescent="0.2">
      <c r="B116" s="168" t="s">
        <v>145</v>
      </c>
      <c r="C116" s="19" t="s">
        <v>40</v>
      </c>
      <c r="G116" s="62"/>
      <c r="H116" s="61"/>
      <c r="J116" s="34" t="s">
        <v>0</v>
      </c>
      <c r="L116" s="62" t="s">
        <v>41</v>
      </c>
      <c r="M116" s="34" t="s">
        <v>478</v>
      </c>
      <c r="N116" s="67" t="s">
        <v>479</v>
      </c>
      <c r="P116" s="23"/>
    </row>
    <row r="117" spans="2:16" ht="17" x14ac:dyDescent="0.2">
      <c r="B117" s="168" t="s">
        <v>146</v>
      </c>
      <c r="C117" s="19" t="s">
        <v>40</v>
      </c>
      <c r="G117" s="62"/>
      <c r="H117" s="61"/>
      <c r="J117" s="34" t="s">
        <v>0</v>
      </c>
      <c r="L117" s="62" t="s">
        <v>41</v>
      </c>
      <c r="M117" s="34" t="s">
        <v>478</v>
      </c>
      <c r="N117" s="67" t="s">
        <v>479</v>
      </c>
      <c r="P117" s="23"/>
    </row>
    <row r="118" spans="2:16" ht="17" x14ac:dyDescent="0.2">
      <c r="B118" s="168" t="s">
        <v>147</v>
      </c>
      <c r="C118" s="19" t="s">
        <v>40</v>
      </c>
      <c r="G118" s="62"/>
      <c r="H118" s="61"/>
      <c r="J118" s="34" t="s">
        <v>0</v>
      </c>
      <c r="L118" s="62" t="s">
        <v>41</v>
      </c>
      <c r="M118" s="34" t="s">
        <v>478</v>
      </c>
      <c r="N118" s="67" t="s">
        <v>479</v>
      </c>
      <c r="P118" s="23"/>
    </row>
    <row r="119" spans="2:16" ht="17" x14ac:dyDescent="0.2">
      <c r="B119" s="168" t="s">
        <v>148</v>
      </c>
      <c r="C119" s="19" t="s">
        <v>40</v>
      </c>
      <c r="G119" s="62"/>
      <c r="H119" s="61"/>
      <c r="J119" s="34" t="s">
        <v>0</v>
      </c>
      <c r="L119" s="62" t="s">
        <v>41</v>
      </c>
      <c r="M119" s="34" t="s">
        <v>478</v>
      </c>
      <c r="N119" s="67" t="s">
        <v>479</v>
      </c>
      <c r="P119" s="23"/>
    </row>
    <row r="120" spans="2:16" ht="17" x14ac:dyDescent="0.2">
      <c r="B120" s="168" t="s">
        <v>149</v>
      </c>
      <c r="C120" s="19" t="s">
        <v>40</v>
      </c>
      <c r="G120" s="62"/>
      <c r="H120" s="61"/>
      <c r="J120" s="34" t="s">
        <v>0</v>
      </c>
      <c r="L120" s="62" t="s">
        <v>41</v>
      </c>
      <c r="M120" s="34" t="s">
        <v>478</v>
      </c>
      <c r="N120" s="67" t="s">
        <v>479</v>
      </c>
      <c r="P120" s="23"/>
    </row>
    <row r="121" spans="2:16" ht="20" x14ac:dyDescent="0.2">
      <c r="B121" s="177" t="s">
        <v>51</v>
      </c>
      <c r="C121" s="19"/>
      <c r="G121" s="62"/>
      <c r="H121" s="61"/>
      <c r="L121" s="175"/>
      <c r="N121" s="67"/>
      <c r="P121" s="23"/>
    </row>
    <row r="122" spans="2:16" ht="17" x14ac:dyDescent="0.2">
      <c r="B122" s="176" t="s">
        <v>502</v>
      </c>
      <c r="G122" s="62"/>
      <c r="H122" s="61"/>
      <c r="L122" s="175"/>
      <c r="N122" s="67"/>
      <c r="P122" s="23"/>
    </row>
    <row r="123" spans="2:16" ht="17" x14ac:dyDescent="0.2">
      <c r="B123" s="132" t="s">
        <v>60</v>
      </c>
      <c r="C123" s="19"/>
      <c r="G123" s="62"/>
      <c r="H123" s="61"/>
      <c r="L123" s="175"/>
      <c r="N123" s="67"/>
      <c r="P123" s="23"/>
    </row>
    <row r="124" spans="2:16" ht="17" x14ac:dyDescent="0.2">
      <c r="B124" s="135" t="s">
        <v>61</v>
      </c>
      <c r="C124" s="19" t="s">
        <v>40</v>
      </c>
      <c r="G124" s="62"/>
      <c r="H124" s="61"/>
      <c r="J124" s="34" t="s">
        <v>0</v>
      </c>
      <c r="L124" s="62" t="s">
        <v>41</v>
      </c>
      <c r="M124" s="34" t="s">
        <v>478</v>
      </c>
      <c r="N124" s="67" t="s">
        <v>479</v>
      </c>
      <c r="P124" s="23"/>
    </row>
    <row r="125" spans="2:16" ht="17" x14ac:dyDescent="0.2">
      <c r="B125" s="136" t="s">
        <v>62</v>
      </c>
      <c r="C125" s="19" t="s">
        <v>40</v>
      </c>
      <c r="G125" s="62"/>
      <c r="H125" s="61"/>
      <c r="J125" s="34" t="s">
        <v>0</v>
      </c>
      <c r="L125" s="62" t="s">
        <v>41</v>
      </c>
      <c r="M125" s="34" t="s">
        <v>478</v>
      </c>
      <c r="N125" s="67" t="s">
        <v>479</v>
      </c>
      <c r="P125" s="23"/>
    </row>
    <row r="126" spans="2:16" ht="96" x14ac:dyDescent="0.2">
      <c r="B126" s="137" t="s">
        <v>63</v>
      </c>
      <c r="C126" s="19" t="s">
        <v>40</v>
      </c>
      <c r="G126" s="62"/>
      <c r="H126" s="61"/>
      <c r="J126" s="34" t="s">
        <v>299</v>
      </c>
      <c r="L126" s="62" t="s">
        <v>41</v>
      </c>
      <c r="M126" s="34" t="s">
        <v>478</v>
      </c>
      <c r="N126" s="67" t="s">
        <v>479</v>
      </c>
      <c r="P126" s="23"/>
    </row>
    <row r="127" spans="2:16" ht="17" x14ac:dyDescent="0.2">
      <c r="B127" s="136" t="s">
        <v>64</v>
      </c>
      <c r="C127" s="19" t="s">
        <v>40</v>
      </c>
      <c r="G127" s="62"/>
      <c r="H127" s="61"/>
      <c r="L127" s="62" t="s">
        <v>41</v>
      </c>
      <c r="M127" s="34" t="s">
        <v>478</v>
      </c>
      <c r="N127" s="67" t="s">
        <v>479</v>
      </c>
      <c r="P127" s="23"/>
    </row>
    <row r="128" spans="2:16" ht="20" x14ac:dyDescent="0.25">
      <c r="B128" s="149" t="s">
        <v>150</v>
      </c>
      <c r="C128" s="19"/>
      <c r="G128" s="62"/>
      <c r="H128" s="61"/>
      <c r="L128" s="62"/>
      <c r="N128" s="67"/>
      <c r="P128" s="23"/>
    </row>
    <row r="129" spans="2:16" x14ac:dyDescent="0.2">
      <c r="B129" s="150" t="s">
        <v>151</v>
      </c>
      <c r="C129" s="19"/>
      <c r="G129" s="62"/>
      <c r="H129" s="61"/>
      <c r="L129" s="62"/>
      <c r="N129" s="67"/>
      <c r="P129" s="23"/>
    </row>
    <row r="130" spans="2:16" ht="17" x14ac:dyDescent="0.2">
      <c r="B130" s="151" t="s">
        <v>152</v>
      </c>
      <c r="C130" s="19" t="s">
        <v>40</v>
      </c>
      <c r="G130" s="62"/>
      <c r="H130" s="61"/>
      <c r="J130" s="34" t="s">
        <v>0</v>
      </c>
      <c r="L130" s="62" t="s">
        <v>41</v>
      </c>
      <c r="M130" s="34" t="s">
        <v>478</v>
      </c>
      <c r="N130" s="67" t="s">
        <v>479</v>
      </c>
      <c r="P130" s="23"/>
    </row>
    <row r="131" spans="2:16" ht="17" x14ac:dyDescent="0.2">
      <c r="B131" s="151" t="s">
        <v>153</v>
      </c>
      <c r="C131" s="19" t="s">
        <v>40</v>
      </c>
      <c r="G131" s="62"/>
      <c r="H131" s="61"/>
      <c r="J131" s="34" t="s">
        <v>0</v>
      </c>
      <c r="L131" s="62" t="s">
        <v>41</v>
      </c>
      <c r="M131" s="34" t="s">
        <v>478</v>
      </c>
      <c r="N131" s="67" t="s">
        <v>479</v>
      </c>
      <c r="P131" s="23"/>
    </row>
    <row r="132" spans="2:16" ht="17" x14ac:dyDescent="0.2">
      <c r="B132" s="152" t="s">
        <v>154</v>
      </c>
      <c r="C132" s="19" t="s">
        <v>40</v>
      </c>
      <c r="E132" s="74"/>
      <c r="G132" s="62"/>
      <c r="H132" s="61"/>
      <c r="J132" s="34" t="s">
        <v>0</v>
      </c>
      <c r="L132" s="62" t="s">
        <v>41</v>
      </c>
      <c r="M132" s="34" t="s">
        <v>478</v>
      </c>
      <c r="N132" s="67" t="s">
        <v>479</v>
      </c>
      <c r="P132" s="23"/>
    </row>
    <row r="133" spans="2:16" ht="17" x14ac:dyDescent="0.2">
      <c r="B133" s="143" t="s">
        <v>155</v>
      </c>
      <c r="C133" s="19" t="s">
        <v>40</v>
      </c>
      <c r="G133" s="62"/>
      <c r="H133" s="61"/>
      <c r="J133" s="34" t="s">
        <v>0</v>
      </c>
      <c r="L133" s="62" t="s">
        <v>41</v>
      </c>
      <c r="M133" s="34" t="s">
        <v>478</v>
      </c>
      <c r="N133" s="67" t="s">
        <v>479</v>
      </c>
      <c r="P133" s="23"/>
    </row>
    <row r="134" spans="2:16" x14ac:dyDescent="0.2">
      <c r="B134" s="153" t="s">
        <v>156</v>
      </c>
      <c r="G134" s="62"/>
      <c r="H134" s="61"/>
      <c r="L134" s="69"/>
      <c r="N134" s="67"/>
      <c r="P134" s="23"/>
    </row>
    <row r="135" spans="2:16" x14ac:dyDescent="0.2">
      <c r="B135" s="153" t="s">
        <v>157</v>
      </c>
      <c r="C135" s="19"/>
      <c r="G135" s="62"/>
      <c r="H135" s="61"/>
      <c r="L135" s="62"/>
      <c r="N135" s="67"/>
      <c r="P135" s="23"/>
    </row>
    <row r="136" spans="2:16" ht="17" x14ac:dyDescent="0.2">
      <c r="B136" s="154" t="s">
        <v>158</v>
      </c>
      <c r="C136" s="19" t="s">
        <v>40</v>
      </c>
      <c r="G136" s="62"/>
      <c r="H136" s="61"/>
      <c r="J136" s="34" t="s">
        <v>0</v>
      </c>
      <c r="L136" s="62" t="s">
        <v>41</v>
      </c>
      <c r="M136" s="34" t="s">
        <v>478</v>
      </c>
      <c r="N136" s="67" t="s">
        <v>479</v>
      </c>
      <c r="P136" s="23"/>
    </row>
    <row r="137" spans="2:16" ht="17" x14ac:dyDescent="0.2">
      <c r="B137" s="155" t="s">
        <v>159</v>
      </c>
      <c r="C137" s="19" t="s">
        <v>40</v>
      </c>
      <c r="G137" s="62"/>
      <c r="H137" s="61"/>
      <c r="J137" s="34" t="s">
        <v>0</v>
      </c>
      <c r="L137" s="62" t="s">
        <v>41</v>
      </c>
      <c r="M137" s="34" t="s">
        <v>478</v>
      </c>
      <c r="N137" s="67" t="s">
        <v>479</v>
      </c>
      <c r="P137" s="23"/>
    </row>
    <row r="138" spans="2:16" ht="17" x14ac:dyDescent="0.2">
      <c r="B138" s="151" t="s">
        <v>160</v>
      </c>
      <c r="C138" s="19" t="s">
        <v>40</v>
      </c>
      <c r="G138" s="62"/>
      <c r="H138" s="61"/>
      <c r="J138" s="34" t="s">
        <v>0</v>
      </c>
      <c r="L138" s="62" t="s">
        <v>41</v>
      </c>
      <c r="M138" s="34" t="s">
        <v>478</v>
      </c>
      <c r="N138" s="67" t="s">
        <v>479</v>
      </c>
      <c r="P138" s="23"/>
    </row>
    <row r="139" spans="2:16" x14ac:dyDescent="0.2">
      <c r="B139" s="153" t="s">
        <v>161</v>
      </c>
      <c r="C139" s="19"/>
      <c r="G139" s="62"/>
      <c r="H139" s="61"/>
      <c r="L139" s="62"/>
      <c r="N139" s="67"/>
      <c r="P139" s="23"/>
    </row>
    <row r="140" spans="2:16" x14ac:dyDescent="0.2">
      <c r="B140" s="156" t="s">
        <v>162</v>
      </c>
      <c r="C140" s="19"/>
      <c r="G140" s="62"/>
      <c r="H140" s="61"/>
      <c r="L140" s="62"/>
      <c r="N140" s="67"/>
      <c r="P140" s="23"/>
    </row>
    <row r="141" spans="2:16" ht="48" x14ac:dyDescent="0.2">
      <c r="B141" s="151" t="s">
        <v>163</v>
      </c>
      <c r="C141" s="19" t="s">
        <v>40</v>
      </c>
      <c r="G141" s="62"/>
      <c r="H141" s="61"/>
      <c r="J141" s="34" t="s">
        <v>0</v>
      </c>
      <c r="L141" s="62" t="s">
        <v>41</v>
      </c>
      <c r="M141" s="34" t="s">
        <v>478</v>
      </c>
      <c r="N141" s="67" t="s">
        <v>479</v>
      </c>
      <c r="P141" s="23"/>
    </row>
    <row r="142" spans="2:16" ht="17" x14ac:dyDescent="0.2">
      <c r="B142" s="138" t="s">
        <v>164</v>
      </c>
      <c r="C142" s="19" t="s">
        <v>40</v>
      </c>
      <c r="G142" s="62"/>
      <c r="H142" s="61"/>
      <c r="J142" s="34" t="s">
        <v>0</v>
      </c>
      <c r="L142" s="62" t="s">
        <v>41</v>
      </c>
      <c r="M142" s="34" t="s">
        <v>478</v>
      </c>
      <c r="N142" s="67" t="s">
        <v>479</v>
      </c>
      <c r="P142" s="23"/>
    </row>
    <row r="143" spans="2:16" x14ac:dyDescent="0.2">
      <c r="B143" s="156" t="s">
        <v>165</v>
      </c>
      <c r="C143" s="19"/>
      <c r="G143" s="62"/>
      <c r="H143" s="61"/>
      <c r="L143" s="62"/>
      <c r="N143" s="67"/>
      <c r="P143" s="23"/>
    </row>
    <row r="144" spans="2:16" ht="48" x14ac:dyDescent="0.2">
      <c r="B144" s="151" t="s">
        <v>166</v>
      </c>
      <c r="C144" s="19" t="s">
        <v>40</v>
      </c>
      <c r="G144" s="62"/>
      <c r="H144" s="61"/>
      <c r="J144" s="34" t="s">
        <v>0</v>
      </c>
      <c r="L144" s="62" t="s">
        <v>41</v>
      </c>
      <c r="M144" s="34" t="s">
        <v>478</v>
      </c>
      <c r="N144" s="67" t="s">
        <v>479</v>
      </c>
      <c r="P144" s="23"/>
    </row>
    <row r="145" spans="2:16" ht="17" x14ac:dyDescent="0.2">
      <c r="B145" s="138" t="s">
        <v>167</v>
      </c>
      <c r="C145" s="19" t="s">
        <v>40</v>
      </c>
      <c r="G145" s="62"/>
      <c r="H145" s="61"/>
      <c r="J145" s="34" t="s">
        <v>0</v>
      </c>
      <c r="L145" s="62" t="s">
        <v>41</v>
      </c>
      <c r="M145" s="34" t="s">
        <v>478</v>
      </c>
      <c r="N145" s="67" t="s">
        <v>479</v>
      </c>
      <c r="P145" s="23"/>
    </row>
    <row r="146" spans="2:16" x14ac:dyDescent="0.2">
      <c r="B146" s="157" t="s">
        <v>168</v>
      </c>
      <c r="P146" s="23"/>
    </row>
    <row r="147" spans="2:16" ht="51" x14ac:dyDescent="0.2">
      <c r="B147" s="158" t="s">
        <v>169</v>
      </c>
      <c r="C147" s="19" t="s">
        <v>40</v>
      </c>
      <c r="G147" s="35"/>
      <c r="H147" s="69"/>
      <c r="J147" s="34" t="s">
        <v>0</v>
      </c>
      <c r="L147" s="62" t="s">
        <v>41</v>
      </c>
      <c r="M147" s="34" t="s">
        <v>478</v>
      </c>
      <c r="N147" s="67" t="s">
        <v>479</v>
      </c>
      <c r="P147" s="23"/>
    </row>
    <row r="148" spans="2:16" ht="17" x14ac:dyDescent="0.2">
      <c r="B148" s="159" t="s">
        <v>170</v>
      </c>
      <c r="C148" s="19" t="s">
        <v>40</v>
      </c>
      <c r="G148" s="35"/>
      <c r="H148" s="69"/>
      <c r="J148" s="34" t="s">
        <v>0</v>
      </c>
      <c r="L148" s="62" t="s">
        <v>41</v>
      </c>
      <c r="M148" s="34" t="s">
        <v>478</v>
      </c>
      <c r="N148" s="67" t="s">
        <v>479</v>
      </c>
      <c r="P148" s="23"/>
    </row>
    <row r="149" spans="2:16" x14ac:dyDescent="0.2">
      <c r="B149" s="157" t="s">
        <v>171</v>
      </c>
      <c r="C149" s="19"/>
      <c r="G149" s="35"/>
      <c r="H149" s="69"/>
      <c r="M149" s="68"/>
      <c r="N149" s="64"/>
      <c r="P149" s="23"/>
    </row>
    <row r="150" spans="2:16" ht="48" x14ac:dyDescent="0.2">
      <c r="B150" s="144" t="s">
        <v>172</v>
      </c>
      <c r="C150" s="19" t="s">
        <v>40</v>
      </c>
      <c r="G150" s="35"/>
      <c r="H150" s="69"/>
      <c r="J150" s="34" t="s">
        <v>0</v>
      </c>
      <c r="L150" s="62" t="s">
        <v>41</v>
      </c>
      <c r="M150" s="34" t="s">
        <v>478</v>
      </c>
      <c r="N150" s="67" t="s">
        <v>479</v>
      </c>
      <c r="P150" s="23"/>
    </row>
    <row r="151" spans="2:16" ht="17" x14ac:dyDescent="0.2">
      <c r="B151" s="160" t="s">
        <v>173</v>
      </c>
      <c r="C151" s="19" t="s">
        <v>40</v>
      </c>
      <c r="J151" s="34" t="s">
        <v>0</v>
      </c>
      <c r="L151" s="62" t="s">
        <v>41</v>
      </c>
      <c r="M151" s="34" t="s">
        <v>478</v>
      </c>
      <c r="N151" s="67" t="s">
        <v>479</v>
      </c>
      <c r="P151" s="23"/>
    </row>
    <row r="152" spans="2:16" ht="17" x14ac:dyDescent="0.2">
      <c r="B152" s="161" t="s">
        <v>174</v>
      </c>
      <c r="P152" s="23"/>
    </row>
    <row r="153" spans="2:16" ht="51" x14ac:dyDescent="0.2">
      <c r="B153" s="161" t="s">
        <v>175</v>
      </c>
      <c r="C153" s="19"/>
      <c r="G153" s="35"/>
      <c r="H153" s="69"/>
      <c r="M153" s="68"/>
      <c r="N153" s="64"/>
      <c r="P153" s="23"/>
    </row>
    <row r="154" spans="2:16" ht="17" x14ac:dyDescent="0.2">
      <c r="B154" s="131" t="s">
        <v>176</v>
      </c>
      <c r="C154" s="19" t="s">
        <v>40</v>
      </c>
      <c r="G154" s="35"/>
      <c r="H154" s="69"/>
      <c r="J154" s="34" t="s">
        <v>0</v>
      </c>
      <c r="L154" s="62" t="s">
        <v>41</v>
      </c>
      <c r="M154" s="34" t="s">
        <v>478</v>
      </c>
      <c r="N154" s="67" t="s">
        <v>479</v>
      </c>
      <c r="P154" s="23"/>
    </row>
    <row r="155" spans="2:16" ht="17" x14ac:dyDescent="0.2">
      <c r="B155" s="160" t="s">
        <v>177</v>
      </c>
      <c r="C155" s="19" t="s">
        <v>40</v>
      </c>
      <c r="G155" s="35"/>
      <c r="H155" s="69"/>
      <c r="J155" s="34" t="s">
        <v>0</v>
      </c>
      <c r="L155" s="62" t="s">
        <v>41</v>
      </c>
      <c r="M155" s="34" t="s">
        <v>478</v>
      </c>
      <c r="N155" s="67" t="s">
        <v>479</v>
      </c>
      <c r="P155" s="23"/>
    </row>
    <row r="156" spans="2:16" ht="17" x14ac:dyDescent="0.2">
      <c r="B156" s="131" t="s">
        <v>178</v>
      </c>
      <c r="C156" s="19" t="s">
        <v>40</v>
      </c>
      <c r="G156" s="35"/>
      <c r="H156" s="69"/>
      <c r="J156" s="34" t="s">
        <v>0</v>
      </c>
      <c r="L156" s="62" t="s">
        <v>41</v>
      </c>
      <c r="M156" s="34" t="s">
        <v>478</v>
      </c>
      <c r="N156" s="67" t="s">
        <v>479</v>
      </c>
      <c r="P156" s="23"/>
    </row>
    <row r="157" spans="2:16" ht="68" x14ac:dyDescent="0.2">
      <c r="B157" s="165" t="s">
        <v>289</v>
      </c>
      <c r="C157" s="19" t="s">
        <v>40</v>
      </c>
      <c r="J157" s="34" t="s">
        <v>0</v>
      </c>
      <c r="L157" s="62" t="s">
        <v>41</v>
      </c>
      <c r="M157" s="34" t="s">
        <v>478</v>
      </c>
      <c r="N157" s="67" t="s">
        <v>479</v>
      </c>
      <c r="P157" s="23"/>
    </row>
    <row r="158" spans="2:16" ht="17" x14ac:dyDescent="0.2">
      <c r="B158" s="131" t="s">
        <v>180</v>
      </c>
      <c r="C158" s="19" t="s">
        <v>40</v>
      </c>
      <c r="J158" s="34" t="s">
        <v>0</v>
      </c>
      <c r="L158" s="62" t="s">
        <v>41</v>
      </c>
      <c r="M158" s="34" t="s">
        <v>478</v>
      </c>
      <c r="N158" s="67" t="s">
        <v>479</v>
      </c>
      <c r="P158" s="23"/>
    </row>
    <row r="159" spans="2:16" ht="68" x14ac:dyDescent="0.2">
      <c r="B159" s="165" t="s">
        <v>503</v>
      </c>
      <c r="C159" s="19" t="s">
        <v>40</v>
      </c>
      <c r="J159" s="34" t="s">
        <v>0</v>
      </c>
      <c r="L159" s="62" t="s">
        <v>41</v>
      </c>
      <c r="M159" s="34" t="s">
        <v>478</v>
      </c>
      <c r="N159" s="67" t="s">
        <v>479</v>
      </c>
      <c r="P159" s="23"/>
    </row>
    <row r="160" spans="2:16" ht="17" x14ac:dyDescent="0.2">
      <c r="B160" s="160" t="s">
        <v>182</v>
      </c>
      <c r="C160" s="19" t="s">
        <v>40</v>
      </c>
      <c r="J160" s="34" t="s">
        <v>0</v>
      </c>
      <c r="L160" s="62" t="s">
        <v>41</v>
      </c>
      <c r="M160" s="34" t="s">
        <v>478</v>
      </c>
      <c r="N160" s="67" t="s">
        <v>479</v>
      </c>
      <c r="P160" s="23"/>
    </row>
    <row r="161" spans="2:16" ht="68" x14ac:dyDescent="0.2">
      <c r="B161" s="160" t="s">
        <v>504</v>
      </c>
      <c r="C161" s="19" t="s">
        <v>40</v>
      </c>
      <c r="J161" s="34" t="s">
        <v>0</v>
      </c>
      <c r="L161" s="62" t="s">
        <v>41</v>
      </c>
      <c r="M161" s="34" t="s">
        <v>478</v>
      </c>
      <c r="N161" s="67" t="s">
        <v>479</v>
      </c>
      <c r="P161" s="23"/>
    </row>
    <row r="162" spans="2:16" ht="17" x14ac:dyDescent="0.2">
      <c r="B162" s="162" t="s">
        <v>184</v>
      </c>
      <c r="C162" s="19" t="s">
        <v>40</v>
      </c>
      <c r="G162" s="35"/>
      <c r="H162" s="69"/>
      <c r="J162" s="34" t="s">
        <v>0</v>
      </c>
      <c r="L162" s="62" t="s">
        <v>41</v>
      </c>
      <c r="M162" s="34" t="s">
        <v>478</v>
      </c>
      <c r="N162" s="67" t="s">
        <v>479</v>
      </c>
      <c r="P162" s="23"/>
    </row>
    <row r="163" spans="2:16" ht="17" x14ac:dyDescent="0.2">
      <c r="B163" s="162" t="s">
        <v>185</v>
      </c>
      <c r="C163" s="19" t="s">
        <v>40</v>
      </c>
      <c r="G163" s="35"/>
      <c r="H163" s="69"/>
      <c r="J163" s="34" t="s">
        <v>0</v>
      </c>
      <c r="L163" s="62" t="s">
        <v>41</v>
      </c>
      <c r="M163" s="34" t="s">
        <v>478</v>
      </c>
      <c r="N163" s="67" t="s">
        <v>479</v>
      </c>
      <c r="P163" s="23"/>
    </row>
    <row r="164" spans="2:16" x14ac:dyDescent="0.2">
      <c r="B164"/>
      <c r="C164" s="19"/>
      <c r="G164" s="35"/>
      <c r="H164" s="69"/>
      <c r="M164" s="68"/>
      <c r="N164" s="64"/>
      <c r="P164" s="23"/>
    </row>
    <row r="165" spans="2:16" ht="22" x14ac:dyDescent="0.2">
      <c r="B165" s="203"/>
      <c r="C165" s="19"/>
      <c r="P165" s="23"/>
    </row>
    <row r="166" spans="2:16" ht="22" x14ac:dyDescent="0.2">
      <c r="B166" s="170"/>
      <c r="C166" s="19"/>
      <c r="G166" s="35"/>
      <c r="H166" s="69"/>
      <c r="M166" s="68"/>
      <c r="N166" s="64"/>
      <c r="P166" s="23"/>
    </row>
    <row r="167" spans="2:16" ht="50" x14ac:dyDescent="0.3">
      <c r="B167" s="125" t="s">
        <v>473</v>
      </c>
      <c r="C167" s="59"/>
      <c r="G167" s="35"/>
      <c r="H167" s="69"/>
      <c r="M167" s="68"/>
      <c r="N167" s="64"/>
      <c r="P167" s="23"/>
    </row>
    <row r="168" spans="2:16" ht="69" x14ac:dyDescent="0.2">
      <c r="B168" s="170" t="s">
        <v>505</v>
      </c>
      <c r="C168" s="19"/>
      <c r="P168" s="23"/>
    </row>
    <row r="169" spans="2:16" ht="17" x14ac:dyDescent="0.2">
      <c r="B169" s="127" t="s">
        <v>31</v>
      </c>
      <c r="C169" s="19"/>
      <c r="P169" s="23"/>
    </row>
    <row r="170" spans="2:16" ht="17" x14ac:dyDescent="0.2">
      <c r="B170" s="127" t="s">
        <v>32</v>
      </c>
      <c r="P170" s="23"/>
    </row>
    <row r="171" spans="2:16" ht="17" x14ac:dyDescent="0.2">
      <c r="B171" s="128" t="s">
        <v>33</v>
      </c>
      <c r="G171" s="35"/>
      <c r="H171" s="69"/>
      <c r="M171" s="68"/>
      <c r="N171" s="64"/>
      <c r="P171" s="23"/>
    </row>
    <row r="172" spans="2:16" ht="17" x14ac:dyDescent="0.2">
      <c r="B172" s="127" t="s">
        <v>34</v>
      </c>
      <c r="C172" s="19"/>
      <c r="G172" s="35"/>
      <c r="H172" s="69"/>
      <c r="M172" s="68"/>
      <c r="N172" s="64"/>
      <c r="P172" s="23"/>
    </row>
    <row r="173" spans="2:16" ht="17" x14ac:dyDescent="0.2">
      <c r="B173" s="163" t="s">
        <v>475</v>
      </c>
      <c r="C173" s="19"/>
      <c r="G173" s="35"/>
      <c r="H173" s="69"/>
      <c r="M173" s="68"/>
      <c r="N173" s="64"/>
      <c r="P173" s="23"/>
    </row>
    <row r="174" spans="2:16" ht="17" x14ac:dyDescent="0.2">
      <c r="B174" s="163" t="s">
        <v>506</v>
      </c>
      <c r="C174" s="19"/>
      <c r="G174" s="35"/>
      <c r="H174" s="69"/>
      <c r="M174" s="68"/>
      <c r="N174" s="64"/>
      <c r="P174" s="23"/>
    </row>
    <row r="175" spans="2:16" ht="34" x14ac:dyDescent="0.2">
      <c r="B175" s="163" t="s">
        <v>476</v>
      </c>
      <c r="C175" s="19"/>
      <c r="G175" s="35"/>
      <c r="H175" s="69"/>
      <c r="M175" s="68"/>
      <c r="N175" s="64"/>
      <c r="P175" s="23"/>
    </row>
    <row r="176" spans="2:16" ht="17" x14ac:dyDescent="0.2">
      <c r="B176" s="129" t="s">
        <v>36</v>
      </c>
      <c r="C176" s="19"/>
      <c r="P176" s="23"/>
    </row>
    <row r="177" spans="2:16" ht="17" x14ac:dyDescent="0.2">
      <c r="B177" s="129" t="s">
        <v>37</v>
      </c>
      <c r="C177" s="19"/>
      <c r="P177" s="23"/>
    </row>
    <row r="178" spans="2:16" ht="17" x14ac:dyDescent="0.2">
      <c r="B178" s="128" t="s">
        <v>38</v>
      </c>
      <c r="C178" s="19"/>
      <c r="G178" s="35"/>
      <c r="H178" s="69"/>
      <c r="M178" s="68"/>
      <c r="N178" s="64"/>
      <c r="P178" s="23"/>
    </row>
    <row r="179" spans="2:16" ht="48" x14ac:dyDescent="0.2">
      <c r="B179" s="164" t="s">
        <v>477</v>
      </c>
      <c r="C179" s="19" t="s">
        <v>40</v>
      </c>
      <c r="G179" s="35"/>
      <c r="H179" s="69"/>
      <c r="J179" s="34" t="s">
        <v>0</v>
      </c>
      <c r="L179" s="62" t="s">
        <v>41</v>
      </c>
      <c r="M179" s="34" t="s">
        <v>478</v>
      </c>
      <c r="N179" s="67" t="s">
        <v>479</v>
      </c>
      <c r="P179" s="23"/>
    </row>
    <row r="180" spans="2:16" ht="48" x14ac:dyDescent="0.2">
      <c r="B180" s="164" t="s">
        <v>480</v>
      </c>
      <c r="C180" s="19" t="s">
        <v>40</v>
      </c>
      <c r="G180" s="35"/>
      <c r="H180" s="69"/>
      <c r="J180" s="34" t="s">
        <v>0</v>
      </c>
      <c r="L180" s="62" t="s">
        <v>41</v>
      </c>
      <c r="M180" s="34" t="s">
        <v>478</v>
      </c>
      <c r="N180" s="67" t="s">
        <v>479</v>
      </c>
      <c r="P180" s="23"/>
    </row>
    <row r="181" spans="2:16" ht="17" x14ac:dyDescent="0.2">
      <c r="B181" s="128" t="s">
        <v>44</v>
      </c>
      <c r="C181" s="19"/>
      <c r="G181" s="35"/>
      <c r="H181" s="69"/>
      <c r="M181" s="68"/>
      <c r="N181" s="64"/>
      <c r="P181" s="23"/>
    </row>
    <row r="182" spans="2:16" ht="17" x14ac:dyDescent="0.2">
      <c r="B182" s="130" t="s">
        <v>46</v>
      </c>
      <c r="C182" s="19" t="s">
        <v>40</v>
      </c>
      <c r="J182" s="34" t="s">
        <v>0</v>
      </c>
      <c r="L182" s="62" t="s">
        <v>41</v>
      </c>
      <c r="M182" s="34" t="s">
        <v>478</v>
      </c>
      <c r="N182" s="67" t="s">
        <v>479</v>
      </c>
      <c r="P182" s="23"/>
    </row>
    <row r="183" spans="2:16" ht="17" x14ac:dyDescent="0.2">
      <c r="B183" s="128" t="s">
        <v>47</v>
      </c>
      <c r="G183" s="35"/>
      <c r="H183" s="69"/>
      <c r="M183" s="68"/>
      <c r="N183" s="64"/>
      <c r="P183" s="23"/>
    </row>
    <row r="184" spans="2:16" ht="17" x14ac:dyDescent="0.2">
      <c r="B184" s="165" t="s">
        <v>481</v>
      </c>
      <c r="C184" s="19" t="s">
        <v>40</v>
      </c>
      <c r="J184" s="34" t="s">
        <v>0</v>
      </c>
      <c r="L184" s="62" t="s">
        <v>41</v>
      </c>
      <c r="M184" s="34" t="s">
        <v>478</v>
      </c>
      <c r="N184" s="67" t="s">
        <v>479</v>
      </c>
      <c r="P184" s="23"/>
    </row>
    <row r="185" spans="2:16" ht="17" x14ac:dyDescent="0.2">
      <c r="B185" s="131" t="s">
        <v>49</v>
      </c>
      <c r="C185" s="19" t="s">
        <v>40</v>
      </c>
      <c r="G185" s="35"/>
      <c r="H185" s="69"/>
      <c r="J185" s="34" t="s">
        <v>0</v>
      </c>
      <c r="L185" s="62" t="s">
        <v>41</v>
      </c>
      <c r="M185" s="34" t="s">
        <v>478</v>
      </c>
      <c r="N185" s="67" t="s">
        <v>479</v>
      </c>
      <c r="P185" s="23"/>
    </row>
    <row r="186" spans="2:16" ht="17" x14ac:dyDescent="0.2">
      <c r="B186" s="128" t="s">
        <v>482</v>
      </c>
      <c r="G186" s="35"/>
      <c r="H186" s="69"/>
      <c r="M186" s="68"/>
      <c r="N186" s="64"/>
      <c r="P186" s="23"/>
    </row>
    <row r="187" spans="2:16" ht="17" x14ac:dyDescent="0.2">
      <c r="B187" s="165" t="s">
        <v>66</v>
      </c>
      <c r="C187" s="19" t="s">
        <v>40</v>
      </c>
      <c r="G187" s="35"/>
      <c r="H187" s="69"/>
      <c r="J187" s="34" t="s">
        <v>0</v>
      </c>
      <c r="L187" s="62" t="s">
        <v>41</v>
      </c>
      <c r="M187" s="34" t="s">
        <v>478</v>
      </c>
      <c r="N187" s="67" t="s">
        <v>479</v>
      </c>
      <c r="P187" s="23"/>
    </row>
    <row r="188" spans="2:16" ht="17" x14ac:dyDescent="0.2">
      <c r="B188" s="138" t="s">
        <v>67</v>
      </c>
      <c r="C188" s="19" t="s">
        <v>40</v>
      </c>
      <c r="G188" s="35"/>
      <c r="H188" s="69"/>
      <c r="J188" s="34" t="s">
        <v>0</v>
      </c>
      <c r="L188" s="62" t="s">
        <v>41</v>
      </c>
      <c r="M188" s="34" t="s">
        <v>478</v>
      </c>
      <c r="N188" s="67" t="s">
        <v>479</v>
      </c>
      <c r="P188" s="23"/>
    </row>
    <row r="189" spans="2:16" ht="17" x14ac:dyDescent="0.2">
      <c r="B189" s="166" t="s">
        <v>68</v>
      </c>
      <c r="C189" s="19" t="s">
        <v>40</v>
      </c>
      <c r="G189" s="35"/>
      <c r="H189" s="69"/>
      <c r="J189" s="34" t="s">
        <v>0</v>
      </c>
      <c r="L189" s="62" t="s">
        <v>41</v>
      </c>
      <c r="M189" s="34" t="s">
        <v>478</v>
      </c>
      <c r="N189" s="67" t="s">
        <v>479</v>
      </c>
      <c r="P189" s="23"/>
    </row>
    <row r="190" spans="2:16" ht="17" x14ac:dyDescent="0.2">
      <c r="B190" s="166" t="s">
        <v>69</v>
      </c>
      <c r="C190" s="19" t="s">
        <v>40</v>
      </c>
      <c r="J190" s="34" t="s">
        <v>0</v>
      </c>
      <c r="L190" s="62" t="s">
        <v>41</v>
      </c>
      <c r="M190" s="34" t="s">
        <v>478</v>
      </c>
      <c r="N190" s="67" t="s">
        <v>479</v>
      </c>
      <c r="P190" s="23"/>
    </row>
    <row r="191" spans="2:16" ht="17" x14ac:dyDescent="0.2">
      <c r="B191" s="166" t="s">
        <v>70</v>
      </c>
      <c r="C191" s="19" t="s">
        <v>40</v>
      </c>
      <c r="J191" s="34" t="s">
        <v>0</v>
      </c>
      <c r="L191" s="62" t="s">
        <v>41</v>
      </c>
      <c r="M191" s="34" t="s">
        <v>478</v>
      </c>
      <c r="N191" s="67" t="s">
        <v>479</v>
      </c>
      <c r="P191" s="23"/>
    </row>
    <row r="192" spans="2:16" ht="17" x14ac:dyDescent="0.2">
      <c r="B192" s="138" t="s">
        <v>71</v>
      </c>
      <c r="C192" s="19" t="s">
        <v>40</v>
      </c>
      <c r="J192" s="34" t="s">
        <v>0</v>
      </c>
      <c r="L192" s="62" t="s">
        <v>41</v>
      </c>
      <c r="M192" s="34" t="s">
        <v>478</v>
      </c>
      <c r="N192" s="67" t="s">
        <v>479</v>
      </c>
      <c r="P192" s="23"/>
    </row>
    <row r="193" spans="2:16" ht="17" x14ac:dyDescent="0.2">
      <c r="B193" s="139" t="s">
        <v>72</v>
      </c>
      <c r="C193" s="19" t="s">
        <v>40</v>
      </c>
      <c r="J193" s="34" t="s">
        <v>0</v>
      </c>
      <c r="L193" s="62" t="s">
        <v>41</v>
      </c>
      <c r="M193" s="34" t="s">
        <v>478</v>
      </c>
      <c r="N193" s="67" t="s">
        <v>479</v>
      </c>
      <c r="P193" s="23"/>
    </row>
    <row r="194" spans="2:16" ht="17" x14ac:dyDescent="0.2">
      <c r="B194" s="166" t="s">
        <v>483</v>
      </c>
      <c r="C194" s="19" t="s">
        <v>40</v>
      </c>
      <c r="J194" s="34" t="s">
        <v>0</v>
      </c>
      <c r="L194" s="62" t="s">
        <v>41</v>
      </c>
      <c r="M194" s="34" t="s">
        <v>478</v>
      </c>
      <c r="N194" s="67" t="s">
        <v>479</v>
      </c>
      <c r="P194" s="23"/>
    </row>
    <row r="195" spans="2:16" ht="17" x14ac:dyDescent="0.2">
      <c r="B195" s="166" t="s">
        <v>484</v>
      </c>
      <c r="C195" s="19" t="s">
        <v>40</v>
      </c>
      <c r="J195" s="34" t="s">
        <v>0</v>
      </c>
      <c r="L195" s="62" t="s">
        <v>41</v>
      </c>
      <c r="M195" s="34" t="s">
        <v>478</v>
      </c>
      <c r="N195" s="67" t="s">
        <v>479</v>
      </c>
      <c r="P195" s="23"/>
    </row>
    <row r="196" spans="2:16" ht="17" x14ac:dyDescent="0.2">
      <c r="B196" s="167" t="s">
        <v>485</v>
      </c>
      <c r="C196" s="19" t="s">
        <v>40</v>
      </c>
      <c r="G196" s="35"/>
      <c r="H196" s="69"/>
      <c r="J196" s="34" t="s">
        <v>0</v>
      </c>
      <c r="L196" s="62" t="s">
        <v>41</v>
      </c>
      <c r="M196" s="34" t="s">
        <v>478</v>
      </c>
      <c r="N196" s="67" t="s">
        <v>479</v>
      </c>
      <c r="P196" s="23"/>
    </row>
    <row r="197" spans="2:16" ht="17" x14ac:dyDescent="0.2">
      <c r="B197" s="169" t="s">
        <v>486</v>
      </c>
      <c r="C197" s="19" t="s">
        <v>40</v>
      </c>
      <c r="G197" s="35"/>
      <c r="H197" s="69"/>
      <c r="M197" s="68"/>
      <c r="N197" s="64"/>
      <c r="P197" s="23"/>
    </row>
    <row r="198" spans="2:16" ht="17" x14ac:dyDescent="0.2">
      <c r="B198" s="167" t="s">
        <v>487</v>
      </c>
      <c r="C198" s="19" t="s">
        <v>40</v>
      </c>
      <c r="G198" s="35"/>
      <c r="H198" s="69"/>
      <c r="J198" s="34" t="s">
        <v>0</v>
      </c>
      <c r="L198" s="62" t="s">
        <v>41</v>
      </c>
      <c r="M198" s="34" t="s">
        <v>478</v>
      </c>
      <c r="N198" s="67" t="s">
        <v>479</v>
      </c>
      <c r="P198" s="23"/>
    </row>
    <row r="199" spans="2:16" ht="17" x14ac:dyDescent="0.2">
      <c r="B199" s="167" t="s">
        <v>488</v>
      </c>
      <c r="C199" s="19" t="s">
        <v>40</v>
      </c>
      <c r="G199" s="35"/>
      <c r="H199" s="69"/>
      <c r="J199" s="34" t="s">
        <v>0</v>
      </c>
      <c r="L199" s="62" t="s">
        <v>41</v>
      </c>
      <c r="M199" s="34" t="s">
        <v>478</v>
      </c>
      <c r="N199" s="67" t="s">
        <v>479</v>
      </c>
      <c r="P199" s="23"/>
    </row>
    <row r="200" spans="2:16" ht="17" x14ac:dyDescent="0.2">
      <c r="B200" s="167" t="s">
        <v>489</v>
      </c>
      <c r="C200" s="19" t="s">
        <v>40</v>
      </c>
      <c r="G200" s="35"/>
      <c r="H200" s="69"/>
      <c r="J200" s="34" t="s">
        <v>0</v>
      </c>
      <c r="L200" s="62" t="s">
        <v>41</v>
      </c>
      <c r="M200" s="34" t="s">
        <v>478</v>
      </c>
      <c r="N200" s="67" t="s">
        <v>479</v>
      </c>
      <c r="P200" s="23"/>
    </row>
    <row r="201" spans="2:16" ht="17" x14ac:dyDescent="0.2">
      <c r="B201" s="167" t="s">
        <v>490</v>
      </c>
      <c r="C201" s="19" t="s">
        <v>40</v>
      </c>
      <c r="G201" s="35"/>
      <c r="H201" s="69"/>
      <c r="J201" s="34" t="s">
        <v>0</v>
      </c>
      <c r="L201" s="62" t="s">
        <v>41</v>
      </c>
      <c r="M201" s="34" t="s">
        <v>478</v>
      </c>
      <c r="N201" s="67" t="s">
        <v>479</v>
      </c>
      <c r="P201" s="23"/>
    </row>
    <row r="202" spans="2:16" ht="17" x14ac:dyDescent="0.2">
      <c r="B202" s="168" t="s">
        <v>134</v>
      </c>
      <c r="C202" s="19" t="s">
        <v>40</v>
      </c>
      <c r="G202" s="35"/>
      <c r="H202" s="69"/>
      <c r="J202" s="34" t="s">
        <v>0</v>
      </c>
      <c r="L202" s="62" t="s">
        <v>41</v>
      </c>
      <c r="M202" s="34" t="s">
        <v>478</v>
      </c>
      <c r="N202" s="67" t="s">
        <v>479</v>
      </c>
      <c r="P202" s="23"/>
    </row>
    <row r="203" spans="2:16" ht="17" x14ac:dyDescent="0.2">
      <c r="B203" s="167" t="s">
        <v>491</v>
      </c>
      <c r="C203" s="19" t="s">
        <v>40</v>
      </c>
      <c r="G203" s="35"/>
      <c r="H203" s="69"/>
      <c r="J203" s="34" t="s">
        <v>0</v>
      </c>
      <c r="L203" s="62" t="s">
        <v>41</v>
      </c>
      <c r="M203" s="34" t="s">
        <v>478</v>
      </c>
      <c r="N203" s="67" t="s">
        <v>479</v>
      </c>
      <c r="P203" s="23"/>
    </row>
    <row r="204" spans="2:16" ht="17" x14ac:dyDescent="0.2">
      <c r="B204" s="167" t="s">
        <v>492</v>
      </c>
      <c r="C204" s="19" t="s">
        <v>40</v>
      </c>
      <c r="J204" s="34" t="s">
        <v>0</v>
      </c>
      <c r="L204" s="62" t="s">
        <v>41</v>
      </c>
      <c r="M204" s="34" t="s">
        <v>478</v>
      </c>
      <c r="N204" s="67" t="s">
        <v>479</v>
      </c>
      <c r="P204" s="23"/>
    </row>
    <row r="205" spans="2:16" ht="17" x14ac:dyDescent="0.2">
      <c r="B205" s="167" t="s">
        <v>493</v>
      </c>
      <c r="C205" s="19" t="s">
        <v>40</v>
      </c>
      <c r="G205" s="35"/>
      <c r="H205" s="69"/>
      <c r="J205" s="34" t="s">
        <v>0</v>
      </c>
      <c r="L205" s="62" t="s">
        <v>41</v>
      </c>
      <c r="M205" s="34" t="s">
        <v>478</v>
      </c>
      <c r="N205" s="67" t="s">
        <v>479</v>
      </c>
      <c r="P205" s="23"/>
    </row>
    <row r="206" spans="2:16" ht="17" x14ac:dyDescent="0.2">
      <c r="B206" s="166" t="s">
        <v>78</v>
      </c>
      <c r="C206" s="19" t="s">
        <v>40</v>
      </c>
      <c r="G206" s="35"/>
      <c r="H206" s="69"/>
      <c r="J206" s="34" t="s">
        <v>0</v>
      </c>
      <c r="L206" s="62" t="s">
        <v>41</v>
      </c>
      <c r="M206" s="34" t="s">
        <v>478</v>
      </c>
      <c r="N206" s="67" t="s">
        <v>479</v>
      </c>
      <c r="P206" s="23"/>
    </row>
    <row r="207" spans="2:16" ht="17" x14ac:dyDescent="0.2">
      <c r="B207" s="138" t="s">
        <v>79</v>
      </c>
      <c r="C207" s="19" t="s">
        <v>40</v>
      </c>
      <c r="G207" s="35"/>
      <c r="H207" s="69"/>
      <c r="J207" s="34" t="s">
        <v>0</v>
      </c>
      <c r="L207" s="62" t="s">
        <v>41</v>
      </c>
      <c r="M207" s="34" t="s">
        <v>478</v>
      </c>
      <c r="N207" s="67" t="s">
        <v>479</v>
      </c>
      <c r="P207" s="23"/>
    </row>
    <row r="208" spans="2:16" ht="17" x14ac:dyDescent="0.2">
      <c r="B208" s="166" t="s">
        <v>80</v>
      </c>
      <c r="C208" s="19" t="s">
        <v>40</v>
      </c>
      <c r="G208" s="35"/>
      <c r="H208" s="69"/>
      <c r="J208" s="34" t="s">
        <v>0</v>
      </c>
      <c r="L208" s="62" t="s">
        <v>41</v>
      </c>
      <c r="M208" s="34" t="s">
        <v>478</v>
      </c>
      <c r="N208" s="67" t="s">
        <v>479</v>
      </c>
      <c r="P208" s="23"/>
    </row>
    <row r="209" spans="2:17" ht="17" x14ac:dyDescent="0.2">
      <c r="B209" s="138" t="s">
        <v>81</v>
      </c>
      <c r="C209" s="19" t="s">
        <v>40</v>
      </c>
      <c r="J209" s="34" t="s">
        <v>0</v>
      </c>
      <c r="L209" s="62" t="s">
        <v>41</v>
      </c>
      <c r="M209" s="34" t="s">
        <v>478</v>
      </c>
      <c r="N209" s="67" t="s">
        <v>479</v>
      </c>
      <c r="P209" s="23"/>
    </row>
    <row r="210" spans="2:17" ht="17" x14ac:dyDescent="0.2">
      <c r="B210" s="166" t="s">
        <v>82</v>
      </c>
      <c r="C210" s="19" t="s">
        <v>40</v>
      </c>
      <c r="G210" s="35"/>
      <c r="H210" s="69"/>
      <c r="J210" s="34" t="s">
        <v>0</v>
      </c>
      <c r="L210" s="62" t="s">
        <v>41</v>
      </c>
      <c r="M210" s="34" t="s">
        <v>478</v>
      </c>
      <c r="N210" s="67" t="s">
        <v>479</v>
      </c>
      <c r="P210" s="23"/>
    </row>
    <row r="211" spans="2:17" ht="17" x14ac:dyDescent="0.2">
      <c r="B211" s="166" t="s">
        <v>494</v>
      </c>
      <c r="C211" s="19" t="s">
        <v>40</v>
      </c>
      <c r="G211" s="35"/>
      <c r="H211" s="69"/>
      <c r="J211" s="34" t="s">
        <v>0</v>
      </c>
      <c r="L211" s="62" t="s">
        <v>41</v>
      </c>
      <c r="M211" s="34" t="s">
        <v>478</v>
      </c>
      <c r="N211" s="67" t="s">
        <v>479</v>
      </c>
      <c r="P211" s="23"/>
    </row>
    <row r="212" spans="2:17" ht="17" x14ac:dyDescent="0.2">
      <c r="B212" s="166" t="s">
        <v>495</v>
      </c>
      <c r="C212" s="19" t="s">
        <v>40</v>
      </c>
      <c r="G212" s="35"/>
      <c r="H212" s="69"/>
      <c r="J212" s="34" t="s">
        <v>0</v>
      </c>
      <c r="L212" s="62" t="s">
        <v>41</v>
      </c>
      <c r="M212" s="34" t="s">
        <v>478</v>
      </c>
      <c r="N212" s="67" t="s">
        <v>479</v>
      </c>
      <c r="P212" s="23"/>
    </row>
    <row r="213" spans="2:17" ht="17" x14ac:dyDescent="0.2">
      <c r="B213" s="169" t="s">
        <v>496</v>
      </c>
      <c r="C213" s="19"/>
      <c r="G213" s="35"/>
      <c r="H213" s="69"/>
      <c r="M213" s="68"/>
      <c r="N213" s="64"/>
      <c r="P213" s="23"/>
    </row>
    <row r="214" spans="2:17" ht="17" x14ac:dyDescent="0.2">
      <c r="B214" s="168" t="s">
        <v>134</v>
      </c>
      <c r="C214" s="19" t="s">
        <v>40</v>
      </c>
      <c r="J214" s="34" t="s">
        <v>0</v>
      </c>
      <c r="L214" s="62" t="s">
        <v>41</v>
      </c>
      <c r="M214" s="34" t="s">
        <v>478</v>
      </c>
      <c r="N214" s="67" t="s">
        <v>479</v>
      </c>
      <c r="P214" s="23"/>
    </row>
    <row r="215" spans="2:17" ht="17" x14ac:dyDescent="0.2">
      <c r="B215" s="167" t="s">
        <v>497</v>
      </c>
      <c r="C215" s="19" t="s">
        <v>40</v>
      </c>
      <c r="G215" s="35"/>
      <c r="H215" s="69"/>
      <c r="J215" s="34" t="s">
        <v>0</v>
      </c>
      <c r="L215" s="62" t="s">
        <v>41</v>
      </c>
      <c r="M215" s="34" t="s">
        <v>478</v>
      </c>
      <c r="N215" s="67" t="s">
        <v>479</v>
      </c>
      <c r="P215" s="23"/>
    </row>
    <row r="216" spans="2:17" ht="17" x14ac:dyDescent="0.2">
      <c r="B216" s="166" t="s">
        <v>498</v>
      </c>
      <c r="C216" s="19" t="s">
        <v>40</v>
      </c>
      <c r="G216" s="35"/>
      <c r="H216" s="69"/>
      <c r="J216" s="34" t="s">
        <v>0</v>
      </c>
      <c r="L216" s="62" t="s">
        <v>41</v>
      </c>
      <c r="M216" s="34" t="s">
        <v>478</v>
      </c>
      <c r="N216" s="67" t="s">
        <v>479</v>
      </c>
      <c r="P216" s="23"/>
    </row>
    <row r="217" spans="2:17" ht="17" x14ac:dyDescent="0.2">
      <c r="B217" s="167" t="s">
        <v>499</v>
      </c>
      <c r="C217" s="19" t="s">
        <v>40</v>
      </c>
      <c r="G217" s="35"/>
      <c r="H217" s="69"/>
      <c r="J217" s="34" t="s">
        <v>0</v>
      </c>
      <c r="L217" s="62" t="s">
        <v>41</v>
      </c>
      <c r="M217" s="34" t="s">
        <v>478</v>
      </c>
      <c r="N217" s="67" t="s">
        <v>479</v>
      </c>
      <c r="P217" s="23"/>
    </row>
    <row r="218" spans="2:17" x14ac:dyDescent="0.2">
      <c r="B218" s="140" t="s">
        <v>86</v>
      </c>
      <c r="D218" s="76"/>
      <c r="E218" s="76"/>
      <c r="F218" s="61"/>
      <c r="G218" s="77"/>
      <c r="H218" s="76"/>
      <c r="I218" s="78"/>
      <c r="J218" s="60"/>
      <c r="K218" s="79"/>
      <c r="L218" s="62"/>
      <c r="M218" s="76"/>
      <c r="N218" s="80"/>
      <c r="O218" s="81"/>
      <c r="P218" s="82"/>
    </row>
    <row r="219" spans="2:17" x14ac:dyDescent="0.2">
      <c r="B219" s="140" t="s">
        <v>500</v>
      </c>
      <c r="D219" s="97"/>
      <c r="E219" s="97"/>
      <c r="F219" s="98"/>
      <c r="G219" s="99"/>
      <c r="H219" s="76"/>
      <c r="I219" s="100"/>
      <c r="J219" s="101"/>
      <c r="K219" s="102"/>
      <c r="L219" s="103"/>
      <c r="M219" s="76"/>
      <c r="N219" s="104"/>
      <c r="O219" s="105"/>
      <c r="P219" s="85"/>
      <c r="Q219" s="83"/>
    </row>
    <row r="220" spans="2:17" ht="17" x14ac:dyDescent="0.2">
      <c r="B220" s="141" t="s">
        <v>87</v>
      </c>
      <c r="C220" s="19" t="s">
        <v>40</v>
      </c>
      <c r="D220" s="97"/>
      <c r="E220" s="97"/>
      <c r="F220" s="98"/>
      <c r="G220" s="106"/>
      <c r="H220" s="76"/>
      <c r="I220" s="100"/>
      <c r="J220" s="34" t="s">
        <v>0</v>
      </c>
      <c r="K220" s="98"/>
      <c r="L220" s="62" t="s">
        <v>41</v>
      </c>
      <c r="M220" s="34" t="s">
        <v>478</v>
      </c>
      <c r="N220" s="67" t="s">
        <v>479</v>
      </c>
      <c r="O220" s="105"/>
      <c r="P220" s="83"/>
      <c r="Q220" s="85"/>
    </row>
    <row r="221" spans="2:17" ht="32" x14ac:dyDescent="0.2">
      <c r="B221" s="142" t="s">
        <v>102</v>
      </c>
      <c r="C221" s="19" t="s">
        <v>40</v>
      </c>
      <c r="D221" s="97"/>
      <c r="E221" s="97"/>
      <c r="F221" s="98"/>
      <c r="G221" s="106"/>
      <c r="H221" s="76"/>
      <c r="I221" s="100"/>
      <c r="J221" s="34" t="s">
        <v>0</v>
      </c>
      <c r="K221" s="98"/>
      <c r="L221" s="62" t="s">
        <v>41</v>
      </c>
      <c r="M221" s="34" t="s">
        <v>478</v>
      </c>
      <c r="N221" s="67" t="s">
        <v>479</v>
      </c>
      <c r="O221" s="83"/>
      <c r="P221" s="85"/>
      <c r="Q221" s="83"/>
    </row>
    <row r="222" spans="2:17" ht="48" x14ac:dyDescent="0.2">
      <c r="B222" s="143" t="s">
        <v>113</v>
      </c>
      <c r="C222" s="19" t="s">
        <v>40</v>
      </c>
      <c r="D222" s="97"/>
      <c r="E222" s="97"/>
      <c r="F222" s="98"/>
      <c r="G222" s="106"/>
      <c r="H222" s="76"/>
      <c r="I222" s="100"/>
      <c r="J222" s="34" t="s">
        <v>0</v>
      </c>
      <c r="K222" s="98"/>
      <c r="L222" s="62" t="s">
        <v>41</v>
      </c>
      <c r="M222" s="34" t="s">
        <v>478</v>
      </c>
      <c r="N222" s="67" t="s">
        <v>479</v>
      </c>
      <c r="O222" s="83"/>
      <c r="P222" s="83"/>
      <c r="Q222" s="85"/>
    </row>
    <row r="223" spans="2:17" ht="17" x14ac:dyDescent="0.2">
      <c r="B223" s="144" t="s">
        <v>96</v>
      </c>
      <c r="C223" s="19" t="s">
        <v>40</v>
      </c>
      <c r="D223" s="97"/>
      <c r="E223" s="97"/>
      <c r="F223" s="98"/>
      <c r="G223" s="99"/>
      <c r="H223" s="60"/>
      <c r="I223" s="100"/>
      <c r="J223" s="34" t="s">
        <v>0</v>
      </c>
      <c r="K223" s="102"/>
      <c r="L223" s="62" t="s">
        <v>41</v>
      </c>
      <c r="M223" s="34" t="s">
        <v>478</v>
      </c>
      <c r="N223" s="67" t="s">
        <v>479</v>
      </c>
      <c r="O223" s="98"/>
      <c r="P223" s="105"/>
      <c r="Q223" s="83"/>
    </row>
    <row r="224" spans="2:17" ht="32" x14ac:dyDescent="0.2">
      <c r="B224" s="143" t="s">
        <v>97</v>
      </c>
      <c r="C224" s="19" t="s">
        <v>40</v>
      </c>
      <c r="D224" s="97"/>
      <c r="E224" s="97"/>
      <c r="F224" s="98"/>
      <c r="G224" s="99"/>
      <c r="H224" s="60"/>
      <c r="I224" s="100"/>
      <c r="J224" s="34" t="s">
        <v>0</v>
      </c>
      <c r="K224" s="102"/>
      <c r="L224" s="62" t="s">
        <v>41</v>
      </c>
      <c r="M224" s="34" t="s">
        <v>478</v>
      </c>
      <c r="N224" s="67" t="s">
        <v>479</v>
      </c>
      <c r="O224" s="98"/>
      <c r="P224" s="105"/>
      <c r="Q224" s="105"/>
    </row>
    <row r="225" spans="2:17" ht="32" x14ac:dyDescent="0.2">
      <c r="B225" s="142" t="s">
        <v>114</v>
      </c>
      <c r="C225" s="19" t="s">
        <v>40</v>
      </c>
      <c r="D225" s="97"/>
      <c r="E225" s="97"/>
      <c r="F225" s="98"/>
      <c r="G225" s="99"/>
      <c r="H225" s="76"/>
      <c r="I225" s="100"/>
      <c r="J225" s="34" t="s">
        <v>0</v>
      </c>
      <c r="K225" s="102"/>
      <c r="L225" s="62" t="s">
        <v>41</v>
      </c>
      <c r="M225" s="34" t="s">
        <v>478</v>
      </c>
      <c r="N225" s="67" t="s">
        <v>479</v>
      </c>
      <c r="O225" s="98"/>
      <c r="P225" s="105"/>
      <c r="Q225" s="105"/>
    </row>
    <row r="226" spans="2:17" ht="17" x14ac:dyDescent="0.2">
      <c r="B226" s="144" t="s">
        <v>99</v>
      </c>
      <c r="C226" s="19" t="s">
        <v>40</v>
      </c>
      <c r="D226" s="97"/>
      <c r="E226" s="97"/>
      <c r="F226" s="98"/>
      <c r="G226" s="99"/>
      <c r="H226" s="76"/>
      <c r="I226" s="100"/>
      <c r="J226" s="34" t="s">
        <v>0</v>
      </c>
      <c r="K226" s="102"/>
      <c r="L226" s="62" t="s">
        <v>41</v>
      </c>
      <c r="M226" s="34" t="s">
        <v>478</v>
      </c>
      <c r="N226" s="67" t="s">
        <v>479</v>
      </c>
      <c r="O226" s="98"/>
      <c r="P226" s="85"/>
      <c r="Q226" s="105"/>
    </row>
    <row r="227" spans="2:17" ht="17" x14ac:dyDescent="0.2">
      <c r="B227" s="143" t="s">
        <v>115</v>
      </c>
      <c r="C227" s="19" t="s">
        <v>40</v>
      </c>
      <c r="D227" s="97"/>
      <c r="E227" s="97"/>
      <c r="F227" s="98"/>
      <c r="G227" s="99"/>
      <c r="H227" s="76"/>
      <c r="I227" s="100"/>
      <c r="J227" s="34" t="s">
        <v>0</v>
      </c>
      <c r="K227" s="102"/>
      <c r="L227" s="62" t="s">
        <v>41</v>
      </c>
      <c r="M227" s="34" t="s">
        <v>478</v>
      </c>
      <c r="N227" s="67" t="s">
        <v>479</v>
      </c>
      <c r="O227" s="98"/>
      <c r="P227" s="83"/>
      <c r="Q227" s="85"/>
    </row>
    <row r="228" spans="2:17" ht="17" x14ac:dyDescent="0.2">
      <c r="B228" s="128" t="s">
        <v>121</v>
      </c>
      <c r="C228" s="19"/>
      <c r="D228" s="97"/>
      <c r="E228" s="97"/>
      <c r="F228" s="98"/>
      <c r="G228" s="99"/>
      <c r="H228" s="60"/>
      <c r="I228" s="100"/>
      <c r="J228" s="101"/>
      <c r="K228" s="102"/>
      <c r="L228" s="108"/>
      <c r="M228" s="61"/>
      <c r="N228" s="109"/>
      <c r="O228" s="98"/>
      <c r="P228" s="105"/>
      <c r="Q228" s="83"/>
    </row>
    <row r="229" spans="2:17" ht="17" x14ac:dyDescent="0.2">
      <c r="B229" s="145" t="s">
        <v>122</v>
      </c>
      <c r="C229" s="19" t="s">
        <v>40</v>
      </c>
      <c r="D229" s="97"/>
      <c r="E229" s="97"/>
      <c r="F229" s="98"/>
      <c r="G229" s="106"/>
      <c r="H229" s="60"/>
      <c r="I229" s="100"/>
      <c r="J229" s="34" t="s">
        <v>0</v>
      </c>
      <c r="K229" s="98"/>
      <c r="L229" s="62" t="s">
        <v>41</v>
      </c>
      <c r="M229" s="34" t="s">
        <v>478</v>
      </c>
      <c r="N229" s="67" t="s">
        <v>479</v>
      </c>
      <c r="O229" s="98"/>
      <c r="P229" s="105"/>
      <c r="Q229" s="105"/>
    </row>
    <row r="230" spans="2:17" ht="17" x14ac:dyDescent="0.2">
      <c r="B230" s="167" t="s">
        <v>123</v>
      </c>
      <c r="C230" s="19" t="s">
        <v>40</v>
      </c>
      <c r="D230" s="97"/>
      <c r="E230" s="97"/>
      <c r="F230" s="98"/>
      <c r="G230" s="106"/>
      <c r="H230" s="60"/>
      <c r="I230" s="100"/>
      <c r="J230" s="34" t="s">
        <v>0</v>
      </c>
      <c r="K230" s="98"/>
      <c r="L230" s="62" t="s">
        <v>41</v>
      </c>
      <c r="M230" s="34" t="s">
        <v>478</v>
      </c>
      <c r="N230" s="67" t="s">
        <v>479</v>
      </c>
      <c r="O230" s="98"/>
      <c r="P230" s="105"/>
      <c r="Q230" s="105"/>
    </row>
    <row r="231" spans="2:17" ht="17" x14ac:dyDescent="0.2">
      <c r="B231" s="167" t="s">
        <v>124</v>
      </c>
      <c r="C231" s="19" t="s">
        <v>40</v>
      </c>
      <c r="D231" s="97"/>
      <c r="E231" s="97"/>
      <c r="F231" s="98"/>
      <c r="G231" s="106"/>
      <c r="H231" s="60"/>
      <c r="I231" s="100"/>
      <c r="J231" s="34" t="s">
        <v>0</v>
      </c>
      <c r="K231" s="98"/>
      <c r="L231" s="62" t="s">
        <v>41</v>
      </c>
      <c r="M231" s="34" t="s">
        <v>478</v>
      </c>
      <c r="N231" s="67" t="s">
        <v>479</v>
      </c>
      <c r="O231" s="98"/>
      <c r="P231" s="83"/>
      <c r="Q231" s="105"/>
    </row>
    <row r="232" spans="2:17" ht="17" x14ac:dyDescent="0.2">
      <c r="B232" s="139" t="s">
        <v>125</v>
      </c>
      <c r="C232" s="19" t="s">
        <v>40</v>
      </c>
      <c r="D232" s="97"/>
      <c r="E232" s="97"/>
      <c r="F232" s="98"/>
      <c r="G232" s="99"/>
      <c r="H232" s="60"/>
      <c r="I232" s="100"/>
      <c r="J232" s="34" t="s">
        <v>0</v>
      </c>
      <c r="K232" s="102"/>
      <c r="L232" s="62" t="s">
        <v>41</v>
      </c>
      <c r="M232" s="34" t="s">
        <v>478</v>
      </c>
      <c r="N232" s="67" t="s">
        <v>479</v>
      </c>
      <c r="O232" s="98"/>
      <c r="P232" s="111"/>
      <c r="Q232" s="83"/>
    </row>
    <row r="233" spans="2:17" ht="17" x14ac:dyDescent="0.2">
      <c r="B233" s="145" t="s">
        <v>126</v>
      </c>
      <c r="C233" s="19" t="s">
        <v>40</v>
      </c>
      <c r="D233" s="97"/>
      <c r="E233" s="97"/>
      <c r="F233" s="98"/>
      <c r="G233" s="99"/>
      <c r="H233" s="76"/>
      <c r="I233" s="100"/>
      <c r="J233" s="34" t="s">
        <v>0</v>
      </c>
      <c r="K233" s="102"/>
      <c r="L233" s="62" t="s">
        <v>41</v>
      </c>
      <c r="M233" s="34" t="s">
        <v>478</v>
      </c>
      <c r="N233" s="67" t="s">
        <v>479</v>
      </c>
      <c r="O233" s="98"/>
      <c r="P233" s="111"/>
      <c r="Q233" s="111"/>
    </row>
    <row r="234" spans="2:17" ht="17" x14ac:dyDescent="0.2">
      <c r="B234" s="138" t="s">
        <v>127</v>
      </c>
      <c r="C234" s="19" t="s">
        <v>40</v>
      </c>
      <c r="D234" s="97"/>
      <c r="E234" s="97"/>
      <c r="F234" s="98"/>
      <c r="G234" s="99"/>
      <c r="H234" s="63"/>
      <c r="I234" s="100"/>
      <c r="J234" s="34" t="s">
        <v>0</v>
      </c>
      <c r="K234" s="102"/>
      <c r="L234" s="62" t="s">
        <v>41</v>
      </c>
      <c r="M234" s="34" t="s">
        <v>478</v>
      </c>
      <c r="N234" s="67" t="s">
        <v>479</v>
      </c>
      <c r="O234" s="114"/>
      <c r="P234" s="83"/>
      <c r="Q234" s="111"/>
    </row>
    <row r="235" spans="2:17" ht="17" x14ac:dyDescent="0.2">
      <c r="B235" s="138" t="s">
        <v>128</v>
      </c>
      <c r="C235" s="19" t="s">
        <v>40</v>
      </c>
      <c r="D235" s="97"/>
      <c r="E235" s="97"/>
      <c r="F235" s="98"/>
      <c r="G235" s="99"/>
      <c r="H235" s="63"/>
      <c r="I235" s="100"/>
      <c r="J235" s="34" t="s">
        <v>0</v>
      </c>
      <c r="K235" s="102"/>
      <c r="L235" s="62" t="s">
        <v>41</v>
      </c>
      <c r="M235" s="34" t="s">
        <v>478</v>
      </c>
      <c r="N235" s="67" t="s">
        <v>479</v>
      </c>
      <c r="O235" s="114"/>
      <c r="P235" s="85"/>
      <c r="Q235" s="83"/>
    </row>
    <row r="236" spans="2:17" ht="17" x14ac:dyDescent="0.2">
      <c r="B236" s="146" t="s">
        <v>129</v>
      </c>
      <c r="C236" s="19" t="s">
        <v>40</v>
      </c>
      <c r="D236" s="97"/>
      <c r="E236" s="97"/>
      <c r="F236" s="98"/>
      <c r="G236" s="99"/>
      <c r="H236" s="76"/>
      <c r="I236" s="100"/>
      <c r="J236" s="34" t="s">
        <v>0</v>
      </c>
      <c r="K236" s="102"/>
      <c r="L236" s="62" t="s">
        <v>41</v>
      </c>
      <c r="M236" s="34" t="s">
        <v>478</v>
      </c>
      <c r="N236" s="67" t="s">
        <v>479</v>
      </c>
      <c r="O236" s="105"/>
      <c r="P236" s="85"/>
      <c r="Q236" s="85"/>
    </row>
    <row r="237" spans="2:17" ht="17" x14ac:dyDescent="0.2">
      <c r="B237" s="138" t="s">
        <v>130</v>
      </c>
      <c r="C237" s="19" t="s">
        <v>40</v>
      </c>
      <c r="D237" s="97"/>
      <c r="E237" s="97"/>
      <c r="F237" s="98"/>
      <c r="G237" s="99"/>
      <c r="H237" s="76"/>
      <c r="I237" s="100"/>
      <c r="J237" s="34" t="s">
        <v>0</v>
      </c>
      <c r="K237" s="102"/>
      <c r="L237" s="62" t="s">
        <v>41</v>
      </c>
      <c r="M237" s="34" t="s">
        <v>478</v>
      </c>
      <c r="N237" s="67" t="s">
        <v>479</v>
      </c>
      <c r="O237" s="105"/>
      <c r="P237" s="85"/>
      <c r="Q237" s="85"/>
    </row>
    <row r="238" spans="2:17" ht="17" x14ac:dyDescent="0.2">
      <c r="B238" s="168" t="s">
        <v>501</v>
      </c>
      <c r="C238" s="19" t="s">
        <v>40</v>
      </c>
      <c r="D238" s="97"/>
      <c r="E238" s="97"/>
      <c r="F238" s="98"/>
      <c r="G238" s="106"/>
      <c r="H238" s="76"/>
      <c r="I238" s="100"/>
      <c r="J238" s="34" t="s">
        <v>0</v>
      </c>
      <c r="K238" s="98"/>
      <c r="L238" s="62" t="s">
        <v>41</v>
      </c>
      <c r="M238" s="34" t="s">
        <v>478</v>
      </c>
      <c r="N238" s="67" t="s">
        <v>479</v>
      </c>
      <c r="O238" s="105"/>
      <c r="P238" s="85"/>
      <c r="Q238" s="85"/>
    </row>
    <row r="239" spans="2:17" ht="17" x14ac:dyDescent="0.2">
      <c r="B239" s="147" t="s">
        <v>132</v>
      </c>
      <c r="C239" s="19" t="s">
        <v>40</v>
      </c>
      <c r="D239" s="100"/>
      <c r="E239" s="97"/>
      <c r="F239" s="98"/>
      <c r="G239" s="106"/>
      <c r="H239" s="76"/>
      <c r="I239" s="100"/>
      <c r="J239" s="34" t="s">
        <v>0</v>
      </c>
      <c r="K239" s="98"/>
      <c r="L239" s="62" t="s">
        <v>41</v>
      </c>
      <c r="M239" s="34" t="s">
        <v>478</v>
      </c>
      <c r="N239" s="67" t="s">
        <v>479</v>
      </c>
      <c r="O239" s="83"/>
      <c r="P239" s="83"/>
      <c r="Q239" s="85"/>
    </row>
    <row r="240" spans="2:17" ht="17" x14ac:dyDescent="0.2">
      <c r="B240" s="147" t="s">
        <v>134</v>
      </c>
      <c r="C240" s="19" t="s">
        <v>40</v>
      </c>
      <c r="D240" s="100"/>
      <c r="E240" s="97"/>
      <c r="F240" s="98"/>
      <c r="G240" s="106"/>
      <c r="H240" s="76"/>
      <c r="I240" s="100"/>
      <c r="J240" s="34" t="s">
        <v>0</v>
      </c>
      <c r="K240" s="98"/>
      <c r="L240" s="62" t="s">
        <v>41</v>
      </c>
      <c r="M240" s="34" t="s">
        <v>478</v>
      </c>
      <c r="N240" s="67" t="s">
        <v>479</v>
      </c>
      <c r="O240" s="83"/>
      <c r="P240" s="85"/>
      <c r="Q240" s="83"/>
    </row>
    <row r="241" spans="2:17" ht="17" x14ac:dyDescent="0.2">
      <c r="B241" s="147" t="s">
        <v>136</v>
      </c>
      <c r="C241" s="19" t="s">
        <v>40</v>
      </c>
      <c r="D241" s="100"/>
      <c r="E241" s="97"/>
      <c r="F241" s="98"/>
      <c r="G241" s="99"/>
      <c r="H241" s="76"/>
      <c r="I241" s="100"/>
      <c r="J241" s="34" t="s">
        <v>0</v>
      </c>
      <c r="K241" s="102"/>
      <c r="L241" s="62" t="s">
        <v>41</v>
      </c>
      <c r="M241" s="34" t="s">
        <v>478</v>
      </c>
      <c r="N241" s="67" t="s">
        <v>479</v>
      </c>
      <c r="O241" s="98"/>
      <c r="P241" s="83"/>
      <c r="Q241" s="85"/>
    </row>
    <row r="242" spans="2:17" ht="23" x14ac:dyDescent="0.3">
      <c r="B242" s="148" t="s">
        <v>137</v>
      </c>
      <c r="C242" s="19"/>
      <c r="D242" s="100"/>
      <c r="E242" s="97"/>
      <c r="F242" s="98"/>
      <c r="G242" s="99"/>
      <c r="H242" s="76"/>
      <c r="I242" s="100"/>
      <c r="J242" s="98"/>
      <c r="K242" s="102"/>
      <c r="L242" s="108"/>
      <c r="M242" s="61"/>
      <c r="N242" s="109"/>
      <c r="O242" s="98"/>
      <c r="P242" s="83"/>
      <c r="Q242" s="83"/>
    </row>
    <row r="243" spans="2:17" ht="23" x14ac:dyDescent="0.3">
      <c r="B243" s="148" t="s">
        <v>138</v>
      </c>
      <c r="C243" s="19"/>
      <c r="D243" s="100"/>
      <c r="E243" s="97"/>
      <c r="F243" s="98"/>
      <c r="G243" s="99"/>
      <c r="H243" s="76"/>
      <c r="I243" s="100"/>
      <c r="J243" s="98"/>
      <c r="K243" s="102"/>
      <c r="L243" s="108"/>
      <c r="M243" s="61"/>
      <c r="N243" s="109"/>
      <c r="O243" s="98"/>
      <c r="P243" s="83"/>
      <c r="Q243" s="83"/>
    </row>
    <row r="244" spans="2:17" ht="17" x14ac:dyDescent="0.2">
      <c r="B244" s="168" t="s">
        <v>139</v>
      </c>
      <c r="C244" s="19" t="s">
        <v>40</v>
      </c>
      <c r="D244" s="100"/>
      <c r="E244" s="97"/>
      <c r="F244" s="98"/>
      <c r="G244" s="99"/>
      <c r="H244" s="76"/>
      <c r="I244" s="100"/>
      <c r="J244" s="34" t="s">
        <v>0</v>
      </c>
      <c r="K244" s="102"/>
      <c r="L244" s="62" t="s">
        <v>41</v>
      </c>
      <c r="M244" s="34" t="s">
        <v>478</v>
      </c>
      <c r="N244" s="67" t="s">
        <v>479</v>
      </c>
      <c r="O244" s="98"/>
      <c r="P244" s="85"/>
      <c r="Q244" s="83"/>
    </row>
    <row r="245" spans="2:17" ht="17" x14ac:dyDescent="0.2">
      <c r="B245" s="147" t="s">
        <v>140</v>
      </c>
      <c r="C245" s="19" t="s">
        <v>40</v>
      </c>
      <c r="D245" s="100"/>
      <c r="E245" s="97"/>
      <c r="F245" s="98"/>
      <c r="G245" s="99"/>
      <c r="H245" s="60"/>
      <c r="I245" s="100"/>
      <c r="J245" s="34" t="s">
        <v>0</v>
      </c>
      <c r="K245" s="102"/>
      <c r="L245" s="62" t="s">
        <v>41</v>
      </c>
      <c r="M245" s="34" t="s">
        <v>478</v>
      </c>
      <c r="N245" s="67" t="s">
        <v>479</v>
      </c>
      <c r="O245" s="98"/>
      <c r="P245" s="83"/>
      <c r="Q245" s="85"/>
    </row>
    <row r="246" spans="2:17" ht="17" x14ac:dyDescent="0.2">
      <c r="B246" s="147" t="s">
        <v>141</v>
      </c>
      <c r="C246" s="19" t="s">
        <v>40</v>
      </c>
      <c r="D246" s="100"/>
      <c r="E246" s="97"/>
      <c r="F246" s="98"/>
      <c r="G246" s="99"/>
      <c r="H246" s="34"/>
      <c r="I246" s="100"/>
      <c r="J246" s="34" t="s">
        <v>0</v>
      </c>
      <c r="K246" s="102"/>
      <c r="L246" s="62" t="s">
        <v>41</v>
      </c>
      <c r="M246" s="34" t="s">
        <v>478</v>
      </c>
      <c r="N246" s="67" t="s">
        <v>479</v>
      </c>
      <c r="O246" s="98"/>
      <c r="P246" s="83"/>
      <c r="Q246" s="83"/>
    </row>
    <row r="247" spans="2:17" ht="17" x14ac:dyDescent="0.2">
      <c r="B247" s="147" t="s">
        <v>142</v>
      </c>
      <c r="C247" s="19" t="s">
        <v>40</v>
      </c>
      <c r="D247" s="100"/>
      <c r="E247" s="97"/>
      <c r="F247" s="98"/>
      <c r="G247" s="106"/>
      <c r="H247" s="34"/>
      <c r="I247" s="100"/>
      <c r="J247" s="34" t="s">
        <v>0</v>
      </c>
      <c r="K247" s="98"/>
      <c r="L247" s="62" t="s">
        <v>41</v>
      </c>
      <c r="M247" s="34" t="s">
        <v>478</v>
      </c>
      <c r="N247" s="67" t="s">
        <v>479</v>
      </c>
      <c r="O247" s="114"/>
      <c r="P247" s="83"/>
      <c r="Q247" s="83"/>
    </row>
    <row r="248" spans="2:17" ht="17" x14ac:dyDescent="0.2">
      <c r="B248" s="147" t="s">
        <v>143</v>
      </c>
      <c r="C248" s="19" t="s">
        <v>40</v>
      </c>
      <c r="D248" s="100"/>
      <c r="E248" s="97"/>
      <c r="F248" s="98"/>
      <c r="G248" s="106"/>
      <c r="H248" s="34"/>
      <c r="I248" s="100"/>
      <c r="J248" s="34" t="s">
        <v>0</v>
      </c>
      <c r="K248" s="98"/>
      <c r="L248" s="62" t="s">
        <v>41</v>
      </c>
      <c r="M248" s="34" t="s">
        <v>478</v>
      </c>
      <c r="N248" s="67" t="s">
        <v>479</v>
      </c>
      <c r="O248" s="105"/>
      <c r="P248" s="83"/>
      <c r="Q248" s="83"/>
    </row>
    <row r="249" spans="2:17" ht="23" x14ac:dyDescent="0.3">
      <c r="B249" s="148" t="s">
        <v>144</v>
      </c>
      <c r="C249" s="19"/>
      <c r="D249" s="100"/>
      <c r="E249" s="97"/>
      <c r="F249" s="98"/>
      <c r="G249" s="106"/>
      <c r="H249" s="60"/>
      <c r="I249" s="100"/>
      <c r="J249" s="98"/>
      <c r="K249" s="98"/>
      <c r="L249" s="107"/>
      <c r="M249" s="6"/>
      <c r="N249" s="82"/>
      <c r="O249" s="83"/>
      <c r="P249" s="83"/>
      <c r="Q249" s="83"/>
    </row>
    <row r="250" spans="2:17" ht="17" x14ac:dyDescent="0.2">
      <c r="B250" s="168" t="s">
        <v>145</v>
      </c>
      <c r="C250" s="19" t="s">
        <v>40</v>
      </c>
      <c r="D250" s="100"/>
      <c r="E250" s="97"/>
      <c r="F250" s="98"/>
      <c r="G250" s="106"/>
      <c r="H250" s="60"/>
      <c r="I250" s="100"/>
      <c r="J250" s="34" t="s">
        <v>0</v>
      </c>
      <c r="K250" s="98"/>
      <c r="L250" s="62" t="s">
        <v>41</v>
      </c>
      <c r="M250" s="34" t="s">
        <v>478</v>
      </c>
      <c r="N250" s="67" t="s">
        <v>479</v>
      </c>
      <c r="O250" s="83"/>
      <c r="P250" s="83"/>
      <c r="Q250" s="83"/>
    </row>
    <row r="251" spans="2:17" ht="17" x14ac:dyDescent="0.2">
      <c r="B251" s="168" t="s">
        <v>146</v>
      </c>
      <c r="C251" s="19" t="s">
        <v>40</v>
      </c>
      <c r="D251" s="100"/>
      <c r="E251" s="97"/>
      <c r="F251" s="98"/>
      <c r="G251" s="106"/>
      <c r="H251" s="34"/>
      <c r="I251" s="100"/>
      <c r="J251" s="34" t="s">
        <v>0</v>
      </c>
      <c r="K251" s="98"/>
      <c r="L251" s="62" t="s">
        <v>41</v>
      </c>
      <c r="M251" s="34" t="s">
        <v>478</v>
      </c>
      <c r="N251" s="67" t="s">
        <v>479</v>
      </c>
      <c r="O251" s="98"/>
      <c r="P251" s="105"/>
      <c r="Q251" s="83"/>
    </row>
    <row r="252" spans="2:17" ht="17" x14ac:dyDescent="0.2">
      <c r="B252" s="168" t="s">
        <v>147</v>
      </c>
      <c r="C252" s="19" t="s">
        <v>40</v>
      </c>
      <c r="D252" s="100"/>
      <c r="E252" s="97"/>
      <c r="F252" s="98"/>
      <c r="G252" s="106"/>
      <c r="H252" s="61"/>
      <c r="I252" s="109"/>
      <c r="J252" s="34" t="s">
        <v>0</v>
      </c>
      <c r="K252" s="98"/>
      <c r="L252" s="62" t="s">
        <v>41</v>
      </c>
      <c r="M252" s="34" t="s">
        <v>478</v>
      </c>
      <c r="N252" s="67" t="s">
        <v>479</v>
      </c>
      <c r="O252" s="98"/>
      <c r="P252" s="83"/>
      <c r="Q252" s="105"/>
    </row>
    <row r="253" spans="2:17" ht="17" x14ac:dyDescent="0.2">
      <c r="B253" s="168" t="s">
        <v>148</v>
      </c>
      <c r="C253" s="19" t="s">
        <v>40</v>
      </c>
      <c r="D253" s="100"/>
      <c r="E253" s="97"/>
      <c r="F253" s="98"/>
      <c r="G253" s="106"/>
      <c r="H253" s="61"/>
      <c r="I253" s="100"/>
      <c r="J253" s="34" t="s">
        <v>0</v>
      </c>
      <c r="K253" s="98"/>
      <c r="L253" s="62" t="s">
        <v>41</v>
      </c>
      <c r="M253" s="34" t="s">
        <v>478</v>
      </c>
      <c r="N253" s="67" t="s">
        <v>479</v>
      </c>
      <c r="O253" s="98"/>
      <c r="P253" s="83"/>
      <c r="Q253" s="83"/>
    </row>
    <row r="254" spans="2:17" ht="17" x14ac:dyDescent="0.2">
      <c r="B254" s="168" t="s">
        <v>149</v>
      </c>
      <c r="C254" s="19" t="s">
        <v>40</v>
      </c>
      <c r="D254" s="100"/>
      <c r="E254" s="97"/>
      <c r="F254" s="98"/>
      <c r="G254" s="115"/>
      <c r="H254" s="61"/>
      <c r="I254" s="100"/>
      <c r="J254" s="34" t="s">
        <v>0</v>
      </c>
      <c r="K254" s="98"/>
      <c r="L254" s="62" t="s">
        <v>41</v>
      </c>
      <c r="M254" s="34" t="s">
        <v>478</v>
      </c>
      <c r="N254" s="67" t="s">
        <v>479</v>
      </c>
      <c r="O254" s="98"/>
      <c r="P254" s="83"/>
      <c r="Q254" s="83"/>
    </row>
    <row r="255" spans="2:17" ht="20" x14ac:dyDescent="0.2">
      <c r="B255" s="177" t="s">
        <v>51</v>
      </c>
      <c r="C255" s="19"/>
      <c r="D255" s="97"/>
      <c r="E255" s="97"/>
      <c r="F255" s="98"/>
      <c r="G255" s="115"/>
      <c r="H255" s="61"/>
      <c r="I255" s="100"/>
      <c r="J255" s="98"/>
      <c r="K255" s="98"/>
      <c r="L255" s="108"/>
      <c r="M255" s="61"/>
      <c r="N255" s="109"/>
      <c r="O255" s="98"/>
      <c r="P255" s="83"/>
      <c r="Q255" s="83"/>
    </row>
    <row r="256" spans="2:17" ht="17" x14ac:dyDescent="0.2">
      <c r="B256" s="176" t="s">
        <v>502</v>
      </c>
      <c r="D256" s="97"/>
      <c r="E256" s="97"/>
      <c r="F256" s="98"/>
      <c r="G256" s="115"/>
      <c r="H256" s="61"/>
      <c r="I256" s="100"/>
      <c r="J256" s="98"/>
      <c r="K256" s="98"/>
      <c r="L256" s="108"/>
      <c r="M256" s="61"/>
      <c r="N256" s="109"/>
      <c r="O256" s="98"/>
      <c r="P256" s="83"/>
      <c r="Q256" s="83"/>
    </row>
    <row r="257" spans="2:17" ht="17" x14ac:dyDescent="0.2">
      <c r="B257" s="132" t="s">
        <v>60</v>
      </c>
      <c r="C257" s="19"/>
      <c r="D257" s="100"/>
      <c r="E257" s="97"/>
      <c r="F257" s="98"/>
      <c r="G257" s="115"/>
      <c r="H257" s="61"/>
      <c r="I257" s="100"/>
      <c r="J257" s="98"/>
      <c r="K257" s="98"/>
      <c r="L257" s="103"/>
      <c r="M257" s="89"/>
      <c r="N257" s="104"/>
      <c r="O257" s="105"/>
      <c r="P257" s="111"/>
      <c r="Q257" s="83"/>
    </row>
    <row r="258" spans="2:17" ht="17" x14ac:dyDescent="0.2">
      <c r="B258" s="135" t="s">
        <v>61</v>
      </c>
      <c r="C258" s="19" t="s">
        <v>40</v>
      </c>
      <c r="D258" s="100"/>
      <c r="E258" s="97"/>
      <c r="F258" s="98"/>
      <c r="G258" s="115"/>
      <c r="H258" s="61"/>
      <c r="I258" s="100"/>
      <c r="J258" s="98" t="s">
        <v>0</v>
      </c>
      <c r="K258" s="98"/>
      <c r="L258" s="62" t="s">
        <v>41</v>
      </c>
      <c r="M258" s="34" t="s">
        <v>478</v>
      </c>
      <c r="N258" s="67" t="s">
        <v>479</v>
      </c>
      <c r="O258" s="83"/>
      <c r="P258" s="83"/>
      <c r="Q258" s="111"/>
    </row>
    <row r="259" spans="2:17" ht="17" x14ac:dyDescent="0.2">
      <c r="B259" s="136" t="s">
        <v>62</v>
      </c>
      <c r="C259" s="19" t="s">
        <v>40</v>
      </c>
      <c r="D259" s="100"/>
      <c r="E259" s="97"/>
      <c r="F259" s="98"/>
      <c r="G259" s="115"/>
      <c r="H259" s="61"/>
      <c r="I259" s="100"/>
      <c r="J259" s="98" t="s">
        <v>0</v>
      </c>
      <c r="K259" s="98"/>
      <c r="L259" s="62" t="s">
        <v>41</v>
      </c>
      <c r="M259" s="34" t="s">
        <v>478</v>
      </c>
      <c r="N259" s="67" t="s">
        <v>479</v>
      </c>
      <c r="O259" s="83"/>
      <c r="P259" s="83"/>
      <c r="Q259" s="83"/>
    </row>
    <row r="260" spans="2:17" ht="96" x14ac:dyDescent="0.2">
      <c r="B260" s="137" t="s">
        <v>63</v>
      </c>
      <c r="C260" s="19" t="s">
        <v>40</v>
      </c>
      <c r="D260" s="100"/>
      <c r="E260" s="97"/>
      <c r="F260" s="98"/>
      <c r="G260" s="115"/>
      <c r="H260" s="61"/>
      <c r="I260" s="100"/>
      <c r="J260" s="98" t="s">
        <v>0</v>
      </c>
      <c r="K260" s="98"/>
      <c r="L260" s="62" t="s">
        <v>41</v>
      </c>
      <c r="M260" s="34" t="s">
        <v>478</v>
      </c>
      <c r="N260" s="67" t="s">
        <v>479</v>
      </c>
      <c r="O260" s="98"/>
      <c r="P260" s="83"/>
      <c r="Q260" s="83"/>
    </row>
    <row r="261" spans="2:17" ht="17" x14ac:dyDescent="0.2">
      <c r="B261" s="136" t="s">
        <v>64</v>
      </c>
      <c r="C261" s="19" t="s">
        <v>40</v>
      </c>
      <c r="D261" s="100"/>
      <c r="E261" s="97"/>
      <c r="F261" s="98"/>
      <c r="G261" s="115"/>
      <c r="H261" s="61"/>
      <c r="I261" s="100"/>
      <c r="J261" s="98" t="s">
        <v>0</v>
      </c>
      <c r="K261" s="98"/>
      <c r="L261" s="62" t="s">
        <v>41</v>
      </c>
      <c r="M261" s="34" t="s">
        <v>478</v>
      </c>
      <c r="N261" s="67" t="s">
        <v>479</v>
      </c>
      <c r="O261" s="98"/>
      <c r="P261" s="83"/>
      <c r="Q261" s="83"/>
    </row>
    <row r="262" spans="2:17" ht="20" x14ac:dyDescent="0.25">
      <c r="B262" s="149" t="s">
        <v>150</v>
      </c>
      <c r="C262" s="19"/>
      <c r="D262" s="100"/>
      <c r="E262" s="97"/>
      <c r="F262" s="98"/>
      <c r="G262" s="115"/>
      <c r="H262" s="61"/>
      <c r="I262" s="100"/>
      <c r="J262" s="98"/>
      <c r="K262" s="98"/>
      <c r="L262" s="62"/>
      <c r="N262" s="67"/>
      <c r="O262" s="98"/>
      <c r="P262" s="111"/>
      <c r="Q262" s="83"/>
    </row>
    <row r="263" spans="2:17" x14ac:dyDescent="0.2">
      <c r="B263" s="150" t="s">
        <v>151</v>
      </c>
      <c r="C263" s="19"/>
      <c r="D263" s="100"/>
      <c r="E263" s="97"/>
      <c r="F263" s="98"/>
      <c r="G263" s="115"/>
      <c r="H263" s="61"/>
      <c r="I263" s="100"/>
      <c r="J263" s="98"/>
      <c r="K263" s="98"/>
      <c r="L263" s="108"/>
      <c r="M263" s="61"/>
      <c r="N263" s="109"/>
      <c r="O263" s="98"/>
      <c r="P263" s="83"/>
      <c r="Q263" s="111"/>
    </row>
    <row r="264" spans="2:17" ht="17" x14ac:dyDescent="0.2">
      <c r="B264" s="151" t="s">
        <v>152</v>
      </c>
      <c r="C264" s="19" t="s">
        <v>40</v>
      </c>
      <c r="D264" s="100"/>
      <c r="E264" s="97"/>
      <c r="F264" s="98"/>
      <c r="G264" s="115"/>
      <c r="H264" s="61"/>
      <c r="I264" s="100"/>
      <c r="J264" s="98" t="s">
        <v>0</v>
      </c>
      <c r="K264" s="98"/>
      <c r="L264" s="221" t="s">
        <v>41</v>
      </c>
      <c r="M264" s="34" t="s">
        <v>478</v>
      </c>
      <c r="N264" s="67" t="s">
        <v>479</v>
      </c>
      <c r="O264" s="98"/>
      <c r="P264" s="83"/>
      <c r="Q264" s="83"/>
    </row>
    <row r="265" spans="2:17" ht="17" x14ac:dyDescent="0.2">
      <c r="B265" s="151" t="s">
        <v>153</v>
      </c>
      <c r="C265" s="19" t="s">
        <v>40</v>
      </c>
      <c r="D265" s="100"/>
      <c r="E265" s="97"/>
      <c r="F265" s="98"/>
      <c r="G265" s="115"/>
      <c r="H265" s="61"/>
      <c r="I265" s="100"/>
      <c r="J265" s="98" t="s">
        <v>0</v>
      </c>
      <c r="K265" s="98"/>
      <c r="L265" s="221" t="s">
        <v>41</v>
      </c>
      <c r="M265" s="34" t="s">
        <v>478</v>
      </c>
      <c r="N265" s="67" t="s">
        <v>479</v>
      </c>
      <c r="O265" s="98"/>
      <c r="P265" s="83"/>
      <c r="Q265" s="83"/>
    </row>
    <row r="266" spans="2:17" ht="17" x14ac:dyDescent="0.2">
      <c r="B266" s="152" t="s">
        <v>154</v>
      </c>
      <c r="C266" s="19" t="s">
        <v>40</v>
      </c>
      <c r="D266" s="100"/>
      <c r="E266" s="97"/>
      <c r="F266" s="98"/>
      <c r="G266" s="115"/>
      <c r="H266" s="61"/>
      <c r="I266" s="100"/>
      <c r="J266" s="98" t="s">
        <v>0</v>
      </c>
      <c r="K266" s="98"/>
      <c r="L266" s="221" t="s">
        <v>41</v>
      </c>
      <c r="M266" s="34" t="s">
        <v>478</v>
      </c>
      <c r="N266" s="67" t="s">
        <v>479</v>
      </c>
      <c r="O266" s="98"/>
      <c r="P266" s="85"/>
      <c r="Q266" s="83"/>
    </row>
    <row r="267" spans="2:17" ht="17" x14ac:dyDescent="0.2">
      <c r="B267" s="143" t="s">
        <v>155</v>
      </c>
      <c r="C267" s="19" t="s">
        <v>40</v>
      </c>
      <c r="D267" s="100"/>
      <c r="E267" s="97"/>
      <c r="F267" s="98"/>
      <c r="G267" s="115"/>
      <c r="H267" s="61"/>
      <c r="I267" s="100"/>
      <c r="J267" s="98" t="s">
        <v>0</v>
      </c>
      <c r="K267" s="98"/>
      <c r="L267" s="221" t="s">
        <v>41</v>
      </c>
      <c r="M267" s="34" t="s">
        <v>478</v>
      </c>
      <c r="N267" s="67" t="s">
        <v>479</v>
      </c>
      <c r="O267" s="98"/>
      <c r="P267" s="85"/>
      <c r="Q267" s="85"/>
    </row>
    <row r="268" spans="2:17" x14ac:dyDescent="0.2">
      <c r="B268" s="153" t="s">
        <v>156</v>
      </c>
      <c r="D268" s="100"/>
      <c r="E268" s="97"/>
      <c r="F268" s="98"/>
      <c r="G268" s="115"/>
      <c r="H268" s="61"/>
      <c r="I268" s="100"/>
      <c r="J268" s="98"/>
      <c r="K268" s="98"/>
      <c r="L268" s="62"/>
      <c r="N268" s="67"/>
      <c r="O268" s="98"/>
      <c r="P268" s="85"/>
      <c r="Q268" s="85"/>
    </row>
    <row r="269" spans="2:17" x14ac:dyDescent="0.2">
      <c r="B269" s="153" t="s">
        <v>157</v>
      </c>
      <c r="C269" s="19"/>
      <c r="D269" s="101"/>
      <c r="E269" s="97"/>
      <c r="F269" s="98"/>
      <c r="G269" s="115"/>
      <c r="H269" s="61"/>
      <c r="I269" s="100"/>
      <c r="J269" s="98"/>
      <c r="K269" s="98"/>
      <c r="L269" s="108"/>
      <c r="M269" s="61"/>
      <c r="N269" s="109"/>
      <c r="O269" s="98"/>
      <c r="P269" s="85"/>
      <c r="Q269" s="85"/>
    </row>
    <row r="270" spans="2:17" ht="17" x14ac:dyDescent="0.2">
      <c r="B270" s="154" t="s">
        <v>158</v>
      </c>
      <c r="C270" s="19" t="s">
        <v>40</v>
      </c>
      <c r="D270" s="101"/>
      <c r="E270" s="97"/>
      <c r="F270" s="98"/>
      <c r="G270" s="115"/>
      <c r="H270" s="61"/>
      <c r="I270" s="100"/>
      <c r="J270" s="98" t="s">
        <v>0</v>
      </c>
      <c r="K270" s="98"/>
      <c r="L270" s="221" t="s">
        <v>41</v>
      </c>
      <c r="M270" s="34" t="s">
        <v>478</v>
      </c>
      <c r="N270" s="67" t="s">
        <v>479</v>
      </c>
      <c r="O270" s="98"/>
      <c r="P270" s="85"/>
      <c r="Q270" s="85"/>
    </row>
    <row r="271" spans="2:17" ht="17" x14ac:dyDescent="0.2">
      <c r="B271" s="155" t="s">
        <v>159</v>
      </c>
      <c r="C271" s="19" t="s">
        <v>40</v>
      </c>
      <c r="D271" s="101"/>
      <c r="E271" s="97"/>
      <c r="F271" s="98"/>
      <c r="G271" s="115"/>
      <c r="H271" s="61"/>
      <c r="I271" s="100"/>
      <c r="J271" s="98" t="s">
        <v>0</v>
      </c>
      <c r="K271" s="98"/>
      <c r="L271" s="221" t="s">
        <v>41</v>
      </c>
      <c r="M271" s="34" t="s">
        <v>478</v>
      </c>
      <c r="N271" s="67" t="s">
        <v>479</v>
      </c>
      <c r="O271" s="98"/>
      <c r="P271" s="85"/>
      <c r="Q271" s="85"/>
    </row>
    <row r="272" spans="2:17" ht="17" x14ac:dyDescent="0.2">
      <c r="B272" s="151" t="s">
        <v>160</v>
      </c>
      <c r="C272" s="19" t="s">
        <v>40</v>
      </c>
      <c r="D272" s="101"/>
      <c r="E272" s="97"/>
      <c r="F272" s="98"/>
      <c r="G272" s="115"/>
      <c r="H272" s="61"/>
      <c r="I272" s="100"/>
      <c r="J272" s="98" t="s">
        <v>0</v>
      </c>
      <c r="K272" s="98"/>
      <c r="L272" s="221" t="s">
        <v>41</v>
      </c>
      <c r="M272" s="34" t="s">
        <v>478</v>
      </c>
      <c r="N272" s="67" t="s">
        <v>479</v>
      </c>
      <c r="O272" s="98"/>
      <c r="P272" s="83"/>
      <c r="Q272" s="85"/>
    </row>
    <row r="273" spans="2:17" x14ac:dyDescent="0.2">
      <c r="B273" s="153" t="s">
        <v>161</v>
      </c>
      <c r="C273" s="19"/>
      <c r="D273" s="101"/>
      <c r="E273" s="97"/>
      <c r="F273" s="98"/>
      <c r="G273" s="115"/>
      <c r="H273" s="61"/>
      <c r="I273" s="100"/>
      <c r="J273" s="109"/>
      <c r="K273" s="98"/>
      <c r="L273" s="62"/>
      <c r="N273" s="67"/>
      <c r="O273" s="98"/>
      <c r="P273" s="83"/>
      <c r="Q273" s="83"/>
    </row>
    <row r="274" spans="2:17" x14ac:dyDescent="0.2">
      <c r="B274" s="157" t="s">
        <v>168</v>
      </c>
      <c r="D274" s="101"/>
      <c r="E274" s="97"/>
      <c r="F274" s="98"/>
      <c r="G274" s="115"/>
      <c r="H274" s="61"/>
      <c r="I274" s="222"/>
      <c r="J274" s="223"/>
      <c r="K274" s="223"/>
      <c r="L274" s="107"/>
      <c r="M274" s="6"/>
      <c r="N274" s="82"/>
      <c r="O274" s="83"/>
      <c r="P274" s="83"/>
      <c r="Q274" s="83"/>
    </row>
    <row r="275" spans="2:17" ht="51" x14ac:dyDescent="0.2">
      <c r="B275" s="158" t="s">
        <v>169</v>
      </c>
      <c r="C275" s="19" t="s">
        <v>40</v>
      </c>
      <c r="D275" s="101"/>
      <c r="E275" s="97"/>
      <c r="F275" s="98"/>
      <c r="G275" s="115"/>
      <c r="H275" s="62"/>
      <c r="I275" s="76"/>
      <c r="J275" s="61" t="s">
        <v>0</v>
      </c>
      <c r="K275" s="61"/>
      <c r="L275" s="221" t="s">
        <v>41</v>
      </c>
      <c r="M275" s="34" t="s">
        <v>478</v>
      </c>
      <c r="N275" s="67" t="s">
        <v>479</v>
      </c>
      <c r="O275" s="83"/>
      <c r="P275" s="83"/>
      <c r="Q275" s="83"/>
    </row>
    <row r="276" spans="2:17" ht="17" x14ac:dyDescent="0.2">
      <c r="B276" s="159" t="s">
        <v>170</v>
      </c>
      <c r="C276" s="19" t="s">
        <v>40</v>
      </c>
      <c r="D276" s="101"/>
      <c r="E276" s="97"/>
      <c r="F276" s="98"/>
      <c r="G276" s="115"/>
      <c r="H276" s="62"/>
      <c r="I276" s="76"/>
      <c r="J276" s="34" t="s">
        <v>0</v>
      </c>
      <c r="K276" s="61"/>
      <c r="L276" s="221" t="s">
        <v>41</v>
      </c>
      <c r="M276" s="34" t="s">
        <v>478</v>
      </c>
      <c r="N276" s="67" t="s">
        <v>479</v>
      </c>
      <c r="O276" s="83"/>
      <c r="P276" s="83"/>
      <c r="Q276" s="83"/>
    </row>
    <row r="277" spans="2:17" x14ac:dyDescent="0.2">
      <c r="B277" s="157" t="s">
        <v>171</v>
      </c>
      <c r="C277" s="19"/>
      <c r="D277" s="101"/>
      <c r="E277" s="97"/>
      <c r="F277" s="98"/>
      <c r="G277" s="115"/>
      <c r="H277" s="62"/>
      <c r="I277" s="76"/>
      <c r="K277" s="61"/>
      <c r="L277" s="221"/>
      <c r="N277" s="67"/>
      <c r="O277" s="98"/>
      <c r="P277" s="105"/>
      <c r="Q277" s="83"/>
    </row>
    <row r="278" spans="2:17" ht="48" x14ac:dyDescent="0.2">
      <c r="B278" s="144" t="s">
        <v>172</v>
      </c>
      <c r="C278" s="19" t="s">
        <v>40</v>
      </c>
      <c r="D278" s="101"/>
      <c r="E278" s="97"/>
      <c r="F278" s="98"/>
      <c r="G278" s="115"/>
      <c r="H278" s="61"/>
      <c r="I278" s="92"/>
      <c r="J278" s="224" t="s">
        <v>0</v>
      </c>
      <c r="K278" s="225"/>
      <c r="L278" s="221" t="s">
        <v>41</v>
      </c>
      <c r="M278" s="34" t="s">
        <v>478</v>
      </c>
      <c r="N278" s="67" t="s">
        <v>479</v>
      </c>
      <c r="O278" s="98"/>
      <c r="P278" s="105"/>
      <c r="Q278" s="105"/>
    </row>
    <row r="279" spans="2:17" ht="17" x14ac:dyDescent="0.2">
      <c r="B279" s="160" t="s">
        <v>173</v>
      </c>
      <c r="C279" s="19" t="s">
        <v>40</v>
      </c>
      <c r="D279" s="101"/>
      <c r="E279" s="97"/>
      <c r="F279" s="98"/>
      <c r="G279" s="115"/>
      <c r="H279" s="61"/>
      <c r="I279" s="100"/>
      <c r="J279" s="116" t="s">
        <v>0</v>
      </c>
      <c r="K279" s="98"/>
      <c r="L279" s="221" t="s">
        <v>41</v>
      </c>
      <c r="M279" s="34" t="s">
        <v>478</v>
      </c>
      <c r="N279" s="67" t="s">
        <v>479</v>
      </c>
      <c r="O279" s="98"/>
      <c r="P279" s="83"/>
      <c r="Q279" s="105"/>
    </row>
    <row r="280" spans="2:17" ht="17" x14ac:dyDescent="0.2">
      <c r="B280" s="161" t="s">
        <v>174</v>
      </c>
      <c r="D280" s="101"/>
      <c r="E280" s="97"/>
      <c r="F280" s="98"/>
      <c r="G280" s="108"/>
      <c r="H280" s="61"/>
      <c r="I280" s="100"/>
      <c r="J280" s="98"/>
      <c r="K280" s="98"/>
      <c r="L280" s="108"/>
      <c r="M280" s="61"/>
      <c r="N280" s="109"/>
      <c r="O280" s="98"/>
      <c r="P280" s="83"/>
      <c r="Q280" s="83"/>
    </row>
    <row r="281" spans="2:17" ht="51" x14ac:dyDescent="0.2">
      <c r="B281" s="161" t="s">
        <v>175</v>
      </c>
      <c r="C281" s="19"/>
      <c r="D281" s="101"/>
      <c r="E281" s="97"/>
      <c r="F281" s="98"/>
      <c r="G281" s="108"/>
      <c r="H281" s="61"/>
      <c r="I281" s="100"/>
      <c r="J281" s="98"/>
      <c r="K281" s="98"/>
      <c r="L281" s="108"/>
      <c r="M281" s="61"/>
      <c r="N281" s="109"/>
      <c r="O281" s="98"/>
      <c r="P281" s="83"/>
      <c r="Q281" s="83"/>
    </row>
    <row r="282" spans="2:17" ht="17" x14ac:dyDescent="0.2">
      <c r="B282" s="131" t="s">
        <v>176</v>
      </c>
      <c r="C282" s="19" t="s">
        <v>40</v>
      </c>
      <c r="D282" s="101"/>
      <c r="E282" s="97"/>
      <c r="F282" s="98"/>
      <c r="G282" s="108"/>
      <c r="H282" s="61"/>
      <c r="I282" s="100"/>
      <c r="J282" s="109" t="s">
        <v>0</v>
      </c>
      <c r="K282" s="98"/>
      <c r="L282" s="221" t="s">
        <v>41</v>
      </c>
      <c r="M282" s="34" t="s">
        <v>478</v>
      </c>
      <c r="N282" s="67" t="s">
        <v>479</v>
      </c>
      <c r="O282" s="98"/>
      <c r="P282" s="85"/>
      <c r="Q282" s="83"/>
    </row>
    <row r="283" spans="2:17" ht="17" x14ac:dyDescent="0.2">
      <c r="B283" s="160" t="s">
        <v>177</v>
      </c>
      <c r="C283" s="19" t="s">
        <v>40</v>
      </c>
      <c r="D283" s="101"/>
      <c r="E283" s="97"/>
      <c r="F283" s="98"/>
      <c r="G283" s="108"/>
      <c r="H283" s="61"/>
      <c r="I283" s="100"/>
      <c r="J283" s="109" t="s">
        <v>0</v>
      </c>
      <c r="K283" s="98"/>
      <c r="L283" s="221" t="s">
        <v>41</v>
      </c>
      <c r="M283" s="34" t="s">
        <v>478</v>
      </c>
      <c r="N283" s="67" t="s">
        <v>479</v>
      </c>
      <c r="O283" s="114"/>
      <c r="P283" s="85"/>
      <c r="Q283" s="85"/>
    </row>
    <row r="284" spans="2:17" ht="17" x14ac:dyDescent="0.2">
      <c r="B284" s="160" t="s">
        <v>182</v>
      </c>
      <c r="C284" s="19" t="s">
        <v>40</v>
      </c>
      <c r="D284" s="97"/>
      <c r="E284" s="97"/>
      <c r="F284" s="98"/>
      <c r="G284" s="108"/>
      <c r="H284" s="61"/>
      <c r="I284" s="100"/>
      <c r="J284" s="98" t="s">
        <v>0</v>
      </c>
      <c r="K284" s="98"/>
      <c r="L284" s="221" t="s">
        <v>41</v>
      </c>
      <c r="M284" s="34" t="s">
        <v>478</v>
      </c>
      <c r="N284" s="67" t="s">
        <v>479</v>
      </c>
      <c r="O284" s="114"/>
      <c r="P284" s="85"/>
      <c r="Q284" s="85"/>
    </row>
    <row r="285" spans="2:17" ht="68" x14ac:dyDescent="0.2">
      <c r="B285" s="160" t="s">
        <v>504</v>
      </c>
      <c r="C285" s="19" t="s">
        <v>40</v>
      </c>
      <c r="D285" s="97"/>
      <c r="E285" s="97"/>
      <c r="F285" s="98"/>
      <c r="G285" s="108"/>
      <c r="H285" s="61"/>
      <c r="I285" s="100"/>
      <c r="J285" s="98" t="s">
        <v>0</v>
      </c>
      <c r="K285" s="98"/>
      <c r="L285" s="221" t="s">
        <v>41</v>
      </c>
      <c r="M285" s="34" t="s">
        <v>478</v>
      </c>
      <c r="N285" s="67" t="s">
        <v>479</v>
      </c>
      <c r="O285" s="105"/>
      <c r="P285" s="85"/>
      <c r="Q285" s="85"/>
    </row>
    <row r="286" spans="2:17" ht="17" x14ac:dyDescent="0.2">
      <c r="B286" s="162" t="s">
        <v>184</v>
      </c>
      <c r="C286" s="19" t="s">
        <v>40</v>
      </c>
      <c r="D286" s="101"/>
      <c r="E286" s="97"/>
      <c r="F286" s="98"/>
      <c r="G286" s="108"/>
      <c r="H286" s="61"/>
      <c r="I286" s="100"/>
      <c r="J286" s="98" t="s">
        <v>0</v>
      </c>
      <c r="K286" s="98"/>
      <c r="L286" s="221" t="s">
        <v>41</v>
      </c>
      <c r="M286" s="34" t="s">
        <v>478</v>
      </c>
      <c r="N286" s="67" t="s">
        <v>479</v>
      </c>
      <c r="O286" s="83"/>
      <c r="P286" s="83"/>
      <c r="Q286" s="85"/>
    </row>
    <row r="287" spans="2:17" ht="17" x14ac:dyDescent="0.2">
      <c r="B287" s="162" t="s">
        <v>185</v>
      </c>
      <c r="C287" s="19" t="s">
        <v>40</v>
      </c>
      <c r="D287" s="101"/>
      <c r="E287" s="97"/>
      <c r="F287" s="98"/>
      <c r="G287" s="108"/>
      <c r="H287" s="61"/>
      <c r="I287" s="100"/>
      <c r="J287" s="98" t="s">
        <v>0</v>
      </c>
      <c r="K287" s="98"/>
      <c r="L287" s="221" t="s">
        <v>41</v>
      </c>
      <c r="M287" s="34" t="s">
        <v>478</v>
      </c>
      <c r="N287" s="67" t="s">
        <v>479</v>
      </c>
      <c r="O287" s="98"/>
      <c r="P287" s="83"/>
      <c r="Q287" s="83"/>
    </row>
    <row r="288" spans="2:17" x14ac:dyDescent="0.2">
      <c r="B288" s="110"/>
      <c r="C288" s="90"/>
      <c r="D288" s="101"/>
      <c r="E288" s="97"/>
      <c r="F288" s="98"/>
      <c r="G288" s="117"/>
      <c r="H288" s="61"/>
      <c r="I288" s="100"/>
      <c r="J288" s="98"/>
      <c r="K288" s="98"/>
      <c r="L288" s="108"/>
      <c r="M288" s="61"/>
      <c r="N288" s="109"/>
      <c r="O288" s="98"/>
      <c r="P288" s="83"/>
      <c r="Q288" s="83"/>
    </row>
    <row r="289" spans="2:17" ht="105" customHeight="1" x14ac:dyDescent="0.2">
      <c r="B289" s="170" t="s">
        <v>507</v>
      </c>
      <c r="C289" s="19"/>
      <c r="D289" s="101"/>
      <c r="E289" s="97"/>
      <c r="F289" s="98"/>
      <c r="G289" s="117"/>
      <c r="H289" s="61"/>
      <c r="I289" s="100"/>
      <c r="J289" s="98"/>
      <c r="K289" s="98"/>
      <c r="L289" s="108"/>
      <c r="M289" s="61"/>
      <c r="N289" s="109"/>
      <c r="O289" s="98"/>
      <c r="P289" s="83"/>
      <c r="Q289" s="83"/>
    </row>
    <row r="290" spans="2:17" ht="17" x14ac:dyDescent="0.2">
      <c r="B290" s="127" t="s">
        <v>31</v>
      </c>
      <c r="C290" s="19"/>
      <c r="D290" s="101"/>
      <c r="E290" s="97"/>
      <c r="F290" s="98"/>
      <c r="G290" s="117"/>
      <c r="H290" s="61"/>
      <c r="I290" s="100"/>
      <c r="J290" s="98"/>
      <c r="K290" s="98"/>
      <c r="L290" s="108"/>
      <c r="M290" s="61"/>
      <c r="N290" s="109"/>
      <c r="O290" s="98"/>
      <c r="P290" s="83"/>
      <c r="Q290" s="83"/>
    </row>
    <row r="291" spans="2:17" ht="17" x14ac:dyDescent="0.2">
      <c r="B291" s="127" t="s">
        <v>32</v>
      </c>
      <c r="D291" s="101"/>
      <c r="E291" s="97"/>
      <c r="F291" s="98"/>
      <c r="G291" s="117"/>
      <c r="H291" s="61"/>
      <c r="I291" s="100"/>
      <c r="J291" s="98"/>
      <c r="K291" s="98"/>
      <c r="L291" s="108"/>
      <c r="M291" s="61"/>
      <c r="N291" s="109"/>
      <c r="O291" s="98"/>
      <c r="P291" s="83"/>
      <c r="Q291" s="83"/>
    </row>
    <row r="292" spans="2:17" ht="17" x14ac:dyDescent="0.2">
      <c r="B292" s="128" t="s">
        <v>33</v>
      </c>
      <c r="D292" s="101"/>
      <c r="E292" s="97"/>
      <c r="F292" s="98"/>
      <c r="G292" s="117"/>
      <c r="H292" s="61"/>
      <c r="I292" s="100"/>
      <c r="J292" s="98"/>
      <c r="K292" s="98"/>
      <c r="L292" s="108"/>
      <c r="M292" s="61"/>
      <c r="N292" s="109"/>
      <c r="O292" s="98"/>
      <c r="P292" s="83"/>
      <c r="Q292" s="83"/>
    </row>
    <row r="293" spans="2:17" ht="17" x14ac:dyDescent="0.2">
      <c r="B293" s="127" t="s">
        <v>34</v>
      </c>
      <c r="C293" s="19"/>
      <c r="D293" s="101"/>
      <c r="E293" s="97"/>
      <c r="F293" s="98"/>
      <c r="G293" s="117"/>
      <c r="H293" s="61"/>
      <c r="I293" s="100"/>
      <c r="J293" s="98"/>
      <c r="K293" s="98"/>
      <c r="L293" s="108"/>
      <c r="M293" s="61"/>
      <c r="N293" s="109"/>
      <c r="O293" s="98"/>
      <c r="P293" s="83"/>
      <c r="Q293" s="83"/>
    </row>
    <row r="294" spans="2:17" ht="17" x14ac:dyDescent="0.2">
      <c r="B294" s="163" t="s">
        <v>475</v>
      </c>
      <c r="C294" s="19"/>
      <c r="D294" s="101"/>
      <c r="E294" s="97"/>
      <c r="F294" s="98"/>
      <c r="G294" s="117"/>
      <c r="H294" s="61"/>
      <c r="I294" s="100"/>
      <c r="J294" s="98"/>
      <c r="K294" s="98"/>
      <c r="L294" s="108"/>
      <c r="M294" s="61"/>
      <c r="N294" s="109"/>
      <c r="O294" s="98"/>
      <c r="P294" s="83"/>
      <c r="Q294" s="83"/>
    </row>
    <row r="295" spans="2:17" ht="17" x14ac:dyDescent="0.2">
      <c r="B295" s="163" t="s">
        <v>508</v>
      </c>
      <c r="C295" s="19"/>
      <c r="D295" s="101"/>
      <c r="E295" s="97"/>
      <c r="F295" s="98"/>
      <c r="G295" s="117"/>
      <c r="H295" s="61"/>
      <c r="I295" s="100"/>
      <c r="J295" s="98"/>
      <c r="K295" s="98"/>
      <c r="L295" s="108"/>
      <c r="M295" s="61"/>
      <c r="N295" s="109"/>
      <c r="O295" s="98"/>
      <c r="P295" s="83"/>
      <c r="Q295" s="83"/>
    </row>
    <row r="296" spans="2:17" ht="42" customHeight="1" x14ac:dyDescent="0.2">
      <c r="B296" s="163" t="s">
        <v>476</v>
      </c>
      <c r="C296" s="19"/>
      <c r="D296" s="101"/>
      <c r="E296" s="97"/>
      <c r="F296" s="98"/>
      <c r="G296" s="117"/>
      <c r="H296" s="61"/>
      <c r="I296" s="100"/>
      <c r="J296" s="98"/>
      <c r="K296" s="98"/>
      <c r="L296" s="112"/>
      <c r="M296" s="87"/>
      <c r="N296" s="113"/>
      <c r="O296" s="114"/>
      <c r="P296" s="83"/>
      <c r="Q296" s="83"/>
    </row>
    <row r="297" spans="2:17" ht="17" x14ac:dyDescent="0.2">
      <c r="B297" s="129" t="s">
        <v>36</v>
      </c>
      <c r="C297" s="19"/>
      <c r="D297" s="101"/>
      <c r="E297" s="97"/>
      <c r="F297" s="98"/>
      <c r="G297" s="117"/>
      <c r="H297" s="61"/>
      <c r="I297" s="100"/>
      <c r="J297" s="98"/>
      <c r="K297" s="98"/>
      <c r="L297" s="112"/>
      <c r="M297" s="87"/>
      <c r="N297" s="113"/>
      <c r="O297" s="114"/>
      <c r="P297" s="83"/>
      <c r="Q297" s="83"/>
    </row>
    <row r="298" spans="2:17" ht="17" x14ac:dyDescent="0.2">
      <c r="B298" s="129" t="s">
        <v>37</v>
      </c>
      <c r="C298" s="19"/>
      <c r="D298" s="101"/>
      <c r="E298" s="97"/>
      <c r="F298" s="98"/>
      <c r="G298" s="117"/>
      <c r="H298" s="61"/>
      <c r="I298" s="100"/>
      <c r="J298" s="98"/>
      <c r="K298" s="98"/>
      <c r="L298" s="103"/>
      <c r="M298" s="89"/>
      <c r="N298" s="104"/>
      <c r="O298" s="105"/>
      <c r="P298" s="83"/>
      <c r="Q298" s="83"/>
    </row>
    <row r="299" spans="2:17" ht="17" x14ac:dyDescent="0.2">
      <c r="B299" s="128" t="s">
        <v>38</v>
      </c>
      <c r="C299" s="19"/>
      <c r="D299" s="101"/>
      <c r="E299" s="97"/>
      <c r="F299" s="98"/>
      <c r="G299" s="117"/>
      <c r="H299" s="61"/>
      <c r="I299" s="100"/>
      <c r="J299" s="98"/>
      <c r="K299" s="98"/>
      <c r="L299" s="103"/>
      <c r="M299" s="89"/>
      <c r="N299" s="104"/>
      <c r="O299" s="105"/>
      <c r="P299" s="83"/>
      <c r="Q299" s="83"/>
    </row>
    <row r="300" spans="2:17" ht="48" x14ac:dyDescent="0.2">
      <c r="B300" s="164" t="s">
        <v>477</v>
      </c>
      <c r="C300" s="19" t="s">
        <v>40</v>
      </c>
      <c r="D300" s="101"/>
      <c r="E300" s="97"/>
      <c r="F300" s="98"/>
      <c r="G300" s="117"/>
      <c r="H300" s="61"/>
      <c r="I300" s="100"/>
      <c r="J300" s="98" t="s">
        <v>0</v>
      </c>
      <c r="K300" s="98"/>
      <c r="L300" s="221" t="s">
        <v>41</v>
      </c>
      <c r="M300" s="34" t="s">
        <v>478</v>
      </c>
      <c r="N300" s="67" t="s">
        <v>479</v>
      </c>
      <c r="O300" s="83"/>
      <c r="P300" s="83"/>
      <c r="Q300" s="83"/>
    </row>
    <row r="301" spans="2:17" ht="48" x14ac:dyDescent="0.2">
      <c r="B301" s="164" t="s">
        <v>480</v>
      </c>
      <c r="C301" s="19" t="s">
        <v>40</v>
      </c>
      <c r="D301" s="101"/>
      <c r="E301" s="97"/>
      <c r="F301" s="98"/>
      <c r="G301" s="117"/>
      <c r="H301" s="61"/>
      <c r="I301" s="100"/>
      <c r="J301" s="98" t="s">
        <v>0</v>
      </c>
      <c r="K301" s="98"/>
      <c r="L301" s="221" t="s">
        <v>41</v>
      </c>
      <c r="M301" s="34" t="s">
        <v>478</v>
      </c>
      <c r="N301" s="67" t="s">
        <v>479</v>
      </c>
      <c r="O301" s="83"/>
      <c r="P301" s="83"/>
      <c r="Q301" s="83"/>
    </row>
    <row r="302" spans="2:17" ht="17" x14ac:dyDescent="0.2">
      <c r="B302" s="128" t="s">
        <v>44</v>
      </c>
      <c r="C302" s="19"/>
      <c r="D302" s="101"/>
      <c r="E302" s="97"/>
      <c r="F302" s="98"/>
      <c r="G302" s="117"/>
      <c r="H302" s="61"/>
      <c r="I302" s="100"/>
      <c r="J302" s="98"/>
      <c r="K302" s="98"/>
      <c r="L302" s="108"/>
      <c r="M302" s="61"/>
      <c r="N302" s="109"/>
      <c r="O302" s="98"/>
      <c r="P302" s="83"/>
      <c r="Q302" s="83"/>
    </row>
    <row r="303" spans="2:17" ht="17" x14ac:dyDescent="0.2">
      <c r="B303" s="130" t="s">
        <v>46</v>
      </c>
      <c r="C303" s="19" t="s">
        <v>40</v>
      </c>
      <c r="D303" s="101"/>
      <c r="E303" s="97"/>
      <c r="F303" s="98"/>
      <c r="G303" s="115"/>
      <c r="H303" s="61"/>
      <c r="I303" s="100"/>
      <c r="J303" s="98" t="s">
        <v>0</v>
      </c>
      <c r="K303" s="98"/>
      <c r="L303" s="221" t="s">
        <v>41</v>
      </c>
      <c r="M303" s="34" t="s">
        <v>478</v>
      </c>
      <c r="N303" s="67" t="s">
        <v>479</v>
      </c>
      <c r="O303" s="98"/>
      <c r="P303" s="83"/>
      <c r="Q303" s="83"/>
    </row>
    <row r="304" spans="2:17" ht="17" x14ac:dyDescent="0.2">
      <c r="B304" s="128" t="s">
        <v>47</v>
      </c>
      <c r="D304" s="101"/>
      <c r="E304" s="97"/>
      <c r="F304" s="98"/>
      <c r="G304" s="115"/>
      <c r="H304" s="61"/>
      <c r="I304" s="100"/>
      <c r="J304" s="98"/>
      <c r="K304" s="98"/>
      <c r="L304" s="108"/>
      <c r="M304" s="61"/>
      <c r="N304" s="109"/>
      <c r="O304" s="98"/>
      <c r="P304" s="83"/>
      <c r="Q304" s="83"/>
    </row>
    <row r="305" spans="2:17" ht="17" x14ac:dyDescent="0.2">
      <c r="B305" s="165" t="s">
        <v>481</v>
      </c>
      <c r="C305" s="19" t="s">
        <v>40</v>
      </c>
      <c r="D305" s="101"/>
      <c r="E305" s="97"/>
      <c r="F305" s="98"/>
      <c r="G305" s="115"/>
      <c r="H305" s="61"/>
      <c r="I305" s="100"/>
      <c r="J305" s="98" t="s">
        <v>0</v>
      </c>
      <c r="K305" s="98"/>
      <c r="L305" s="221" t="s">
        <v>41</v>
      </c>
      <c r="M305" s="34" t="s">
        <v>478</v>
      </c>
      <c r="N305" s="67" t="s">
        <v>479</v>
      </c>
      <c r="O305" s="98"/>
      <c r="P305" s="83"/>
      <c r="Q305" s="83"/>
    </row>
    <row r="306" spans="2:17" ht="17" x14ac:dyDescent="0.2">
      <c r="B306" s="131" t="s">
        <v>49</v>
      </c>
      <c r="C306" s="19" t="s">
        <v>40</v>
      </c>
      <c r="D306" s="101"/>
      <c r="E306" s="97"/>
      <c r="F306" s="98"/>
      <c r="G306" s="115"/>
      <c r="H306" s="61"/>
      <c r="I306" s="100"/>
      <c r="J306" s="98" t="s">
        <v>0</v>
      </c>
      <c r="K306" s="98"/>
      <c r="L306" s="221" t="s">
        <v>41</v>
      </c>
      <c r="M306" s="34" t="s">
        <v>478</v>
      </c>
      <c r="N306" s="67" t="s">
        <v>479</v>
      </c>
      <c r="O306" s="98"/>
      <c r="P306" s="83"/>
      <c r="Q306" s="83"/>
    </row>
    <row r="307" spans="2:17" ht="17" x14ac:dyDescent="0.2">
      <c r="B307" s="128" t="s">
        <v>482</v>
      </c>
      <c r="D307" s="101"/>
      <c r="E307" s="97"/>
      <c r="F307" s="98"/>
      <c r="G307" s="115"/>
      <c r="H307" s="61"/>
      <c r="I307" s="100"/>
      <c r="J307" s="98"/>
      <c r="K307" s="98"/>
      <c r="L307" s="108"/>
      <c r="M307" s="61"/>
      <c r="N307" s="109"/>
      <c r="O307" s="98"/>
      <c r="P307" s="83"/>
      <c r="Q307" s="83"/>
    </row>
    <row r="308" spans="2:17" ht="17" x14ac:dyDescent="0.2">
      <c r="B308" s="165" t="s">
        <v>66</v>
      </c>
      <c r="C308" s="19" t="s">
        <v>40</v>
      </c>
      <c r="D308" s="101"/>
      <c r="E308" s="97"/>
      <c r="F308" s="98"/>
      <c r="G308" s="115"/>
      <c r="H308" s="61"/>
      <c r="I308" s="100"/>
      <c r="J308" s="98" t="s">
        <v>0</v>
      </c>
      <c r="K308" s="98"/>
      <c r="L308" s="221" t="s">
        <v>41</v>
      </c>
      <c r="M308" s="34" t="s">
        <v>478</v>
      </c>
      <c r="N308" s="67" t="s">
        <v>479</v>
      </c>
      <c r="O308" s="98"/>
      <c r="P308" s="83"/>
      <c r="Q308" s="83"/>
    </row>
    <row r="309" spans="2:17" ht="17" x14ac:dyDescent="0.2">
      <c r="B309" s="138" t="s">
        <v>67</v>
      </c>
      <c r="C309" s="19" t="s">
        <v>40</v>
      </c>
      <c r="D309" s="101"/>
      <c r="E309" s="97"/>
      <c r="F309" s="98"/>
      <c r="G309" s="115"/>
      <c r="H309" s="61"/>
      <c r="I309" s="100"/>
      <c r="J309" s="98" t="s">
        <v>0</v>
      </c>
      <c r="K309" s="98"/>
      <c r="L309" s="221" t="s">
        <v>41</v>
      </c>
      <c r="M309" s="34" t="s">
        <v>478</v>
      </c>
      <c r="N309" s="67" t="s">
        <v>479</v>
      </c>
      <c r="O309" s="98"/>
      <c r="P309" s="83"/>
      <c r="Q309" s="83"/>
    </row>
    <row r="310" spans="2:17" ht="17" x14ac:dyDescent="0.2">
      <c r="B310" s="166" t="s">
        <v>68</v>
      </c>
      <c r="C310" s="19" t="s">
        <v>40</v>
      </c>
      <c r="D310" s="101"/>
      <c r="E310" s="97"/>
      <c r="F310" s="98"/>
      <c r="G310" s="115"/>
      <c r="H310" s="61"/>
      <c r="I310" s="100"/>
      <c r="J310" s="98" t="s">
        <v>0</v>
      </c>
      <c r="K310" s="98"/>
      <c r="L310" s="221" t="s">
        <v>41</v>
      </c>
      <c r="M310" s="34" t="s">
        <v>478</v>
      </c>
      <c r="N310" s="67" t="s">
        <v>479</v>
      </c>
      <c r="O310" s="98"/>
      <c r="P310" s="83"/>
      <c r="Q310" s="83"/>
    </row>
    <row r="311" spans="2:17" ht="17" x14ac:dyDescent="0.2">
      <c r="B311" s="166" t="s">
        <v>69</v>
      </c>
      <c r="C311" s="19" t="s">
        <v>40</v>
      </c>
      <c r="D311" s="101"/>
      <c r="E311" s="97"/>
      <c r="F311" s="98"/>
      <c r="G311" s="115"/>
      <c r="H311" s="61"/>
      <c r="I311" s="100"/>
      <c r="J311" s="109" t="s">
        <v>0</v>
      </c>
      <c r="K311" s="109"/>
      <c r="L311" s="221" t="s">
        <v>41</v>
      </c>
      <c r="M311" s="34" t="s">
        <v>478</v>
      </c>
      <c r="N311" s="67" t="s">
        <v>479</v>
      </c>
      <c r="O311" s="98"/>
      <c r="P311" s="83"/>
      <c r="Q311" s="83"/>
    </row>
    <row r="312" spans="2:17" ht="17" x14ac:dyDescent="0.2">
      <c r="B312" s="166" t="s">
        <v>70</v>
      </c>
      <c r="C312" s="19" t="s">
        <v>40</v>
      </c>
      <c r="D312" s="101"/>
      <c r="E312" s="97"/>
      <c r="F312" s="98"/>
      <c r="G312" s="115"/>
      <c r="H312" s="61"/>
      <c r="I312" s="100"/>
      <c r="J312" s="109" t="s">
        <v>0</v>
      </c>
      <c r="K312" s="109"/>
      <c r="L312" s="221" t="s">
        <v>41</v>
      </c>
      <c r="M312" s="34" t="s">
        <v>478</v>
      </c>
      <c r="N312" s="67" t="s">
        <v>479</v>
      </c>
      <c r="O312" s="98"/>
      <c r="P312" s="83"/>
      <c r="Q312" s="83"/>
    </row>
    <row r="313" spans="2:17" ht="17" x14ac:dyDescent="0.2">
      <c r="B313" s="138" t="s">
        <v>71</v>
      </c>
      <c r="C313" s="19" t="s">
        <v>40</v>
      </c>
      <c r="D313" s="101"/>
      <c r="E313" s="97"/>
      <c r="F313" s="98"/>
      <c r="G313" s="115"/>
      <c r="H313" s="61"/>
      <c r="I313" s="100"/>
      <c r="J313" s="109" t="s">
        <v>0</v>
      </c>
      <c r="K313" s="98"/>
      <c r="L313" s="221" t="s">
        <v>41</v>
      </c>
      <c r="M313" s="34" t="s">
        <v>478</v>
      </c>
      <c r="N313" s="67" t="s">
        <v>479</v>
      </c>
      <c r="O313" s="98"/>
      <c r="P313" s="118"/>
      <c r="Q313" s="83"/>
    </row>
    <row r="314" spans="2:17" ht="17" x14ac:dyDescent="0.2">
      <c r="B314" s="139" t="s">
        <v>72</v>
      </c>
      <c r="C314" s="19" t="s">
        <v>40</v>
      </c>
      <c r="D314" s="101"/>
      <c r="E314" s="97"/>
      <c r="F314" s="98"/>
      <c r="G314" s="115"/>
      <c r="H314" s="61"/>
      <c r="I314" s="100"/>
      <c r="J314" s="109" t="s">
        <v>0</v>
      </c>
      <c r="K314" s="109"/>
      <c r="L314" s="221" t="s">
        <v>41</v>
      </c>
      <c r="M314" s="34" t="s">
        <v>478</v>
      </c>
      <c r="N314" s="67" t="s">
        <v>479</v>
      </c>
      <c r="O314" s="114"/>
      <c r="P314" s="119"/>
      <c r="Q314" s="118"/>
    </row>
    <row r="315" spans="2:17" ht="17" x14ac:dyDescent="0.2">
      <c r="B315" s="166" t="s">
        <v>483</v>
      </c>
      <c r="C315" s="19" t="s">
        <v>40</v>
      </c>
      <c r="D315" s="101"/>
      <c r="E315" s="97"/>
      <c r="F315" s="98"/>
      <c r="G315" s="115"/>
      <c r="H315" s="61"/>
      <c r="I315" s="100"/>
      <c r="J315" s="109" t="s">
        <v>0</v>
      </c>
      <c r="K315" s="109"/>
      <c r="L315" s="221" t="s">
        <v>41</v>
      </c>
      <c r="M315" s="34" t="s">
        <v>478</v>
      </c>
      <c r="N315" s="67" t="s">
        <v>479</v>
      </c>
      <c r="O315" s="105"/>
      <c r="P315" s="83"/>
      <c r="Q315" s="119"/>
    </row>
    <row r="316" spans="2:17" ht="17" x14ac:dyDescent="0.2">
      <c r="B316" s="227" t="s">
        <v>484</v>
      </c>
      <c r="C316" s="19" t="s">
        <v>40</v>
      </c>
      <c r="D316" s="101"/>
      <c r="E316" s="97"/>
      <c r="F316" s="98"/>
      <c r="G316" s="115"/>
      <c r="H316" s="61"/>
      <c r="I316" s="100"/>
      <c r="J316" s="228" t="s">
        <v>0</v>
      </c>
      <c r="K316" s="109"/>
      <c r="L316" s="221" t="s">
        <v>41</v>
      </c>
      <c r="M316" s="34" t="s">
        <v>478</v>
      </c>
      <c r="N316" s="67" t="s">
        <v>479</v>
      </c>
      <c r="O316" s="83"/>
      <c r="P316" s="83"/>
      <c r="Q316" s="83"/>
    </row>
    <row r="317" spans="2:17" ht="17" x14ac:dyDescent="0.2">
      <c r="B317" s="167" t="s">
        <v>485</v>
      </c>
      <c r="C317" s="19" t="s">
        <v>40</v>
      </c>
      <c r="D317" s="101"/>
      <c r="E317" s="97"/>
      <c r="F317" s="98"/>
      <c r="G317" s="115"/>
      <c r="H317" s="61"/>
      <c r="I317" s="100"/>
      <c r="J317" s="109" t="s">
        <v>0</v>
      </c>
      <c r="K317" s="98"/>
      <c r="L317" s="221" t="s">
        <v>41</v>
      </c>
      <c r="M317" s="34" t="s">
        <v>478</v>
      </c>
      <c r="N317" s="67" t="s">
        <v>479</v>
      </c>
      <c r="O317" s="83"/>
      <c r="P317" s="83"/>
      <c r="Q317" s="83"/>
    </row>
    <row r="318" spans="2:17" ht="17" x14ac:dyDescent="0.2">
      <c r="B318" s="169" t="s">
        <v>486</v>
      </c>
      <c r="C318" s="19" t="s">
        <v>40</v>
      </c>
      <c r="D318" s="101"/>
      <c r="E318" s="97"/>
      <c r="F318" s="98"/>
      <c r="G318" s="115"/>
      <c r="H318" s="61"/>
      <c r="I318" s="100"/>
      <c r="J318" s="109"/>
      <c r="K318" s="109"/>
      <c r="L318" s="107"/>
      <c r="M318" s="6"/>
      <c r="N318" s="82"/>
      <c r="O318" s="83"/>
      <c r="P318" s="111"/>
      <c r="Q318" s="83"/>
    </row>
    <row r="319" spans="2:17" ht="17" x14ac:dyDescent="0.2">
      <c r="B319" s="167" t="s">
        <v>487</v>
      </c>
      <c r="C319" s="19" t="s">
        <v>40</v>
      </c>
      <c r="D319" s="101"/>
      <c r="E319" s="97"/>
      <c r="F319" s="98"/>
      <c r="G319" s="115"/>
      <c r="H319" s="61"/>
      <c r="I319" s="100"/>
      <c r="J319" s="109" t="s">
        <v>0</v>
      </c>
      <c r="K319" s="109"/>
      <c r="L319" s="221" t="s">
        <v>41</v>
      </c>
      <c r="M319" s="34" t="s">
        <v>478</v>
      </c>
      <c r="N319" s="67" t="s">
        <v>479</v>
      </c>
      <c r="O319" s="98"/>
      <c r="P319" s="83"/>
      <c r="Q319" s="111"/>
    </row>
    <row r="320" spans="2:17" ht="17" x14ac:dyDescent="0.2">
      <c r="B320" s="167" t="s">
        <v>488</v>
      </c>
      <c r="C320" s="19" t="s">
        <v>40</v>
      </c>
      <c r="D320" s="101"/>
      <c r="E320" s="97"/>
      <c r="F320" s="98"/>
      <c r="G320" s="115"/>
      <c r="H320" s="61"/>
      <c r="I320" s="100"/>
      <c r="J320" s="109" t="s">
        <v>0</v>
      </c>
      <c r="K320" s="109"/>
      <c r="L320" s="221" t="s">
        <v>41</v>
      </c>
      <c r="M320" s="34" t="s">
        <v>478</v>
      </c>
      <c r="N320" s="67" t="s">
        <v>479</v>
      </c>
      <c r="O320" s="98"/>
      <c r="P320" s="83"/>
      <c r="Q320" s="83"/>
    </row>
    <row r="321" spans="2:17" ht="17" x14ac:dyDescent="0.2">
      <c r="B321" s="167" t="s">
        <v>489</v>
      </c>
      <c r="C321" s="19" t="s">
        <v>40</v>
      </c>
      <c r="D321" s="101"/>
      <c r="E321" s="97"/>
      <c r="F321" s="98"/>
      <c r="G321" s="115"/>
      <c r="H321" s="61"/>
      <c r="I321" s="100"/>
      <c r="J321" s="109" t="s">
        <v>0</v>
      </c>
      <c r="K321" s="109"/>
      <c r="L321" s="221" t="s">
        <v>41</v>
      </c>
      <c r="M321" s="34" t="s">
        <v>478</v>
      </c>
      <c r="N321" s="67" t="s">
        <v>479</v>
      </c>
      <c r="O321" s="98"/>
      <c r="P321" s="83"/>
      <c r="Q321" s="83"/>
    </row>
    <row r="322" spans="2:17" ht="17" x14ac:dyDescent="0.2">
      <c r="B322" s="167" t="s">
        <v>490</v>
      </c>
      <c r="C322" s="19" t="s">
        <v>40</v>
      </c>
      <c r="D322" s="101"/>
      <c r="E322" s="97"/>
      <c r="F322" s="98"/>
      <c r="G322" s="115"/>
      <c r="H322" s="61"/>
      <c r="I322" s="100"/>
      <c r="J322" s="109" t="s">
        <v>0</v>
      </c>
      <c r="K322" s="109"/>
      <c r="L322" s="221" t="s">
        <v>41</v>
      </c>
      <c r="M322" s="34" t="s">
        <v>478</v>
      </c>
      <c r="N322" s="67" t="s">
        <v>479</v>
      </c>
      <c r="O322" s="98"/>
      <c r="P322" s="83"/>
      <c r="Q322" s="83"/>
    </row>
    <row r="323" spans="2:17" ht="17" x14ac:dyDescent="0.2">
      <c r="B323" s="147" t="s">
        <v>134</v>
      </c>
      <c r="C323" s="19" t="s">
        <v>40</v>
      </c>
      <c r="D323" s="101"/>
      <c r="E323" s="97"/>
      <c r="F323" s="98"/>
      <c r="G323" s="115"/>
      <c r="H323" s="61"/>
      <c r="I323" s="100"/>
      <c r="J323" s="109" t="s">
        <v>0</v>
      </c>
      <c r="K323" s="109"/>
      <c r="L323" s="221" t="s">
        <v>41</v>
      </c>
      <c r="M323" s="34" t="s">
        <v>478</v>
      </c>
      <c r="N323" s="67" t="s">
        <v>479</v>
      </c>
      <c r="O323" s="98"/>
      <c r="P323" s="83"/>
      <c r="Q323" s="83"/>
    </row>
    <row r="324" spans="2:17" ht="17" x14ac:dyDescent="0.2">
      <c r="B324" s="167" t="s">
        <v>491</v>
      </c>
      <c r="C324" s="19" t="s">
        <v>40</v>
      </c>
      <c r="D324" s="101"/>
      <c r="E324" s="97"/>
      <c r="F324" s="98"/>
      <c r="G324" s="115"/>
      <c r="H324" s="61"/>
      <c r="I324" s="100"/>
      <c r="J324" s="109" t="s">
        <v>0</v>
      </c>
      <c r="K324" s="109"/>
      <c r="L324" s="221" t="s">
        <v>41</v>
      </c>
      <c r="M324" s="34" t="s">
        <v>478</v>
      </c>
      <c r="N324" s="67" t="s">
        <v>479</v>
      </c>
      <c r="O324" s="98"/>
      <c r="P324" s="85"/>
      <c r="Q324" s="83"/>
    </row>
    <row r="325" spans="2:17" ht="17" x14ac:dyDescent="0.2">
      <c r="B325" s="167" t="s">
        <v>492</v>
      </c>
      <c r="C325" s="19" t="s">
        <v>40</v>
      </c>
      <c r="D325" s="101"/>
      <c r="E325" s="97"/>
      <c r="F325" s="98"/>
      <c r="G325" s="115"/>
      <c r="H325" s="61"/>
      <c r="I325" s="100"/>
      <c r="J325" s="109" t="s">
        <v>0</v>
      </c>
      <c r="K325" s="109"/>
      <c r="L325" s="221" t="s">
        <v>41</v>
      </c>
      <c r="M325" s="34" t="s">
        <v>478</v>
      </c>
      <c r="N325" s="67" t="s">
        <v>479</v>
      </c>
      <c r="O325" s="98"/>
      <c r="P325" s="83"/>
      <c r="Q325" s="85"/>
    </row>
    <row r="326" spans="2:17" ht="17" x14ac:dyDescent="0.2">
      <c r="B326" s="167" t="s">
        <v>493</v>
      </c>
      <c r="C326" s="19" t="s">
        <v>40</v>
      </c>
      <c r="D326" s="101"/>
      <c r="E326" s="97"/>
      <c r="F326" s="98"/>
      <c r="G326" s="115"/>
      <c r="H326" s="61"/>
      <c r="I326" s="100"/>
      <c r="J326" s="109" t="s">
        <v>0</v>
      </c>
      <c r="K326" s="109"/>
      <c r="L326" s="221" t="s">
        <v>41</v>
      </c>
      <c r="M326" s="34" t="s">
        <v>478</v>
      </c>
      <c r="N326" s="67" t="s">
        <v>479</v>
      </c>
      <c r="O326" s="114"/>
      <c r="P326" s="83"/>
      <c r="Q326" s="83"/>
    </row>
    <row r="327" spans="2:17" ht="17" x14ac:dyDescent="0.2">
      <c r="B327" s="166" t="s">
        <v>78</v>
      </c>
      <c r="C327" s="19" t="s">
        <v>40</v>
      </c>
      <c r="D327" s="101"/>
      <c r="E327" s="97"/>
      <c r="F327" s="98"/>
      <c r="G327" s="115"/>
      <c r="H327" s="61"/>
      <c r="I327" s="100"/>
      <c r="J327" s="109" t="s">
        <v>0</v>
      </c>
      <c r="K327" s="109"/>
      <c r="L327" s="221" t="s">
        <v>41</v>
      </c>
      <c r="M327" s="34" t="s">
        <v>478</v>
      </c>
      <c r="N327" s="67" t="s">
        <v>479</v>
      </c>
      <c r="O327" s="114"/>
      <c r="P327" s="83"/>
      <c r="Q327" s="83"/>
    </row>
    <row r="328" spans="2:17" ht="17" x14ac:dyDescent="0.2">
      <c r="B328" s="138" t="s">
        <v>79</v>
      </c>
      <c r="C328" s="19" t="s">
        <v>40</v>
      </c>
      <c r="D328" s="101"/>
      <c r="E328" s="97"/>
      <c r="F328" s="98"/>
      <c r="G328" s="115"/>
      <c r="H328" s="61"/>
      <c r="I328" s="100"/>
      <c r="J328" s="109" t="s">
        <v>0</v>
      </c>
      <c r="K328" s="98"/>
      <c r="L328" s="221" t="s">
        <v>41</v>
      </c>
      <c r="M328" s="34" t="s">
        <v>478</v>
      </c>
      <c r="N328" s="67" t="s">
        <v>479</v>
      </c>
      <c r="O328" s="114"/>
      <c r="P328" s="83"/>
      <c r="Q328" s="83"/>
    </row>
    <row r="329" spans="2:17" ht="17" x14ac:dyDescent="0.2">
      <c r="B329" s="138" t="s">
        <v>80</v>
      </c>
      <c r="C329" s="19" t="s">
        <v>40</v>
      </c>
      <c r="D329" s="101"/>
      <c r="E329" s="97"/>
      <c r="F329" s="98"/>
      <c r="G329" s="115"/>
      <c r="H329" s="61"/>
      <c r="I329" s="100"/>
      <c r="J329" s="109" t="s">
        <v>0</v>
      </c>
      <c r="K329" s="109"/>
      <c r="L329" s="221" t="s">
        <v>41</v>
      </c>
      <c r="M329" s="34" t="s">
        <v>478</v>
      </c>
      <c r="N329" s="67" t="s">
        <v>479</v>
      </c>
      <c r="O329" s="105"/>
      <c r="P329" s="83"/>
      <c r="Q329" s="83"/>
    </row>
    <row r="330" spans="2:17" ht="17" x14ac:dyDescent="0.2">
      <c r="B330" s="138" t="s">
        <v>81</v>
      </c>
      <c r="C330" s="19" t="s">
        <v>40</v>
      </c>
      <c r="D330" s="101"/>
      <c r="E330" s="97"/>
      <c r="F330" s="98"/>
      <c r="G330" s="115"/>
      <c r="H330" s="61"/>
      <c r="I330" s="100"/>
      <c r="J330" s="109" t="s">
        <v>0</v>
      </c>
      <c r="K330" s="98"/>
      <c r="L330" s="221" t="s">
        <v>41</v>
      </c>
      <c r="M330" s="34" t="s">
        <v>478</v>
      </c>
      <c r="N330" s="67" t="s">
        <v>479</v>
      </c>
      <c r="O330" s="83"/>
      <c r="P330" s="83"/>
      <c r="Q330" s="83"/>
    </row>
    <row r="331" spans="2:17" ht="17" x14ac:dyDescent="0.2">
      <c r="B331" s="138" t="s">
        <v>82</v>
      </c>
      <c r="C331" s="19" t="s">
        <v>40</v>
      </c>
      <c r="D331" s="101"/>
      <c r="E331" s="97"/>
      <c r="F331" s="98"/>
      <c r="G331" s="115"/>
      <c r="H331" s="61"/>
      <c r="I331" s="100"/>
      <c r="J331" s="109" t="s">
        <v>0</v>
      </c>
      <c r="K331" s="98"/>
      <c r="L331" s="221" t="s">
        <v>41</v>
      </c>
      <c r="M331" s="34" t="s">
        <v>478</v>
      </c>
      <c r="N331" s="67" t="s">
        <v>479</v>
      </c>
      <c r="O331" s="83"/>
      <c r="P331" s="83"/>
      <c r="Q331" s="83"/>
    </row>
    <row r="332" spans="2:17" ht="17" x14ac:dyDescent="0.2">
      <c r="B332" s="166" t="s">
        <v>494</v>
      </c>
      <c r="C332" s="19" t="s">
        <v>40</v>
      </c>
      <c r="D332" s="101"/>
      <c r="E332" s="97"/>
      <c r="F332" s="98"/>
      <c r="G332" s="117"/>
      <c r="H332" s="61"/>
      <c r="I332" s="100"/>
      <c r="J332" s="109" t="s">
        <v>0</v>
      </c>
      <c r="K332" s="98"/>
      <c r="L332" s="221" t="s">
        <v>41</v>
      </c>
      <c r="M332" s="34" t="s">
        <v>478</v>
      </c>
      <c r="N332" s="67" t="s">
        <v>479</v>
      </c>
      <c r="O332" s="83"/>
      <c r="P332" s="83"/>
      <c r="Q332" s="83"/>
    </row>
    <row r="333" spans="2:17" ht="17" x14ac:dyDescent="0.2">
      <c r="B333" s="166" t="s">
        <v>495</v>
      </c>
      <c r="C333" s="19" t="s">
        <v>40</v>
      </c>
      <c r="D333" s="101"/>
      <c r="E333" s="97"/>
      <c r="F333" s="98"/>
      <c r="G333" s="108"/>
      <c r="H333" s="61"/>
      <c r="I333" s="100"/>
      <c r="J333" s="109" t="s">
        <v>0</v>
      </c>
      <c r="K333" s="98"/>
      <c r="L333" s="221" t="s">
        <v>41</v>
      </c>
      <c r="M333" s="34" t="s">
        <v>478</v>
      </c>
      <c r="N333" s="67" t="s">
        <v>479</v>
      </c>
      <c r="O333" s="83"/>
      <c r="P333" s="83"/>
      <c r="Q333" s="83"/>
    </row>
    <row r="334" spans="2:17" ht="17" x14ac:dyDescent="0.2">
      <c r="B334" s="169" t="s">
        <v>496</v>
      </c>
      <c r="C334" s="19"/>
      <c r="D334" s="101"/>
      <c r="E334" s="97"/>
      <c r="F334" s="98"/>
      <c r="G334" s="108"/>
      <c r="H334" s="61"/>
      <c r="I334" s="100"/>
      <c r="J334" s="109"/>
      <c r="K334" s="98"/>
      <c r="L334" s="107"/>
      <c r="M334" s="6"/>
      <c r="N334" s="82"/>
      <c r="O334" s="83"/>
      <c r="P334" s="83"/>
      <c r="Q334" s="83"/>
    </row>
    <row r="335" spans="2:17" ht="17" x14ac:dyDescent="0.2">
      <c r="B335" s="168" t="s">
        <v>134</v>
      </c>
      <c r="C335" s="19" t="s">
        <v>40</v>
      </c>
      <c r="D335" s="101"/>
      <c r="E335" s="98"/>
      <c r="F335" s="98"/>
      <c r="G335" s="117"/>
      <c r="H335" s="61"/>
      <c r="I335" s="109"/>
      <c r="J335" s="109" t="s">
        <v>0</v>
      </c>
      <c r="K335" s="109"/>
      <c r="L335" s="221" t="s">
        <v>41</v>
      </c>
      <c r="M335" s="34" t="s">
        <v>478</v>
      </c>
      <c r="N335" s="67" t="s">
        <v>479</v>
      </c>
      <c r="O335" s="83"/>
      <c r="P335" s="83"/>
      <c r="Q335" s="83"/>
    </row>
    <row r="336" spans="2:17" ht="17" x14ac:dyDescent="0.2">
      <c r="B336" s="167" t="s">
        <v>497</v>
      </c>
      <c r="C336" s="19" t="s">
        <v>40</v>
      </c>
      <c r="D336" s="116"/>
      <c r="E336" s="98"/>
      <c r="F336" s="98"/>
      <c r="G336" s="117"/>
      <c r="H336" s="61"/>
      <c r="I336" s="109"/>
      <c r="J336" s="109" t="s">
        <v>0</v>
      </c>
      <c r="K336" s="109"/>
      <c r="L336" s="221" t="s">
        <v>41</v>
      </c>
      <c r="M336" s="34" t="s">
        <v>478</v>
      </c>
      <c r="N336" s="67" t="s">
        <v>479</v>
      </c>
      <c r="O336" s="98"/>
      <c r="P336" s="83"/>
      <c r="Q336" s="83"/>
    </row>
    <row r="337" spans="2:17" ht="17" x14ac:dyDescent="0.2">
      <c r="B337" s="166" t="s">
        <v>498</v>
      </c>
      <c r="C337" s="19" t="s">
        <v>40</v>
      </c>
      <c r="D337" s="116"/>
      <c r="E337" s="98"/>
      <c r="F337" s="98"/>
      <c r="G337" s="117"/>
      <c r="H337" s="61"/>
      <c r="I337" s="109"/>
      <c r="J337" s="109" t="s">
        <v>0</v>
      </c>
      <c r="K337" s="109"/>
      <c r="L337" s="221" t="s">
        <v>41</v>
      </c>
      <c r="M337" s="34" t="s">
        <v>478</v>
      </c>
      <c r="N337" s="67" t="s">
        <v>479</v>
      </c>
      <c r="O337" s="98"/>
      <c r="P337" s="83"/>
      <c r="Q337" s="83"/>
    </row>
    <row r="338" spans="2:17" ht="17" x14ac:dyDescent="0.2">
      <c r="B338" s="167" t="s">
        <v>499</v>
      </c>
      <c r="C338" s="19" t="s">
        <v>40</v>
      </c>
      <c r="D338" s="116"/>
      <c r="E338" s="98"/>
      <c r="F338" s="98"/>
      <c r="G338" s="117"/>
      <c r="H338" s="61"/>
      <c r="I338" s="109"/>
      <c r="J338" s="109" t="s">
        <v>0</v>
      </c>
      <c r="K338" s="109"/>
      <c r="L338" s="221" t="s">
        <v>41</v>
      </c>
      <c r="M338" s="34" t="s">
        <v>478</v>
      </c>
      <c r="N338" s="67" t="s">
        <v>479</v>
      </c>
      <c r="O338" s="98"/>
      <c r="P338" s="83"/>
      <c r="Q338" s="83"/>
    </row>
    <row r="339" spans="2:17" x14ac:dyDescent="0.2">
      <c r="B339" s="140" t="s">
        <v>86</v>
      </c>
      <c r="D339" s="116"/>
      <c r="E339" s="98"/>
      <c r="F339" s="98"/>
      <c r="G339" s="117"/>
      <c r="H339" s="61"/>
      <c r="I339" s="109"/>
      <c r="J339" s="109"/>
      <c r="K339" s="109"/>
      <c r="L339" s="108"/>
      <c r="M339" s="61"/>
      <c r="N339" s="109"/>
      <c r="O339" s="98"/>
      <c r="P339" s="83"/>
      <c r="Q339" s="83"/>
    </row>
    <row r="340" spans="2:17" x14ac:dyDescent="0.2">
      <c r="B340" s="140" t="s">
        <v>500</v>
      </c>
      <c r="D340" s="116"/>
      <c r="E340" s="97"/>
      <c r="F340" s="98"/>
      <c r="G340" s="117"/>
      <c r="H340" s="61"/>
      <c r="I340" s="100"/>
      <c r="J340" s="109"/>
      <c r="K340" s="98"/>
      <c r="L340" s="108"/>
      <c r="M340" s="61"/>
      <c r="N340" s="109"/>
      <c r="O340" s="98"/>
      <c r="P340" s="83"/>
      <c r="Q340" s="83"/>
    </row>
    <row r="341" spans="2:17" ht="17" x14ac:dyDescent="0.2">
      <c r="B341" s="141" t="s">
        <v>87</v>
      </c>
      <c r="C341" s="19" t="s">
        <v>40</v>
      </c>
      <c r="D341" s="101"/>
      <c r="E341" s="97"/>
      <c r="F341" s="98"/>
      <c r="G341" s="117"/>
      <c r="H341" s="61"/>
      <c r="I341" s="100"/>
      <c r="J341" s="109" t="s">
        <v>0</v>
      </c>
      <c r="K341" s="98"/>
      <c r="L341" s="221" t="s">
        <v>41</v>
      </c>
      <c r="M341" s="34" t="s">
        <v>478</v>
      </c>
      <c r="N341" s="67" t="s">
        <v>479</v>
      </c>
      <c r="O341" s="98"/>
      <c r="P341" s="83"/>
      <c r="Q341" s="83"/>
    </row>
    <row r="342" spans="2:17" ht="32" x14ac:dyDescent="0.2">
      <c r="B342" s="142" t="s">
        <v>102</v>
      </c>
      <c r="C342" s="19" t="s">
        <v>40</v>
      </c>
      <c r="D342" s="101"/>
      <c r="E342" s="97"/>
      <c r="F342" s="98"/>
      <c r="G342" s="117"/>
      <c r="H342" s="61"/>
      <c r="I342" s="100"/>
      <c r="J342" s="109" t="s">
        <v>0</v>
      </c>
      <c r="K342" s="98"/>
      <c r="L342" s="221" t="s">
        <v>41</v>
      </c>
      <c r="M342" s="34" t="s">
        <v>478</v>
      </c>
      <c r="N342" s="67" t="s">
        <v>479</v>
      </c>
      <c r="O342" s="114"/>
      <c r="P342" s="83"/>
      <c r="Q342" s="83"/>
    </row>
    <row r="343" spans="2:17" ht="48" x14ac:dyDescent="0.2">
      <c r="B343" s="143" t="s">
        <v>103</v>
      </c>
      <c r="C343" s="19" t="s">
        <v>40</v>
      </c>
      <c r="D343" s="101"/>
      <c r="E343" s="97"/>
      <c r="F343" s="98"/>
      <c r="G343" s="117"/>
      <c r="H343" s="61"/>
      <c r="I343" s="100"/>
      <c r="J343" s="109" t="s">
        <v>0</v>
      </c>
      <c r="K343" s="98"/>
      <c r="L343" s="221" t="s">
        <v>41</v>
      </c>
      <c r="M343" s="34" t="s">
        <v>478</v>
      </c>
      <c r="N343" s="67" t="s">
        <v>479</v>
      </c>
      <c r="O343" s="114"/>
      <c r="P343" s="83"/>
      <c r="Q343" s="83"/>
    </row>
    <row r="344" spans="2:17" ht="17" x14ac:dyDescent="0.2">
      <c r="B344" s="144" t="s">
        <v>96</v>
      </c>
      <c r="C344" s="19" t="s">
        <v>40</v>
      </c>
      <c r="D344" s="101"/>
      <c r="E344" s="97"/>
      <c r="F344" s="98"/>
      <c r="G344" s="117"/>
      <c r="H344" s="61"/>
      <c r="I344" s="100"/>
      <c r="J344" s="109" t="s">
        <v>0</v>
      </c>
      <c r="K344" s="98"/>
      <c r="L344" s="221" t="s">
        <v>41</v>
      </c>
      <c r="M344" s="34" t="s">
        <v>478</v>
      </c>
      <c r="N344" s="67" t="s">
        <v>479</v>
      </c>
      <c r="O344" s="114"/>
      <c r="P344" s="83"/>
      <c r="Q344" s="83"/>
    </row>
    <row r="345" spans="2:17" ht="32" x14ac:dyDescent="0.2">
      <c r="B345" s="143" t="s">
        <v>104</v>
      </c>
      <c r="C345" s="19" t="s">
        <v>40</v>
      </c>
      <c r="D345" s="101"/>
      <c r="E345" s="97"/>
      <c r="F345" s="98"/>
      <c r="G345" s="117"/>
      <c r="H345" s="61"/>
      <c r="I345" s="100"/>
      <c r="J345" s="109" t="s">
        <v>0</v>
      </c>
      <c r="K345" s="98"/>
      <c r="L345" s="221" t="s">
        <v>41</v>
      </c>
      <c r="M345" s="34" t="s">
        <v>478</v>
      </c>
      <c r="N345" s="67" t="s">
        <v>479</v>
      </c>
      <c r="O345" s="105"/>
      <c r="P345" s="83"/>
      <c r="Q345" s="83"/>
    </row>
    <row r="346" spans="2:17" ht="32" x14ac:dyDescent="0.2">
      <c r="B346" s="142" t="s">
        <v>105</v>
      </c>
      <c r="C346" s="19" t="s">
        <v>40</v>
      </c>
      <c r="D346" s="120"/>
      <c r="E346" s="97"/>
      <c r="F346" s="98"/>
      <c r="G346" s="117"/>
      <c r="H346" s="61"/>
      <c r="I346" s="100"/>
      <c r="J346" s="109" t="s">
        <v>0</v>
      </c>
      <c r="K346" s="98"/>
      <c r="L346" s="221" t="s">
        <v>41</v>
      </c>
      <c r="M346" s="34" t="s">
        <v>478</v>
      </c>
      <c r="N346" s="67" t="s">
        <v>479</v>
      </c>
      <c r="O346" s="83"/>
      <c r="P346" s="83"/>
      <c r="Q346" s="83"/>
    </row>
    <row r="347" spans="2:17" ht="17" x14ac:dyDescent="0.2">
      <c r="B347" s="144" t="s">
        <v>99</v>
      </c>
      <c r="C347" s="19" t="s">
        <v>40</v>
      </c>
      <c r="D347" s="116"/>
      <c r="E347" s="97"/>
      <c r="F347" s="98"/>
      <c r="G347" s="117"/>
      <c r="H347" s="61"/>
      <c r="I347" s="100"/>
      <c r="J347" s="109" t="s">
        <v>0</v>
      </c>
      <c r="K347" s="98"/>
      <c r="L347" s="221" t="s">
        <v>41</v>
      </c>
      <c r="M347" s="34" t="s">
        <v>478</v>
      </c>
      <c r="N347" s="67" t="s">
        <v>479</v>
      </c>
      <c r="O347" s="83"/>
      <c r="P347" s="83"/>
      <c r="Q347" s="83"/>
    </row>
    <row r="348" spans="2:17" ht="17" x14ac:dyDescent="0.2">
      <c r="B348" s="143" t="s">
        <v>106</v>
      </c>
      <c r="C348" s="19" t="s">
        <v>40</v>
      </c>
      <c r="D348" s="116"/>
      <c r="E348" s="97"/>
      <c r="F348" s="98"/>
      <c r="G348" s="117"/>
      <c r="H348" s="61"/>
      <c r="I348" s="100"/>
      <c r="J348" s="109" t="s">
        <v>0</v>
      </c>
      <c r="K348" s="98"/>
      <c r="L348" s="221" t="s">
        <v>41</v>
      </c>
      <c r="M348" s="34" t="s">
        <v>478</v>
      </c>
      <c r="N348" s="67" t="s">
        <v>479</v>
      </c>
      <c r="O348" s="83"/>
      <c r="P348" s="83"/>
      <c r="Q348" s="83"/>
    </row>
    <row r="349" spans="2:17" x14ac:dyDescent="0.2">
      <c r="B349" s="140" t="s">
        <v>101</v>
      </c>
      <c r="D349" s="116"/>
      <c r="E349" s="97"/>
      <c r="F349" s="98"/>
      <c r="G349" s="117"/>
      <c r="H349" s="61"/>
      <c r="I349" s="100"/>
      <c r="J349" s="109"/>
      <c r="K349" s="98"/>
      <c r="L349" s="108"/>
      <c r="M349" s="61"/>
      <c r="N349" s="109"/>
      <c r="O349" s="98"/>
      <c r="P349" s="85"/>
      <c r="Q349" s="83"/>
    </row>
    <row r="350" spans="2:17" ht="17" x14ac:dyDescent="0.2">
      <c r="B350" s="141" t="s">
        <v>87</v>
      </c>
      <c r="C350" s="19" t="s">
        <v>40</v>
      </c>
      <c r="D350" s="109"/>
      <c r="E350" s="97"/>
      <c r="F350" s="98"/>
      <c r="G350" s="117"/>
      <c r="H350" s="61"/>
      <c r="I350" s="100"/>
      <c r="J350" s="109" t="s">
        <v>0</v>
      </c>
      <c r="K350" s="98"/>
      <c r="L350" s="221" t="s">
        <v>41</v>
      </c>
      <c r="M350" s="34" t="s">
        <v>478</v>
      </c>
      <c r="N350" s="67" t="s">
        <v>479</v>
      </c>
      <c r="O350" s="98"/>
      <c r="P350" s="85"/>
      <c r="Q350" s="85"/>
    </row>
    <row r="351" spans="2:17" ht="32" x14ac:dyDescent="0.2">
      <c r="B351" s="142" t="s">
        <v>102</v>
      </c>
      <c r="C351" s="19" t="s">
        <v>40</v>
      </c>
      <c r="D351" s="109"/>
      <c r="E351" s="97"/>
      <c r="F351" s="98"/>
      <c r="G351" s="117"/>
      <c r="H351" s="61"/>
      <c r="I351" s="100"/>
      <c r="J351" s="109" t="s">
        <v>0</v>
      </c>
      <c r="K351" s="98"/>
      <c r="L351" s="221" t="s">
        <v>41</v>
      </c>
      <c r="M351" s="34" t="s">
        <v>478</v>
      </c>
      <c r="N351" s="67" t="s">
        <v>479</v>
      </c>
      <c r="O351" s="98"/>
      <c r="P351" s="83"/>
      <c r="Q351" s="85"/>
    </row>
    <row r="352" spans="2:17" ht="48" x14ac:dyDescent="0.2">
      <c r="B352" s="143" t="s">
        <v>108</v>
      </c>
      <c r="C352" s="19" t="s">
        <v>40</v>
      </c>
      <c r="D352" s="109"/>
      <c r="E352" s="97"/>
      <c r="F352" s="98"/>
      <c r="G352" s="117"/>
      <c r="H352" s="61"/>
      <c r="I352" s="100"/>
      <c r="J352" s="109" t="s">
        <v>0</v>
      </c>
      <c r="K352" s="98"/>
      <c r="L352" s="221" t="s">
        <v>41</v>
      </c>
      <c r="M352" s="34" t="s">
        <v>478</v>
      </c>
      <c r="N352" s="67" t="s">
        <v>479</v>
      </c>
      <c r="O352" s="98"/>
      <c r="P352" s="83"/>
      <c r="Q352" s="83"/>
    </row>
    <row r="353" spans="2:17" ht="17" x14ac:dyDescent="0.2">
      <c r="B353" s="144" t="s">
        <v>96</v>
      </c>
      <c r="C353" s="19" t="s">
        <v>40</v>
      </c>
      <c r="D353" s="109"/>
      <c r="E353" s="97"/>
      <c r="F353" s="98"/>
      <c r="G353" s="117"/>
      <c r="H353" s="61"/>
      <c r="I353" s="100"/>
      <c r="J353" s="109" t="s">
        <v>0</v>
      </c>
      <c r="K353" s="98"/>
      <c r="L353" s="221" t="s">
        <v>41</v>
      </c>
      <c r="M353" s="34" t="s">
        <v>478</v>
      </c>
      <c r="N353" s="67" t="s">
        <v>479</v>
      </c>
      <c r="O353" s="98"/>
      <c r="P353" s="83"/>
      <c r="Q353" s="83"/>
    </row>
    <row r="354" spans="2:17" ht="32" x14ac:dyDescent="0.2">
      <c r="B354" s="143" t="s">
        <v>109</v>
      </c>
      <c r="C354" s="19" t="s">
        <v>40</v>
      </c>
      <c r="D354" s="109"/>
      <c r="E354" s="97"/>
      <c r="F354" s="98"/>
      <c r="G354" s="117"/>
      <c r="H354" s="61"/>
      <c r="I354" s="100"/>
      <c r="J354" s="109" t="s">
        <v>0</v>
      </c>
      <c r="K354" s="98"/>
      <c r="L354" s="221" t="s">
        <v>41</v>
      </c>
      <c r="M354" s="34" t="s">
        <v>478</v>
      </c>
      <c r="N354" s="67" t="s">
        <v>479</v>
      </c>
      <c r="O354" s="98"/>
      <c r="P354" s="83"/>
      <c r="Q354" s="83"/>
    </row>
    <row r="355" spans="2:17" ht="32" x14ac:dyDescent="0.2">
      <c r="B355" s="142" t="s">
        <v>110</v>
      </c>
      <c r="C355" s="19" t="s">
        <v>40</v>
      </c>
      <c r="D355" s="109"/>
      <c r="E355" s="97"/>
      <c r="F355" s="98"/>
      <c r="G355" s="117"/>
      <c r="H355" s="61"/>
      <c r="I355" s="100"/>
      <c r="J355" s="109" t="s">
        <v>0</v>
      </c>
      <c r="K355" s="98"/>
      <c r="L355" s="221" t="s">
        <v>41</v>
      </c>
      <c r="M355" s="34" t="s">
        <v>478</v>
      </c>
      <c r="N355" s="67" t="s">
        <v>479</v>
      </c>
      <c r="O355" s="98"/>
      <c r="P355" s="85"/>
      <c r="Q355" s="83"/>
    </row>
    <row r="356" spans="2:17" ht="17" x14ac:dyDescent="0.2">
      <c r="B356" s="144" t="s">
        <v>99</v>
      </c>
      <c r="C356" s="19" t="s">
        <v>40</v>
      </c>
      <c r="D356" s="116"/>
      <c r="E356" s="97"/>
      <c r="F356" s="98"/>
      <c r="G356" s="117"/>
      <c r="H356" s="61"/>
      <c r="I356" s="100"/>
      <c r="J356" s="109" t="s">
        <v>0</v>
      </c>
      <c r="K356" s="98"/>
      <c r="L356" s="221" t="s">
        <v>41</v>
      </c>
      <c r="M356" s="34" t="s">
        <v>478</v>
      </c>
      <c r="N356" s="67" t="s">
        <v>479</v>
      </c>
      <c r="O356" s="114"/>
      <c r="P356" s="85"/>
      <c r="Q356" s="85"/>
    </row>
    <row r="357" spans="2:17" ht="17" x14ac:dyDescent="0.2">
      <c r="B357" s="143" t="s">
        <v>111</v>
      </c>
      <c r="C357" s="19" t="s">
        <v>40</v>
      </c>
      <c r="D357" s="116"/>
      <c r="E357" s="97"/>
      <c r="F357" s="98"/>
      <c r="G357" s="108"/>
      <c r="H357" s="61"/>
      <c r="I357" s="100"/>
      <c r="J357" s="109" t="s">
        <v>0</v>
      </c>
      <c r="K357" s="98"/>
      <c r="L357" s="221" t="s">
        <v>41</v>
      </c>
      <c r="M357" s="34" t="s">
        <v>478</v>
      </c>
      <c r="N357" s="67" t="s">
        <v>479</v>
      </c>
      <c r="O357" s="114"/>
      <c r="P357" s="85"/>
      <c r="Q357" s="85"/>
    </row>
    <row r="358" spans="2:17" x14ac:dyDescent="0.2">
      <c r="B358" s="140" t="s">
        <v>107</v>
      </c>
      <c r="D358" s="116"/>
      <c r="E358" s="97"/>
      <c r="F358" s="98"/>
      <c r="G358" s="108"/>
      <c r="H358" s="61"/>
      <c r="I358" s="100"/>
      <c r="J358" s="109"/>
      <c r="K358" s="98"/>
      <c r="L358" s="112"/>
      <c r="M358" s="87"/>
      <c r="N358" s="113"/>
      <c r="O358" s="114"/>
      <c r="P358" s="83"/>
      <c r="Q358" s="85"/>
    </row>
    <row r="359" spans="2:17" ht="17" x14ac:dyDescent="0.2">
      <c r="B359" s="141" t="s">
        <v>87</v>
      </c>
      <c r="C359" s="19" t="s">
        <v>40</v>
      </c>
      <c r="D359" s="116"/>
      <c r="E359" s="97"/>
      <c r="F359" s="98"/>
      <c r="G359" s="108"/>
      <c r="H359" s="61"/>
      <c r="I359" s="100"/>
      <c r="J359" s="109" t="s">
        <v>0</v>
      </c>
      <c r="K359" s="98"/>
      <c r="L359" s="221" t="s">
        <v>41</v>
      </c>
      <c r="M359" s="34" t="s">
        <v>478</v>
      </c>
      <c r="N359" s="67" t="s">
        <v>479</v>
      </c>
      <c r="O359" s="114"/>
      <c r="P359" s="83"/>
      <c r="Q359" s="83"/>
    </row>
    <row r="360" spans="2:17" ht="32" x14ac:dyDescent="0.2">
      <c r="B360" s="142" t="s">
        <v>102</v>
      </c>
      <c r="C360" s="19" t="s">
        <v>40</v>
      </c>
      <c r="D360" s="116"/>
      <c r="E360" s="97"/>
      <c r="F360" s="98"/>
      <c r="G360" s="108"/>
      <c r="H360" s="61"/>
      <c r="I360" s="100"/>
      <c r="J360" s="109" t="s">
        <v>0</v>
      </c>
      <c r="K360" s="98"/>
      <c r="L360" s="221" t="s">
        <v>41</v>
      </c>
      <c r="M360" s="34" t="s">
        <v>478</v>
      </c>
      <c r="N360" s="67" t="s">
        <v>479</v>
      </c>
      <c r="O360" s="114"/>
      <c r="P360" s="83"/>
      <c r="Q360" s="83"/>
    </row>
    <row r="361" spans="2:17" ht="48" x14ac:dyDescent="0.2">
      <c r="B361" s="143" t="s">
        <v>113</v>
      </c>
      <c r="C361" s="19" t="s">
        <v>40</v>
      </c>
      <c r="D361" s="116"/>
      <c r="E361" s="97"/>
      <c r="F361" s="98"/>
      <c r="G361" s="108"/>
      <c r="H361" s="61"/>
      <c r="I361" s="100"/>
      <c r="J361" s="109" t="s">
        <v>0</v>
      </c>
      <c r="K361" s="98"/>
      <c r="L361" s="221" t="s">
        <v>41</v>
      </c>
      <c r="M361" s="34" t="s">
        <v>478</v>
      </c>
      <c r="N361" s="67" t="s">
        <v>479</v>
      </c>
      <c r="O361" s="114"/>
      <c r="P361" s="83"/>
      <c r="Q361" s="83"/>
    </row>
    <row r="362" spans="2:17" ht="17" x14ac:dyDescent="0.2">
      <c r="B362" s="144" t="s">
        <v>96</v>
      </c>
      <c r="C362" s="19" t="s">
        <v>40</v>
      </c>
      <c r="D362" s="116"/>
      <c r="E362" s="97"/>
      <c r="F362" s="98"/>
      <c r="G362" s="108"/>
      <c r="H362" s="61"/>
      <c r="I362" s="100"/>
      <c r="J362" s="109" t="s">
        <v>0</v>
      </c>
      <c r="K362" s="98"/>
      <c r="L362" s="221" t="s">
        <v>41</v>
      </c>
      <c r="M362" s="34" t="s">
        <v>478</v>
      </c>
      <c r="N362" s="67" t="s">
        <v>479</v>
      </c>
      <c r="O362" s="114"/>
      <c r="P362" s="83"/>
      <c r="Q362" s="83"/>
    </row>
    <row r="363" spans="2:17" ht="32" x14ac:dyDescent="0.2">
      <c r="B363" s="143" t="s">
        <v>97</v>
      </c>
      <c r="C363" s="19" t="s">
        <v>40</v>
      </c>
      <c r="D363" s="116"/>
      <c r="E363" s="97"/>
      <c r="F363" s="98"/>
      <c r="G363" s="108"/>
      <c r="H363" s="61"/>
      <c r="I363" s="100"/>
      <c r="J363" s="109" t="s">
        <v>0</v>
      </c>
      <c r="K363" s="98"/>
      <c r="L363" s="221" t="s">
        <v>41</v>
      </c>
      <c r="M363" s="34" t="s">
        <v>478</v>
      </c>
      <c r="N363" s="67" t="s">
        <v>479</v>
      </c>
      <c r="O363" s="114"/>
      <c r="P363" s="83"/>
      <c r="Q363" s="83"/>
    </row>
    <row r="364" spans="2:17" ht="32" x14ac:dyDescent="0.2">
      <c r="B364" s="142" t="s">
        <v>114</v>
      </c>
      <c r="C364" s="19" t="s">
        <v>40</v>
      </c>
      <c r="D364" s="116"/>
      <c r="E364" s="97"/>
      <c r="F364" s="98"/>
      <c r="G364" s="108"/>
      <c r="H364" s="61"/>
      <c r="I364" s="100"/>
      <c r="J364" s="109" t="s">
        <v>0</v>
      </c>
      <c r="K364" s="121"/>
      <c r="L364" s="221" t="s">
        <v>41</v>
      </c>
      <c r="M364" s="34" t="s">
        <v>478</v>
      </c>
      <c r="N364" s="67" t="s">
        <v>479</v>
      </c>
      <c r="O364" s="114"/>
      <c r="P364" s="83"/>
      <c r="Q364" s="83"/>
    </row>
    <row r="365" spans="2:17" ht="17" x14ac:dyDescent="0.2">
      <c r="B365" s="144" t="s">
        <v>99</v>
      </c>
      <c r="C365" s="19" t="s">
        <v>40</v>
      </c>
      <c r="D365" s="116"/>
      <c r="E365" s="97"/>
      <c r="F365" s="98"/>
      <c r="G365" s="108"/>
      <c r="H365" s="61"/>
      <c r="I365" s="100"/>
      <c r="J365" s="109" t="s">
        <v>0</v>
      </c>
      <c r="K365" s="98"/>
      <c r="L365" s="221" t="s">
        <v>41</v>
      </c>
      <c r="M365" s="34" t="s">
        <v>478</v>
      </c>
      <c r="N365" s="67" t="s">
        <v>479</v>
      </c>
      <c r="O365" s="114"/>
      <c r="P365" s="83"/>
      <c r="Q365" s="83"/>
    </row>
    <row r="366" spans="2:17" ht="17" x14ac:dyDescent="0.2">
      <c r="B366" s="143" t="s">
        <v>115</v>
      </c>
      <c r="C366" s="19" t="s">
        <v>40</v>
      </c>
      <c r="D366" s="116"/>
      <c r="E366" s="97"/>
      <c r="F366" s="98"/>
      <c r="G366" s="108"/>
      <c r="H366" s="61"/>
      <c r="I366" s="100"/>
      <c r="J366" s="109" t="s">
        <v>0</v>
      </c>
      <c r="K366" s="121"/>
      <c r="L366" s="221" t="s">
        <v>41</v>
      </c>
      <c r="M366" s="34" t="s">
        <v>478</v>
      </c>
      <c r="N366" s="67" t="s">
        <v>479</v>
      </c>
      <c r="O366" s="105"/>
      <c r="P366" s="83"/>
      <c r="Q366" s="83"/>
    </row>
    <row r="367" spans="2:17" ht="17" x14ac:dyDescent="0.2">
      <c r="B367" s="128" t="s">
        <v>121</v>
      </c>
      <c r="C367" s="19"/>
      <c r="D367" s="116"/>
      <c r="E367" s="97"/>
      <c r="F367" s="98"/>
      <c r="G367" s="108"/>
      <c r="H367" s="61"/>
      <c r="I367" s="100"/>
      <c r="J367" s="109"/>
      <c r="K367" s="121"/>
      <c r="L367" s="107"/>
      <c r="M367" s="6"/>
      <c r="N367" s="82"/>
      <c r="O367" s="83"/>
      <c r="P367" s="83"/>
      <c r="Q367" s="83"/>
    </row>
    <row r="368" spans="2:17" ht="17" x14ac:dyDescent="0.2">
      <c r="B368" s="145" t="s">
        <v>122</v>
      </c>
      <c r="C368" s="19" t="s">
        <v>40</v>
      </c>
      <c r="D368" s="116"/>
      <c r="E368" s="97"/>
      <c r="F368" s="98"/>
      <c r="G368" s="108"/>
      <c r="H368" s="61"/>
      <c r="I368" s="100"/>
      <c r="J368" s="109" t="s">
        <v>0</v>
      </c>
      <c r="K368" s="121"/>
      <c r="L368" s="221" t="s">
        <v>41</v>
      </c>
      <c r="M368" s="34" t="s">
        <v>478</v>
      </c>
      <c r="N368" s="67" t="s">
        <v>479</v>
      </c>
      <c r="O368" s="83"/>
      <c r="P368" s="85"/>
      <c r="Q368" s="83"/>
    </row>
    <row r="369" spans="2:17" ht="17" x14ac:dyDescent="0.2">
      <c r="B369" s="167" t="s">
        <v>123</v>
      </c>
      <c r="C369" s="19" t="s">
        <v>40</v>
      </c>
      <c r="D369" s="116"/>
      <c r="E369" s="97"/>
      <c r="F369" s="98"/>
      <c r="G369" s="108"/>
      <c r="H369" s="61"/>
      <c r="I369" s="100"/>
      <c r="J369" s="109" t="s">
        <v>0</v>
      </c>
      <c r="K369" s="121"/>
      <c r="L369" s="221" t="s">
        <v>41</v>
      </c>
      <c r="M369" s="34" t="s">
        <v>478</v>
      </c>
      <c r="N369" s="67" t="s">
        <v>479</v>
      </c>
      <c r="O369" s="83"/>
      <c r="P369" s="83"/>
      <c r="Q369" s="85"/>
    </row>
    <row r="370" spans="2:17" ht="17" x14ac:dyDescent="0.2">
      <c r="B370" s="167" t="s">
        <v>124</v>
      </c>
      <c r="C370" s="19" t="s">
        <v>40</v>
      </c>
      <c r="D370" s="116"/>
      <c r="E370" s="97"/>
      <c r="F370" s="98"/>
      <c r="G370" s="108"/>
      <c r="H370" s="61"/>
      <c r="I370" s="100"/>
      <c r="J370" s="109" t="s">
        <v>0</v>
      </c>
      <c r="K370" s="98"/>
      <c r="L370" s="221" t="s">
        <v>41</v>
      </c>
      <c r="M370" s="34" t="s">
        <v>478</v>
      </c>
      <c r="N370" s="67" t="s">
        <v>479</v>
      </c>
      <c r="O370" s="83"/>
      <c r="P370" s="83"/>
      <c r="Q370" s="83"/>
    </row>
    <row r="371" spans="2:17" ht="17" x14ac:dyDescent="0.2">
      <c r="B371" s="139" t="s">
        <v>125</v>
      </c>
      <c r="C371" s="19" t="s">
        <v>40</v>
      </c>
      <c r="D371" s="116"/>
      <c r="E371" s="97"/>
      <c r="F371" s="98"/>
      <c r="G371" s="108"/>
      <c r="H371" s="61"/>
      <c r="I371" s="100"/>
      <c r="J371" s="109" t="s">
        <v>0</v>
      </c>
      <c r="K371" s="121"/>
      <c r="L371" s="221" t="s">
        <v>41</v>
      </c>
      <c r="M371" s="34" t="s">
        <v>478</v>
      </c>
      <c r="N371" s="67" t="s">
        <v>479</v>
      </c>
      <c r="O371" s="98"/>
      <c r="P371" s="105"/>
      <c r="Q371" s="83"/>
    </row>
    <row r="372" spans="2:17" ht="17" x14ac:dyDescent="0.2">
      <c r="B372" s="145" t="s">
        <v>126</v>
      </c>
      <c r="C372" s="19" t="s">
        <v>40</v>
      </c>
      <c r="D372" s="116"/>
      <c r="E372" s="97"/>
      <c r="F372" s="98"/>
      <c r="G372" s="108"/>
      <c r="H372" s="61"/>
      <c r="I372" s="100"/>
      <c r="J372" s="109"/>
      <c r="K372" s="121"/>
      <c r="L372" s="221"/>
      <c r="N372" s="67"/>
      <c r="O372" s="98"/>
      <c r="P372" s="105"/>
      <c r="Q372" s="105"/>
    </row>
    <row r="373" spans="2:17" ht="17" x14ac:dyDescent="0.2">
      <c r="B373" s="138" t="s">
        <v>127</v>
      </c>
      <c r="C373" s="19" t="s">
        <v>40</v>
      </c>
      <c r="D373" s="116"/>
      <c r="E373" s="97"/>
      <c r="F373" s="98"/>
      <c r="G373" s="108"/>
      <c r="H373" s="61"/>
      <c r="I373" s="100"/>
      <c r="J373" s="109" t="s">
        <v>0</v>
      </c>
      <c r="K373" s="121"/>
      <c r="L373" s="221" t="s">
        <v>41</v>
      </c>
      <c r="M373" s="34" t="s">
        <v>478</v>
      </c>
      <c r="N373" s="67" t="s">
        <v>479</v>
      </c>
      <c r="O373" s="98"/>
      <c r="P373" s="83"/>
      <c r="Q373" s="105"/>
    </row>
    <row r="374" spans="2:17" ht="17" x14ac:dyDescent="0.2">
      <c r="B374" s="138" t="s">
        <v>128</v>
      </c>
      <c r="C374" s="19" t="s">
        <v>40</v>
      </c>
      <c r="D374" s="116"/>
      <c r="E374" s="97"/>
      <c r="F374" s="98"/>
      <c r="G374" s="108"/>
      <c r="H374" s="61"/>
      <c r="I374" s="100"/>
      <c r="J374" s="109" t="s">
        <v>0</v>
      </c>
      <c r="K374" s="121"/>
      <c r="L374" s="221" t="s">
        <v>41</v>
      </c>
      <c r="M374" s="34" t="s">
        <v>478</v>
      </c>
      <c r="N374" s="67" t="s">
        <v>479</v>
      </c>
      <c r="O374" s="98"/>
      <c r="P374" s="83"/>
      <c r="Q374" s="83"/>
    </row>
    <row r="375" spans="2:17" ht="17" x14ac:dyDescent="0.2">
      <c r="B375" s="146" t="s">
        <v>129</v>
      </c>
      <c r="C375" s="19" t="s">
        <v>40</v>
      </c>
      <c r="D375" s="116"/>
      <c r="E375" s="97"/>
      <c r="F375" s="98"/>
      <c r="G375" s="108"/>
      <c r="H375" s="61"/>
      <c r="I375" s="100"/>
      <c r="J375" s="109" t="s">
        <v>0</v>
      </c>
      <c r="K375" s="121"/>
      <c r="L375" s="221" t="s">
        <v>41</v>
      </c>
      <c r="M375" s="34" t="s">
        <v>478</v>
      </c>
      <c r="N375" s="67" t="s">
        <v>479</v>
      </c>
      <c r="O375" s="98"/>
      <c r="P375" s="83"/>
      <c r="Q375" s="83"/>
    </row>
    <row r="376" spans="2:17" ht="17" x14ac:dyDescent="0.2">
      <c r="B376" s="138" t="s">
        <v>130</v>
      </c>
      <c r="C376" s="19" t="s">
        <v>40</v>
      </c>
      <c r="D376" s="116"/>
      <c r="E376" s="97"/>
      <c r="F376" s="98"/>
      <c r="G376" s="108"/>
      <c r="H376" s="61"/>
      <c r="I376" s="100"/>
      <c r="J376" s="109" t="s">
        <v>0</v>
      </c>
      <c r="K376" s="121"/>
      <c r="L376" s="221" t="s">
        <v>41</v>
      </c>
      <c r="M376" s="34" t="s">
        <v>478</v>
      </c>
      <c r="N376" s="67" t="s">
        <v>479</v>
      </c>
      <c r="O376" s="98"/>
      <c r="P376" s="83"/>
      <c r="Q376" s="83"/>
    </row>
    <row r="377" spans="2:17" ht="17" x14ac:dyDescent="0.2">
      <c r="B377" s="168" t="s">
        <v>501</v>
      </c>
      <c r="C377" s="19" t="s">
        <v>40</v>
      </c>
      <c r="D377" s="116"/>
      <c r="E377" s="97"/>
      <c r="F377" s="98"/>
      <c r="G377" s="108"/>
      <c r="H377" s="61"/>
      <c r="I377" s="100"/>
      <c r="J377" s="109" t="s">
        <v>0</v>
      </c>
      <c r="K377" s="121"/>
      <c r="L377" s="221" t="s">
        <v>41</v>
      </c>
      <c r="M377" s="34" t="s">
        <v>478</v>
      </c>
      <c r="N377" s="67" t="s">
        <v>479</v>
      </c>
      <c r="O377" s="98"/>
      <c r="P377" s="83"/>
      <c r="Q377" s="83"/>
    </row>
    <row r="378" spans="2:17" ht="17" x14ac:dyDescent="0.2">
      <c r="B378" s="147" t="s">
        <v>132</v>
      </c>
      <c r="C378" s="19" t="s">
        <v>40</v>
      </c>
      <c r="D378" s="116"/>
      <c r="E378" s="97"/>
      <c r="F378" s="98"/>
      <c r="G378" s="108"/>
      <c r="H378" s="61"/>
      <c r="I378" s="100"/>
      <c r="J378" s="109" t="s">
        <v>0</v>
      </c>
      <c r="K378" s="121"/>
      <c r="L378" s="221" t="s">
        <v>41</v>
      </c>
      <c r="M378" s="34" t="s">
        <v>478</v>
      </c>
      <c r="N378" s="67" t="s">
        <v>479</v>
      </c>
      <c r="O378" s="98"/>
      <c r="P378" s="83"/>
      <c r="Q378" s="83"/>
    </row>
    <row r="379" spans="2:17" ht="17" x14ac:dyDescent="0.2">
      <c r="B379" s="147" t="s">
        <v>134</v>
      </c>
      <c r="C379" s="19" t="s">
        <v>40</v>
      </c>
      <c r="D379" s="116"/>
      <c r="E379" s="97"/>
      <c r="F379" s="98"/>
      <c r="G379" s="108"/>
      <c r="H379" s="61"/>
      <c r="I379" s="100"/>
      <c r="J379" s="109" t="s">
        <v>0</v>
      </c>
      <c r="K379" s="98"/>
      <c r="L379" s="221" t="s">
        <v>41</v>
      </c>
      <c r="M379" s="34" t="s">
        <v>478</v>
      </c>
      <c r="N379" s="67" t="s">
        <v>479</v>
      </c>
      <c r="O379" s="98"/>
      <c r="P379" s="83"/>
      <c r="Q379" s="83"/>
    </row>
    <row r="380" spans="2:17" ht="17" x14ac:dyDescent="0.2">
      <c r="B380" s="147" t="s">
        <v>136</v>
      </c>
      <c r="C380" s="19" t="s">
        <v>40</v>
      </c>
      <c r="D380" s="116"/>
      <c r="E380" s="97"/>
      <c r="F380" s="98"/>
      <c r="G380" s="108"/>
      <c r="H380" s="61"/>
      <c r="I380" s="100"/>
      <c r="J380" s="109" t="s">
        <v>0</v>
      </c>
      <c r="K380" s="98"/>
      <c r="L380" s="221" t="s">
        <v>41</v>
      </c>
      <c r="M380" s="34" t="s">
        <v>478</v>
      </c>
      <c r="N380" s="67" t="s">
        <v>479</v>
      </c>
      <c r="O380" s="114"/>
      <c r="P380" s="83"/>
      <c r="Q380" s="83"/>
    </row>
    <row r="381" spans="2:17" ht="23" x14ac:dyDescent="0.3">
      <c r="B381" s="148" t="s">
        <v>137</v>
      </c>
      <c r="C381" s="19"/>
      <c r="D381" s="116"/>
      <c r="E381" s="97"/>
      <c r="F381" s="98"/>
      <c r="G381" s="108"/>
      <c r="H381" s="61"/>
      <c r="I381" s="100"/>
      <c r="J381" s="109"/>
      <c r="K381" s="98"/>
      <c r="L381" s="112"/>
      <c r="M381" s="87"/>
      <c r="N381" s="113"/>
      <c r="O381" s="114"/>
      <c r="P381" s="83"/>
      <c r="Q381" s="83"/>
    </row>
    <row r="382" spans="2:17" ht="23" x14ac:dyDescent="0.3">
      <c r="B382" s="148" t="s">
        <v>138</v>
      </c>
      <c r="C382" s="19"/>
      <c r="D382" s="116"/>
      <c r="E382" s="97"/>
      <c r="F382" s="98"/>
      <c r="G382" s="108"/>
      <c r="H382" s="61"/>
      <c r="I382" s="100"/>
      <c r="J382" s="98"/>
      <c r="K382" s="98"/>
      <c r="L382" s="112"/>
      <c r="M382" s="87"/>
      <c r="N382" s="113"/>
      <c r="O382" s="114"/>
      <c r="P382" s="83"/>
      <c r="Q382" s="83"/>
    </row>
    <row r="383" spans="2:17" ht="17" x14ac:dyDescent="0.2">
      <c r="B383" s="168" t="s">
        <v>139</v>
      </c>
      <c r="C383" s="19" t="s">
        <v>40</v>
      </c>
      <c r="D383" s="116"/>
      <c r="E383" s="97"/>
      <c r="F383" s="98"/>
      <c r="G383" s="108"/>
      <c r="H383" s="61"/>
      <c r="I383" s="100"/>
      <c r="J383" s="109" t="s">
        <v>0</v>
      </c>
      <c r="K383" s="98"/>
      <c r="L383" s="221" t="s">
        <v>41</v>
      </c>
      <c r="M383" s="34" t="s">
        <v>478</v>
      </c>
      <c r="N383" s="67" t="s">
        <v>479</v>
      </c>
      <c r="O383" s="105"/>
      <c r="P383" s="83"/>
      <c r="Q383" s="83"/>
    </row>
    <row r="384" spans="2:17" ht="17" x14ac:dyDescent="0.2">
      <c r="B384" s="147" t="s">
        <v>140</v>
      </c>
      <c r="C384" s="19" t="s">
        <v>40</v>
      </c>
      <c r="D384" s="101"/>
      <c r="E384" s="97"/>
      <c r="F384" s="98"/>
      <c r="G384" s="108"/>
      <c r="H384" s="61"/>
      <c r="I384" s="100"/>
      <c r="J384" s="109" t="s">
        <v>0</v>
      </c>
      <c r="K384" s="98"/>
      <c r="L384" s="221" t="s">
        <v>41</v>
      </c>
      <c r="M384" s="34" t="s">
        <v>478</v>
      </c>
      <c r="N384" s="67" t="s">
        <v>479</v>
      </c>
      <c r="O384" s="83"/>
      <c r="P384" s="83"/>
      <c r="Q384" s="83"/>
    </row>
    <row r="385" spans="2:17" ht="17" x14ac:dyDescent="0.2">
      <c r="B385" s="147" t="s">
        <v>141</v>
      </c>
      <c r="C385" s="19" t="s">
        <v>40</v>
      </c>
      <c r="D385" s="101"/>
      <c r="E385" s="97"/>
      <c r="F385" s="98"/>
      <c r="G385" s="108"/>
      <c r="H385" s="60"/>
      <c r="I385" s="100"/>
      <c r="J385" s="109" t="s">
        <v>0</v>
      </c>
      <c r="K385" s="98"/>
      <c r="L385" s="221" t="s">
        <v>41</v>
      </c>
      <c r="M385" s="34" t="s">
        <v>478</v>
      </c>
      <c r="N385" s="67" t="s">
        <v>479</v>
      </c>
      <c r="O385" s="83"/>
      <c r="P385" s="83"/>
      <c r="Q385" s="83"/>
    </row>
    <row r="386" spans="2:17" ht="17" x14ac:dyDescent="0.2">
      <c r="B386" s="147" t="s">
        <v>142</v>
      </c>
      <c r="C386" s="19" t="s">
        <v>40</v>
      </c>
      <c r="D386" s="101"/>
      <c r="E386" s="97"/>
      <c r="F386" s="98"/>
      <c r="G386" s="108"/>
      <c r="H386" s="60"/>
      <c r="I386" s="100"/>
      <c r="J386" s="109" t="s">
        <v>0</v>
      </c>
      <c r="K386" s="98"/>
      <c r="L386" s="221" t="s">
        <v>41</v>
      </c>
      <c r="M386" s="34" t="s">
        <v>478</v>
      </c>
      <c r="N386" s="67" t="s">
        <v>479</v>
      </c>
      <c r="O386" s="83"/>
      <c r="P386" s="83"/>
      <c r="Q386" s="83"/>
    </row>
    <row r="387" spans="2:17" ht="17" x14ac:dyDescent="0.2">
      <c r="B387" s="147" t="s">
        <v>143</v>
      </c>
      <c r="C387" s="19" t="s">
        <v>40</v>
      </c>
      <c r="D387" s="101"/>
      <c r="E387" s="97"/>
      <c r="F387" s="98"/>
      <c r="G387" s="108"/>
      <c r="H387" s="60"/>
      <c r="I387" s="100"/>
      <c r="J387" s="109" t="s">
        <v>0</v>
      </c>
      <c r="K387" s="98"/>
      <c r="L387" s="221" t="s">
        <v>41</v>
      </c>
      <c r="M387" s="34" t="s">
        <v>478</v>
      </c>
      <c r="N387" s="67" t="s">
        <v>479</v>
      </c>
      <c r="O387" s="83"/>
      <c r="P387" s="83"/>
      <c r="Q387" s="83"/>
    </row>
    <row r="388" spans="2:17" ht="23" x14ac:dyDescent="0.3">
      <c r="B388" s="148" t="s">
        <v>144</v>
      </c>
      <c r="C388" s="19"/>
      <c r="D388" s="101"/>
      <c r="E388" s="98"/>
      <c r="F388" s="98"/>
      <c r="G388" s="108"/>
      <c r="H388" s="60"/>
      <c r="I388" s="109"/>
      <c r="J388" s="98"/>
      <c r="K388" s="98"/>
      <c r="L388" s="107"/>
      <c r="M388" s="6"/>
      <c r="N388" s="82"/>
      <c r="O388" s="83"/>
      <c r="P388" s="83"/>
      <c r="Q388" s="83"/>
    </row>
    <row r="389" spans="2:17" ht="17" x14ac:dyDescent="0.2">
      <c r="B389" s="168" t="s">
        <v>145</v>
      </c>
      <c r="C389" s="19" t="s">
        <v>40</v>
      </c>
      <c r="D389" s="101"/>
      <c r="E389" s="98"/>
      <c r="F389" s="98"/>
      <c r="G389" s="108"/>
      <c r="H389" s="60"/>
      <c r="I389" s="109"/>
      <c r="J389" s="109" t="s">
        <v>0</v>
      </c>
      <c r="K389" s="98"/>
      <c r="L389" s="221" t="s">
        <v>41</v>
      </c>
      <c r="M389" s="34" t="s">
        <v>478</v>
      </c>
      <c r="N389" s="67" t="s">
        <v>479</v>
      </c>
      <c r="O389" s="83"/>
      <c r="P389" s="83"/>
      <c r="Q389" s="83"/>
    </row>
    <row r="390" spans="2:17" ht="17" x14ac:dyDescent="0.2">
      <c r="B390" s="168" t="s">
        <v>146</v>
      </c>
      <c r="C390" s="19" t="s">
        <v>40</v>
      </c>
      <c r="D390" s="101"/>
      <c r="E390" s="98"/>
      <c r="F390" s="98"/>
      <c r="G390" s="108"/>
      <c r="H390" s="60"/>
      <c r="I390" s="109"/>
      <c r="J390" s="109" t="s">
        <v>0</v>
      </c>
      <c r="K390" s="98"/>
      <c r="L390" s="221" t="s">
        <v>41</v>
      </c>
      <c r="M390" s="34" t="s">
        <v>478</v>
      </c>
      <c r="N390" s="67" t="s">
        <v>479</v>
      </c>
      <c r="O390" s="83"/>
      <c r="P390" s="83"/>
      <c r="Q390" s="83"/>
    </row>
    <row r="391" spans="2:17" ht="17" x14ac:dyDescent="0.2">
      <c r="B391" s="168" t="s">
        <v>147</v>
      </c>
      <c r="C391" s="19" t="s">
        <v>40</v>
      </c>
      <c r="D391" s="101"/>
      <c r="E391" s="97"/>
      <c r="F391" s="98"/>
      <c r="G391" s="108"/>
      <c r="H391" s="60"/>
      <c r="I391" s="109"/>
      <c r="J391" s="109" t="s">
        <v>0</v>
      </c>
      <c r="K391" s="98"/>
      <c r="L391" s="221" t="s">
        <v>41</v>
      </c>
      <c r="M391" s="34" t="s">
        <v>478</v>
      </c>
      <c r="N391" s="67" t="s">
        <v>479</v>
      </c>
      <c r="O391" s="98"/>
      <c r="P391" s="83"/>
      <c r="Q391" s="83"/>
    </row>
    <row r="392" spans="2:17" ht="17" x14ac:dyDescent="0.2">
      <c r="B392" s="168" t="s">
        <v>148</v>
      </c>
      <c r="C392" s="19" t="s">
        <v>40</v>
      </c>
      <c r="D392" s="101"/>
      <c r="E392" s="97"/>
      <c r="F392" s="98"/>
      <c r="G392" s="108"/>
      <c r="H392" s="60"/>
      <c r="I392" s="109"/>
      <c r="J392" s="109" t="s">
        <v>0</v>
      </c>
      <c r="K392" s="98"/>
      <c r="L392" s="221" t="s">
        <v>41</v>
      </c>
      <c r="M392" s="34" t="s">
        <v>478</v>
      </c>
      <c r="N392" s="67" t="s">
        <v>479</v>
      </c>
      <c r="O392" s="98"/>
      <c r="P392" s="83"/>
      <c r="Q392" s="83"/>
    </row>
    <row r="393" spans="2:17" ht="17" x14ac:dyDescent="0.2">
      <c r="B393" s="168" t="s">
        <v>149</v>
      </c>
      <c r="C393" s="19" t="s">
        <v>40</v>
      </c>
      <c r="D393" s="101"/>
      <c r="E393" s="97"/>
      <c r="F393" s="98"/>
      <c r="G393" s="108"/>
      <c r="H393" s="60"/>
      <c r="I393" s="109"/>
      <c r="J393" s="109" t="s">
        <v>0</v>
      </c>
      <c r="K393" s="98"/>
      <c r="L393" s="221" t="s">
        <v>41</v>
      </c>
      <c r="M393" s="34" t="s">
        <v>478</v>
      </c>
      <c r="N393" s="67" t="s">
        <v>479</v>
      </c>
      <c r="O393" s="98"/>
      <c r="P393" s="83"/>
      <c r="Q393" s="83"/>
    </row>
    <row r="394" spans="2:17" ht="20" x14ac:dyDescent="0.2">
      <c r="B394" s="177" t="s">
        <v>51</v>
      </c>
      <c r="C394" s="19"/>
      <c r="D394" s="116"/>
      <c r="E394" s="97"/>
      <c r="F394" s="116"/>
      <c r="G394" s="108"/>
      <c r="H394" s="60"/>
      <c r="I394" s="109"/>
      <c r="J394" s="109"/>
      <c r="K394" s="98"/>
      <c r="L394" s="108"/>
      <c r="M394" s="61"/>
      <c r="N394" s="109"/>
      <c r="O394" s="98"/>
      <c r="P394" s="83"/>
      <c r="Q394" s="83"/>
    </row>
    <row r="395" spans="2:17" ht="17" x14ac:dyDescent="0.2">
      <c r="B395" s="176" t="s">
        <v>502</v>
      </c>
      <c r="D395" s="116"/>
      <c r="E395" s="97"/>
      <c r="F395" s="116"/>
      <c r="G395" s="108"/>
      <c r="H395" s="60"/>
      <c r="I395" s="109"/>
      <c r="J395" s="98"/>
      <c r="K395" s="98"/>
      <c r="L395" s="108"/>
      <c r="M395" s="61"/>
      <c r="N395" s="109"/>
      <c r="O395" s="98"/>
      <c r="P395" s="83"/>
      <c r="Q395" s="83"/>
    </row>
    <row r="396" spans="2:17" ht="17" x14ac:dyDescent="0.2">
      <c r="B396" s="132" t="s">
        <v>60</v>
      </c>
      <c r="C396" s="19"/>
      <c r="D396" s="101"/>
      <c r="E396" s="97"/>
      <c r="F396" s="98"/>
      <c r="G396" s="108"/>
      <c r="H396" s="60"/>
      <c r="I396" s="109"/>
      <c r="J396" s="98"/>
      <c r="K396" s="98"/>
      <c r="L396" s="108"/>
      <c r="M396" s="61"/>
      <c r="N396" s="109"/>
      <c r="O396" s="98"/>
      <c r="P396" s="83"/>
      <c r="Q396" s="83"/>
    </row>
    <row r="397" spans="2:17" ht="17" x14ac:dyDescent="0.2">
      <c r="B397" s="135" t="s">
        <v>61</v>
      </c>
      <c r="C397" s="19" t="s">
        <v>40</v>
      </c>
      <c r="D397" s="101"/>
      <c r="E397" s="97"/>
      <c r="F397" s="98"/>
      <c r="G397" s="108"/>
      <c r="H397" s="60"/>
      <c r="I397" s="109"/>
      <c r="J397" s="98" t="s">
        <v>0</v>
      </c>
      <c r="K397" s="98"/>
      <c r="L397" s="221" t="s">
        <v>41</v>
      </c>
      <c r="M397" s="34" t="s">
        <v>478</v>
      </c>
      <c r="N397" s="67" t="s">
        <v>479</v>
      </c>
      <c r="O397" s="98"/>
      <c r="P397" s="83"/>
      <c r="Q397" s="83"/>
    </row>
    <row r="398" spans="2:17" ht="17" x14ac:dyDescent="0.2">
      <c r="B398" s="136" t="s">
        <v>62</v>
      </c>
      <c r="C398" s="19" t="s">
        <v>40</v>
      </c>
      <c r="D398" s="101"/>
      <c r="E398" s="98"/>
      <c r="F398" s="98"/>
      <c r="G398" s="108"/>
      <c r="H398" s="60"/>
      <c r="I398" s="109"/>
      <c r="J398" s="98" t="s">
        <v>0</v>
      </c>
      <c r="K398" s="98"/>
      <c r="L398" s="221" t="s">
        <v>41</v>
      </c>
      <c r="M398" s="34" t="s">
        <v>478</v>
      </c>
      <c r="N398" s="67" t="s">
        <v>479</v>
      </c>
      <c r="O398" s="98"/>
      <c r="P398" s="83"/>
      <c r="Q398" s="83"/>
    </row>
    <row r="399" spans="2:17" ht="99" customHeight="1" x14ac:dyDescent="0.2">
      <c r="B399" s="137" t="s">
        <v>63</v>
      </c>
      <c r="C399" s="19" t="s">
        <v>40</v>
      </c>
      <c r="D399" s="101"/>
      <c r="E399" s="98"/>
      <c r="F399" s="98"/>
      <c r="G399" s="108"/>
      <c r="H399" s="60"/>
      <c r="I399" s="100"/>
      <c r="J399" s="98" t="s">
        <v>0</v>
      </c>
      <c r="K399" s="98"/>
      <c r="L399" s="221" t="s">
        <v>41</v>
      </c>
      <c r="M399" s="34" t="s">
        <v>478</v>
      </c>
      <c r="N399" s="67" t="s">
        <v>479</v>
      </c>
      <c r="O399" s="98"/>
      <c r="P399" s="83"/>
      <c r="Q399" s="83"/>
    </row>
    <row r="400" spans="2:17" ht="17" x14ac:dyDescent="0.2">
      <c r="B400" s="136" t="s">
        <v>64</v>
      </c>
      <c r="C400" s="19" t="s">
        <v>40</v>
      </c>
      <c r="D400" s="101"/>
      <c r="E400" s="98"/>
      <c r="F400" s="98"/>
      <c r="G400" s="108"/>
      <c r="H400" s="60"/>
      <c r="I400" s="100"/>
      <c r="J400" s="98" t="s">
        <v>0</v>
      </c>
      <c r="K400" s="98"/>
      <c r="L400" s="221" t="s">
        <v>41</v>
      </c>
      <c r="M400" s="34" t="s">
        <v>478</v>
      </c>
      <c r="N400" s="67" t="s">
        <v>479</v>
      </c>
      <c r="O400" s="98"/>
      <c r="P400" s="83"/>
      <c r="Q400" s="83"/>
    </row>
    <row r="401" spans="2:17" ht="20" x14ac:dyDescent="0.25">
      <c r="B401" s="149" t="s">
        <v>150</v>
      </c>
      <c r="C401" s="19"/>
      <c r="D401" s="101"/>
      <c r="E401" s="98"/>
      <c r="F401" s="98"/>
      <c r="G401" s="108"/>
      <c r="H401" s="60"/>
      <c r="I401" s="109"/>
      <c r="J401" s="109"/>
      <c r="K401" s="98"/>
      <c r="L401" s="108"/>
      <c r="M401" s="61"/>
      <c r="N401" s="109"/>
      <c r="O401" s="98"/>
      <c r="P401" s="83"/>
      <c r="Q401" s="83"/>
    </row>
    <row r="402" spans="2:17" x14ac:dyDescent="0.2">
      <c r="B402" s="150" t="s">
        <v>151</v>
      </c>
      <c r="C402" s="19"/>
      <c r="D402" s="101"/>
      <c r="E402" s="98"/>
      <c r="F402" s="98"/>
      <c r="G402" s="108"/>
      <c r="H402" s="60"/>
      <c r="I402" s="109"/>
      <c r="J402" s="109"/>
      <c r="K402" s="98"/>
      <c r="L402" s="108"/>
      <c r="M402" s="61"/>
      <c r="N402" s="109"/>
      <c r="O402" s="98"/>
      <c r="P402" s="83"/>
      <c r="Q402" s="83"/>
    </row>
    <row r="403" spans="2:17" ht="17" x14ac:dyDescent="0.2">
      <c r="B403" s="151" t="s">
        <v>152</v>
      </c>
      <c r="C403" s="19" t="s">
        <v>40</v>
      </c>
      <c r="D403" s="101"/>
      <c r="E403" s="98"/>
      <c r="F403" s="98"/>
      <c r="G403" s="108"/>
      <c r="H403" s="60"/>
      <c r="I403" s="109"/>
      <c r="J403" s="109" t="s">
        <v>0</v>
      </c>
      <c r="K403" s="98"/>
      <c r="L403" s="221" t="s">
        <v>41</v>
      </c>
      <c r="M403" s="34" t="s">
        <v>478</v>
      </c>
      <c r="N403" s="67" t="s">
        <v>479</v>
      </c>
      <c r="O403" s="98"/>
      <c r="P403" s="83"/>
      <c r="Q403" s="83"/>
    </row>
    <row r="404" spans="2:17" ht="17" x14ac:dyDescent="0.2">
      <c r="B404" s="151" t="s">
        <v>153</v>
      </c>
      <c r="C404" s="19" t="s">
        <v>40</v>
      </c>
      <c r="D404" s="101"/>
      <c r="E404" s="101"/>
      <c r="F404" s="98"/>
      <c r="G404" s="108"/>
      <c r="H404" s="61"/>
      <c r="I404" s="122"/>
      <c r="J404" s="98" t="s">
        <v>0</v>
      </c>
      <c r="K404" s="109"/>
      <c r="L404" s="221" t="s">
        <v>41</v>
      </c>
      <c r="M404" s="34" t="s">
        <v>478</v>
      </c>
      <c r="N404" s="67" t="s">
        <v>479</v>
      </c>
      <c r="O404" s="98"/>
      <c r="P404" s="98"/>
      <c r="Q404" s="83"/>
    </row>
    <row r="405" spans="2:17" ht="17" x14ac:dyDescent="0.2">
      <c r="B405" s="152" t="s">
        <v>154</v>
      </c>
      <c r="C405" s="19" t="s">
        <v>40</v>
      </c>
      <c r="J405" s="34" t="s">
        <v>0</v>
      </c>
      <c r="L405" s="221" t="s">
        <v>41</v>
      </c>
      <c r="M405" s="34" t="s">
        <v>478</v>
      </c>
      <c r="N405" s="67" t="s">
        <v>479</v>
      </c>
    </row>
    <row r="406" spans="2:17" ht="17" x14ac:dyDescent="0.2">
      <c r="B406" s="143" t="s">
        <v>155</v>
      </c>
      <c r="C406" s="19" t="s">
        <v>40</v>
      </c>
      <c r="J406" s="34" t="s">
        <v>0</v>
      </c>
      <c r="L406" s="221" t="s">
        <v>41</v>
      </c>
      <c r="M406" s="34" t="s">
        <v>478</v>
      </c>
      <c r="N406" s="67" t="s">
        <v>479</v>
      </c>
    </row>
    <row r="407" spans="2:17" x14ac:dyDescent="0.2">
      <c r="B407" s="153" t="s">
        <v>156</v>
      </c>
    </row>
    <row r="408" spans="2:17" x14ac:dyDescent="0.2">
      <c r="B408" s="153" t="s">
        <v>157</v>
      </c>
      <c r="C408" s="19"/>
    </row>
    <row r="409" spans="2:17" ht="17" x14ac:dyDescent="0.2">
      <c r="B409" s="154" t="s">
        <v>158</v>
      </c>
      <c r="C409" s="19" t="s">
        <v>40</v>
      </c>
      <c r="J409" s="34" t="s">
        <v>0</v>
      </c>
      <c r="L409" s="221" t="s">
        <v>41</v>
      </c>
      <c r="M409" s="34" t="s">
        <v>478</v>
      </c>
      <c r="N409" s="67" t="s">
        <v>479</v>
      </c>
    </row>
    <row r="410" spans="2:17" ht="17" x14ac:dyDescent="0.2">
      <c r="B410" s="155" t="s">
        <v>159</v>
      </c>
      <c r="C410" s="19" t="s">
        <v>40</v>
      </c>
      <c r="J410" s="34" t="s">
        <v>0</v>
      </c>
      <c r="L410" s="221" t="s">
        <v>41</v>
      </c>
      <c r="M410" s="34" t="s">
        <v>478</v>
      </c>
      <c r="N410" s="67" t="s">
        <v>479</v>
      </c>
    </row>
    <row r="411" spans="2:17" ht="17" x14ac:dyDescent="0.2">
      <c r="B411" s="151" t="s">
        <v>160</v>
      </c>
      <c r="C411" s="19" t="s">
        <v>40</v>
      </c>
      <c r="J411" s="34" t="s">
        <v>0</v>
      </c>
      <c r="L411" s="221" t="s">
        <v>41</v>
      </c>
      <c r="M411" s="34" t="s">
        <v>478</v>
      </c>
      <c r="N411" s="67" t="s">
        <v>479</v>
      </c>
    </row>
    <row r="412" spans="2:17" x14ac:dyDescent="0.2">
      <c r="B412" s="153" t="s">
        <v>161</v>
      </c>
      <c r="C412" s="19"/>
    </row>
    <row r="413" spans="2:17" x14ac:dyDescent="0.2">
      <c r="B413" s="156" t="s">
        <v>162</v>
      </c>
      <c r="C413" s="19"/>
    </row>
    <row r="414" spans="2:17" ht="48" x14ac:dyDescent="0.2">
      <c r="B414" s="151" t="s">
        <v>163</v>
      </c>
      <c r="C414" s="19" t="s">
        <v>40</v>
      </c>
      <c r="J414" s="34" t="s">
        <v>0</v>
      </c>
      <c r="L414" s="221" t="s">
        <v>41</v>
      </c>
      <c r="M414" s="34" t="s">
        <v>478</v>
      </c>
      <c r="N414" s="67" t="s">
        <v>479</v>
      </c>
    </row>
    <row r="415" spans="2:17" ht="17" x14ac:dyDescent="0.2">
      <c r="B415" s="138" t="s">
        <v>164</v>
      </c>
      <c r="C415" s="19" t="s">
        <v>40</v>
      </c>
      <c r="J415" s="34" t="s">
        <v>0</v>
      </c>
      <c r="L415" s="221" t="s">
        <v>41</v>
      </c>
      <c r="M415" s="34" t="s">
        <v>478</v>
      </c>
      <c r="N415" s="67" t="s">
        <v>479</v>
      </c>
    </row>
    <row r="416" spans="2:17" x14ac:dyDescent="0.2">
      <c r="B416" s="156" t="s">
        <v>165</v>
      </c>
      <c r="C416" s="19"/>
    </row>
    <row r="417" spans="2:14" ht="48" x14ac:dyDescent="0.2">
      <c r="B417" s="151" t="s">
        <v>166</v>
      </c>
      <c r="C417" s="19" t="s">
        <v>40</v>
      </c>
      <c r="J417" s="34" t="s">
        <v>0</v>
      </c>
      <c r="L417" s="221" t="s">
        <v>41</v>
      </c>
      <c r="M417" s="34" t="s">
        <v>478</v>
      </c>
      <c r="N417" s="67" t="s">
        <v>479</v>
      </c>
    </row>
    <row r="418" spans="2:14" ht="17" x14ac:dyDescent="0.2">
      <c r="B418" s="138" t="s">
        <v>167</v>
      </c>
      <c r="C418" s="19" t="s">
        <v>40</v>
      </c>
      <c r="J418" s="34" t="s">
        <v>0</v>
      </c>
      <c r="L418" s="221" t="s">
        <v>41</v>
      </c>
      <c r="M418" s="34" t="s">
        <v>478</v>
      </c>
      <c r="N418" s="67" t="s">
        <v>479</v>
      </c>
    </row>
    <row r="419" spans="2:14" x14ac:dyDescent="0.2">
      <c r="B419" s="157" t="s">
        <v>168</v>
      </c>
    </row>
    <row r="420" spans="2:14" ht="51" x14ac:dyDescent="0.2">
      <c r="B420" s="158" t="s">
        <v>169</v>
      </c>
      <c r="C420" s="19" t="s">
        <v>40</v>
      </c>
      <c r="J420" s="34" t="s">
        <v>0</v>
      </c>
      <c r="L420" s="221" t="s">
        <v>41</v>
      </c>
      <c r="M420" s="34" t="s">
        <v>478</v>
      </c>
      <c r="N420" s="67" t="s">
        <v>479</v>
      </c>
    </row>
    <row r="421" spans="2:14" ht="17" x14ac:dyDescent="0.2">
      <c r="B421" s="159" t="s">
        <v>170</v>
      </c>
      <c r="C421" s="19" t="s">
        <v>40</v>
      </c>
      <c r="J421" s="34" t="s">
        <v>0</v>
      </c>
      <c r="L421" s="221" t="s">
        <v>41</v>
      </c>
      <c r="M421" s="34" t="s">
        <v>478</v>
      </c>
      <c r="N421" s="67" t="s">
        <v>479</v>
      </c>
    </row>
    <row r="422" spans="2:14" x14ac:dyDescent="0.2">
      <c r="B422" s="157" t="s">
        <v>171</v>
      </c>
      <c r="C422" s="19"/>
    </row>
    <row r="423" spans="2:14" ht="48" x14ac:dyDescent="0.2">
      <c r="B423" s="144" t="s">
        <v>172</v>
      </c>
      <c r="C423" s="19" t="s">
        <v>40</v>
      </c>
      <c r="J423" s="34" t="s">
        <v>0</v>
      </c>
      <c r="L423" s="221" t="s">
        <v>41</v>
      </c>
      <c r="M423" s="34" t="s">
        <v>478</v>
      </c>
      <c r="N423" s="67" t="s">
        <v>479</v>
      </c>
    </row>
    <row r="424" spans="2:14" ht="17" x14ac:dyDescent="0.2">
      <c r="B424" s="160" t="s">
        <v>173</v>
      </c>
      <c r="C424" s="19" t="s">
        <v>40</v>
      </c>
      <c r="J424" s="34" t="s">
        <v>0</v>
      </c>
      <c r="L424" s="221" t="s">
        <v>41</v>
      </c>
      <c r="M424" s="34" t="s">
        <v>478</v>
      </c>
      <c r="N424" s="67" t="s">
        <v>479</v>
      </c>
    </row>
    <row r="425" spans="2:14" ht="17" x14ac:dyDescent="0.2">
      <c r="B425" s="161" t="s">
        <v>174</v>
      </c>
    </row>
    <row r="426" spans="2:14" ht="51" x14ac:dyDescent="0.2">
      <c r="B426" s="161" t="s">
        <v>175</v>
      </c>
      <c r="C426" s="19"/>
    </row>
    <row r="427" spans="2:14" ht="17" x14ac:dyDescent="0.2">
      <c r="B427" s="131" t="s">
        <v>176</v>
      </c>
      <c r="C427" s="19" t="s">
        <v>40</v>
      </c>
      <c r="J427" s="34" t="s">
        <v>0</v>
      </c>
      <c r="L427" s="221" t="s">
        <v>41</v>
      </c>
      <c r="M427" s="34" t="s">
        <v>478</v>
      </c>
      <c r="N427" s="67" t="s">
        <v>479</v>
      </c>
    </row>
    <row r="428" spans="2:14" ht="17" x14ac:dyDescent="0.2">
      <c r="B428" s="160" t="s">
        <v>177</v>
      </c>
      <c r="C428" s="19" t="s">
        <v>40</v>
      </c>
      <c r="J428" s="34" t="s">
        <v>0</v>
      </c>
      <c r="L428" s="221" t="s">
        <v>41</v>
      </c>
      <c r="M428" s="34" t="s">
        <v>478</v>
      </c>
      <c r="N428" s="67" t="s">
        <v>479</v>
      </c>
    </row>
    <row r="429" spans="2:14" ht="17" x14ac:dyDescent="0.2">
      <c r="B429" s="131" t="s">
        <v>178</v>
      </c>
      <c r="C429" s="19" t="s">
        <v>40</v>
      </c>
      <c r="J429" s="34" t="s">
        <v>0</v>
      </c>
      <c r="L429" s="221" t="s">
        <v>41</v>
      </c>
      <c r="M429" s="34" t="s">
        <v>478</v>
      </c>
      <c r="N429" s="67" t="s">
        <v>479</v>
      </c>
    </row>
    <row r="430" spans="2:14" ht="68" x14ac:dyDescent="0.2">
      <c r="B430" s="165" t="s">
        <v>289</v>
      </c>
      <c r="C430" s="19" t="s">
        <v>40</v>
      </c>
      <c r="J430" s="34" t="s">
        <v>0</v>
      </c>
      <c r="L430" s="221" t="s">
        <v>41</v>
      </c>
      <c r="M430" s="34" t="s">
        <v>478</v>
      </c>
      <c r="N430" s="67" t="s">
        <v>479</v>
      </c>
    </row>
    <row r="431" spans="2:14" ht="17" x14ac:dyDescent="0.2">
      <c r="B431" s="131" t="s">
        <v>180</v>
      </c>
      <c r="C431" s="19" t="s">
        <v>40</v>
      </c>
      <c r="J431" s="34" t="s">
        <v>0</v>
      </c>
      <c r="L431" s="221" t="s">
        <v>41</v>
      </c>
      <c r="M431" s="34" t="s">
        <v>478</v>
      </c>
      <c r="N431" s="67" t="s">
        <v>479</v>
      </c>
    </row>
    <row r="432" spans="2:14" ht="68" x14ac:dyDescent="0.2">
      <c r="B432" s="165" t="s">
        <v>503</v>
      </c>
      <c r="C432" s="19" t="s">
        <v>40</v>
      </c>
      <c r="J432" s="34" t="s">
        <v>0</v>
      </c>
      <c r="L432" s="221" t="s">
        <v>41</v>
      </c>
      <c r="M432" s="34" t="s">
        <v>478</v>
      </c>
      <c r="N432" s="67" t="s">
        <v>479</v>
      </c>
    </row>
    <row r="433" spans="2:14" ht="17" x14ac:dyDescent="0.2">
      <c r="B433" s="160" t="s">
        <v>182</v>
      </c>
      <c r="C433" s="19" t="s">
        <v>40</v>
      </c>
      <c r="J433" s="34" t="s">
        <v>0</v>
      </c>
      <c r="L433" s="221" t="s">
        <v>41</v>
      </c>
      <c r="M433" s="34" t="s">
        <v>478</v>
      </c>
      <c r="N433" s="67" t="s">
        <v>479</v>
      </c>
    </row>
    <row r="434" spans="2:14" ht="68" x14ac:dyDescent="0.2">
      <c r="B434" s="160" t="s">
        <v>504</v>
      </c>
      <c r="C434" s="19" t="s">
        <v>40</v>
      </c>
      <c r="J434" s="34" t="s">
        <v>0</v>
      </c>
      <c r="L434" s="221" t="s">
        <v>41</v>
      </c>
      <c r="M434" s="34" t="s">
        <v>478</v>
      </c>
      <c r="N434" s="67" t="s">
        <v>479</v>
      </c>
    </row>
    <row r="435" spans="2:14" ht="17" x14ac:dyDescent="0.2">
      <c r="B435" s="162" t="s">
        <v>184</v>
      </c>
      <c r="C435" s="19" t="s">
        <v>40</v>
      </c>
      <c r="J435" s="34" t="s">
        <v>0</v>
      </c>
      <c r="L435" s="221" t="s">
        <v>41</v>
      </c>
      <c r="M435" s="34" t="s">
        <v>478</v>
      </c>
      <c r="N435" s="67" t="s">
        <v>479</v>
      </c>
    </row>
    <row r="436" spans="2:14" ht="17" x14ac:dyDescent="0.2">
      <c r="B436" s="162" t="s">
        <v>185</v>
      </c>
      <c r="C436" s="19" t="s">
        <v>40</v>
      </c>
      <c r="J436" s="34" t="s">
        <v>0</v>
      </c>
      <c r="L436" s="221" t="s">
        <v>41</v>
      </c>
      <c r="M436" s="34" t="s">
        <v>478</v>
      </c>
      <c r="N436" s="67" t="s">
        <v>479</v>
      </c>
    </row>
    <row r="439" spans="2:14" ht="92" x14ac:dyDescent="0.2">
      <c r="B439" s="170" t="s">
        <v>509</v>
      </c>
      <c r="C439" s="19"/>
    </row>
    <row r="440" spans="2:14" ht="17" x14ac:dyDescent="0.2">
      <c r="B440" s="127" t="s">
        <v>31</v>
      </c>
      <c r="C440" s="19"/>
    </row>
    <row r="441" spans="2:14" ht="17" x14ac:dyDescent="0.2">
      <c r="B441" s="127" t="s">
        <v>32</v>
      </c>
    </row>
    <row r="442" spans="2:14" ht="17" x14ac:dyDescent="0.2">
      <c r="B442" s="128" t="s">
        <v>33</v>
      </c>
    </row>
    <row r="443" spans="2:14" ht="17" x14ac:dyDescent="0.2">
      <c r="B443" s="127" t="s">
        <v>34</v>
      </c>
      <c r="C443" s="19"/>
    </row>
    <row r="444" spans="2:14" ht="17" x14ac:dyDescent="0.2">
      <c r="B444" s="163" t="s">
        <v>475</v>
      </c>
      <c r="C444" s="19"/>
    </row>
    <row r="445" spans="2:14" ht="17" x14ac:dyDescent="0.2">
      <c r="B445" s="163" t="s">
        <v>510</v>
      </c>
      <c r="C445" s="19"/>
    </row>
    <row r="446" spans="2:14" ht="34" x14ac:dyDescent="0.2">
      <c r="B446" s="163" t="s">
        <v>476</v>
      </c>
      <c r="C446" s="19"/>
    </row>
    <row r="447" spans="2:14" ht="17" x14ac:dyDescent="0.2">
      <c r="B447" s="129" t="s">
        <v>36</v>
      </c>
      <c r="C447" s="19"/>
    </row>
    <row r="448" spans="2:14" ht="17" x14ac:dyDescent="0.2">
      <c r="B448" s="129" t="s">
        <v>37</v>
      </c>
      <c r="C448" s="19"/>
    </row>
    <row r="449" spans="2:14" ht="17" x14ac:dyDescent="0.2">
      <c r="B449" s="128" t="s">
        <v>38</v>
      </c>
      <c r="C449" s="19"/>
    </row>
    <row r="450" spans="2:14" ht="48" x14ac:dyDescent="0.2">
      <c r="B450" s="164" t="s">
        <v>477</v>
      </c>
      <c r="C450" s="19" t="s">
        <v>40</v>
      </c>
      <c r="J450" s="34" t="s">
        <v>0</v>
      </c>
      <c r="L450" s="221" t="s">
        <v>41</v>
      </c>
      <c r="M450" s="34" t="s">
        <v>478</v>
      </c>
      <c r="N450" s="67" t="s">
        <v>479</v>
      </c>
    </row>
    <row r="451" spans="2:14" ht="48" x14ac:dyDescent="0.2">
      <c r="B451" s="164" t="s">
        <v>480</v>
      </c>
      <c r="C451" s="19" t="s">
        <v>40</v>
      </c>
      <c r="J451" s="34" t="s">
        <v>0</v>
      </c>
      <c r="L451" s="221" t="s">
        <v>41</v>
      </c>
      <c r="M451" s="34" t="s">
        <v>478</v>
      </c>
      <c r="N451" s="67" t="s">
        <v>479</v>
      </c>
    </row>
    <row r="452" spans="2:14" ht="17" x14ac:dyDescent="0.2">
      <c r="B452" s="128" t="s">
        <v>44</v>
      </c>
      <c r="C452" s="19"/>
    </row>
    <row r="453" spans="2:14" ht="17" x14ac:dyDescent="0.2">
      <c r="B453" s="130" t="s">
        <v>46</v>
      </c>
      <c r="C453" s="19" t="s">
        <v>40</v>
      </c>
      <c r="J453" s="34" t="s">
        <v>0</v>
      </c>
      <c r="L453" s="221" t="s">
        <v>41</v>
      </c>
      <c r="M453" s="34" t="s">
        <v>478</v>
      </c>
      <c r="N453" s="67" t="s">
        <v>479</v>
      </c>
    </row>
    <row r="454" spans="2:14" ht="17" x14ac:dyDescent="0.2">
      <c r="B454" s="128" t="s">
        <v>47</v>
      </c>
    </row>
    <row r="455" spans="2:14" ht="17" x14ac:dyDescent="0.2">
      <c r="B455" s="165" t="s">
        <v>481</v>
      </c>
      <c r="C455" s="19" t="s">
        <v>40</v>
      </c>
      <c r="J455" s="34" t="s">
        <v>0</v>
      </c>
      <c r="L455" s="221" t="s">
        <v>41</v>
      </c>
      <c r="M455" s="34" t="s">
        <v>478</v>
      </c>
      <c r="N455" s="67" t="s">
        <v>479</v>
      </c>
    </row>
    <row r="456" spans="2:14" ht="17" x14ac:dyDescent="0.2">
      <c r="B456" s="131" t="s">
        <v>49</v>
      </c>
      <c r="C456" s="19" t="s">
        <v>40</v>
      </c>
      <c r="J456" s="34" t="s">
        <v>0</v>
      </c>
      <c r="L456" s="221" t="s">
        <v>41</v>
      </c>
      <c r="M456" s="34" t="s">
        <v>478</v>
      </c>
      <c r="N456" s="67" t="s">
        <v>479</v>
      </c>
    </row>
    <row r="457" spans="2:14" ht="17" x14ac:dyDescent="0.2">
      <c r="B457" s="128" t="s">
        <v>482</v>
      </c>
    </row>
    <row r="458" spans="2:14" ht="17" x14ac:dyDescent="0.2">
      <c r="B458" s="165" t="s">
        <v>66</v>
      </c>
      <c r="C458" s="19" t="s">
        <v>40</v>
      </c>
      <c r="J458" s="34" t="s">
        <v>0</v>
      </c>
      <c r="L458" s="221" t="s">
        <v>41</v>
      </c>
      <c r="M458" s="34" t="s">
        <v>478</v>
      </c>
      <c r="N458" s="67" t="s">
        <v>479</v>
      </c>
    </row>
    <row r="459" spans="2:14" ht="17" x14ac:dyDescent="0.2">
      <c r="B459" s="138" t="s">
        <v>67</v>
      </c>
      <c r="C459" s="19" t="s">
        <v>40</v>
      </c>
      <c r="J459" s="34" t="s">
        <v>0</v>
      </c>
      <c r="L459" s="221" t="s">
        <v>41</v>
      </c>
      <c r="M459" s="34" t="s">
        <v>478</v>
      </c>
      <c r="N459" s="67" t="s">
        <v>479</v>
      </c>
    </row>
    <row r="460" spans="2:14" ht="17" x14ac:dyDescent="0.2">
      <c r="B460" s="166" t="s">
        <v>68</v>
      </c>
      <c r="C460" s="19" t="s">
        <v>40</v>
      </c>
      <c r="J460" s="34" t="s">
        <v>0</v>
      </c>
      <c r="L460" s="221" t="s">
        <v>41</v>
      </c>
      <c r="M460" s="34" t="s">
        <v>478</v>
      </c>
      <c r="N460" s="67" t="s">
        <v>479</v>
      </c>
    </row>
    <row r="461" spans="2:14" ht="17" x14ac:dyDescent="0.2">
      <c r="B461" s="166" t="s">
        <v>69</v>
      </c>
      <c r="C461" s="19" t="s">
        <v>40</v>
      </c>
      <c r="J461" s="34" t="s">
        <v>0</v>
      </c>
      <c r="L461" s="221" t="s">
        <v>41</v>
      </c>
      <c r="M461" s="34" t="s">
        <v>478</v>
      </c>
      <c r="N461" s="67" t="s">
        <v>479</v>
      </c>
    </row>
    <row r="462" spans="2:14" ht="17" x14ac:dyDescent="0.2">
      <c r="B462" s="166" t="s">
        <v>70</v>
      </c>
      <c r="C462" s="19" t="s">
        <v>40</v>
      </c>
      <c r="J462" s="34" t="s">
        <v>0</v>
      </c>
      <c r="L462" s="221" t="s">
        <v>41</v>
      </c>
      <c r="M462" s="34" t="s">
        <v>478</v>
      </c>
      <c r="N462" s="67" t="s">
        <v>479</v>
      </c>
    </row>
    <row r="463" spans="2:14" ht="17" x14ac:dyDescent="0.2">
      <c r="B463" s="138" t="s">
        <v>71</v>
      </c>
      <c r="C463" s="19" t="s">
        <v>40</v>
      </c>
      <c r="J463" s="34" t="s">
        <v>0</v>
      </c>
      <c r="L463" s="221" t="s">
        <v>41</v>
      </c>
      <c r="M463" s="34" t="s">
        <v>478</v>
      </c>
      <c r="N463" s="67" t="s">
        <v>479</v>
      </c>
    </row>
    <row r="464" spans="2:14" ht="17" x14ac:dyDescent="0.2">
      <c r="B464" s="139" t="s">
        <v>72</v>
      </c>
      <c r="C464" s="19" t="s">
        <v>40</v>
      </c>
      <c r="J464" s="34" t="s">
        <v>0</v>
      </c>
      <c r="L464" s="221" t="s">
        <v>41</v>
      </c>
      <c r="M464" s="34" t="s">
        <v>478</v>
      </c>
      <c r="N464" s="67" t="s">
        <v>479</v>
      </c>
    </row>
    <row r="465" spans="2:14" ht="17" x14ac:dyDescent="0.2">
      <c r="B465" s="166" t="s">
        <v>483</v>
      </c>
      <c r="C465" s="19" t="s">
        <v>40</v>
      </c>
      <c r="J465" s="34" t="s">
        <v>0</v>
      </c>
      <c r="L465" s="221" t="s">
        <v>41</v>
      </c>
      <c r="M465" s="34" t="s">
        <v>478</v>
      </c>
      <c r="N465" s="67" t="s">
        <v>479</v>
      </c>
    </row>
    <row r="466" spans="2:14" ht="17" x14ac:dyDescent="0.2">
      <c r="B466" s="166" t="s">
        <v>484</v>
      </c>
      <c r="C466" s="19" t="s">
        <v>40</v>
      </c>
      <c r="J466" s="34" t="s">
        <v>0</v>
      </c>
      <c r="L466" s="221" t="s">
        <v>41</v>
      </c>
      <c r="M466" s="34" t="s">
        <v>478</v>
      </c>
      <c r="N466" s="67" t="s">
        <v>479</v>
      </c>
    </row>
    <row r="467" spans="2:14" ht="17" x14ac:dyDescent="0.2">
      <c r="B467" s="167" t="s">
        <v>485</v>
      </c>
      <c r="C467" s="19" t="s">
        <v>40</v>
      </c>
      <c r="J467" s="34" t="s">
        <v>0</v>
      </c>
      <c r="L467" s="221" t="s">
        <v>41</v>
      </c>
      <c r="M467" s="34" t="s">
        <v>478</v>
      </c>
      <c r="N467" s="67" t="s">
        <v>479</v>
      </c>
    </row>
    <row r="468" spans="2:14" ht="17" x14ac:dyDescent="0.2">
      <c r="B468" s="169" t="s">
        <v>486</v>
      </c>
      <c r="C468" s="19" t="s">
        <v>40</v>
      </c>
    </row>
    <row r="469" spans="2:14" ht="17" x14ac:dyDescent="0.2">
      <c r="B469" s="167" t="s">
        <v>487</v>
      </c>
      <c r="C469" s="19" t="s">
        <v>40</v>
      </c>
      <c r="J469" s="34" t="s">
        <v>0</v>
      </c>
      <c r="L469" s="221" t="s">
        <v>41</v>
      </c>
      <c r="M469" s="34" t="s">
        <v>478</v>
      </c>
      <c r="N469" s="67" t="s">
        <v>479</v>
      </c>
    </row>
    <row r="470" spans="2:14" ht="17" x14ac:dyDescent="0.2">
      <c r="B470" s="167" t="s">
        <v>488</v>
      </c>
      <c r="C470" s="19" t="s">
        <v>40</v>
      </c>
      <c r="J470" s="34" t="s">
        <v>0</v>
      </c>
      <c r="L470" s="221" t="s">
        <v>41</v>
      </c>
      <c r="M470" s="34" t="s">
        <v>478</v>
      </c>
      <c r="N470" s="67" t="s">
        <v>479</v>
      </c>
    </row>
    <row r="471" spans="2:14" ht="17" x14ac:dyDescent="0.2">
      <c r="B471" s="167" t="s">
        <v>489</v>
      </c>
      <c r="C471" s="19" t="s">
        <v>40</v>
      </c>
      <c r="J471" s="34" t="s">
        <v>0</v>
      </c>
      <c r="L471" s="221" t="s">
        <v>41</v>
      </c>
      <c r="M471" s="34" t="s">
        <v>478</v>
      </c>
      <c r="N471" s="67" t="s">
        <v>479</v>
      </c>
    </row>
    <row r="472" spans="2:14" ht="17" x14ac:dyDescent="0.2">
      <c r="B472" s="167" t="s">
        <v>490</v>
      </c>
      <c r="C472" s="19" t="s">
        <v>40</v>
      </c>
      <c r="J472" s="34" t="s">
        <v>0</v>
      </c>
      <c r="L472" s="221" t="s">
        <v>41</v>
      </c>
      <c r="M472" s="34" t="s">
        <v>478</v>
      </c>
      <c r="N472" s="67" t="s">
        <v>479</v>
      </c>
    </row>
    <row r="473" spans="2:14" ht="17" x14ac:dyDescent="0.2">
      <c r="B473" s="147" t="s">
        <v>134</v>
      </c>
      <c r="C473" s="19" t="s">
        <v>40</v>
      </c>
      <c r="J473" s="34" t="s">
        <v>0</v>
      </c>
      <c r="L473" s="221" t="s">
        <v>41</v>
      </c>
      <c r="M473" s="34" t="s">
        <v>478</v>
      </c>
      <c r="N473" s="67" t="s">
        <v>479</v>
      </c>
    </row>
    <row r="474" spans="2:14" ht="17" x14ac:dyDescent="0.2">
      <c r="B474" s="167" t="s">
        <v>491</v>
      </c>
      <c r="C474" s="19" t="s">
        <v>40</v>
      </c>
      <c r="J474" s="34" t="s">
        <v>0</v>
      </c>
      <c r="L474" s="221" t="s">
        <v>41</v>
      </c>
      <c r="M474" s="34" t="s">
        <v>478</v>
      </c>
      <c r="N474" s="67" t="s">
        <v>479</v>
      </c>
    </row>
    <row r="475" spans="2:14" ht="17" x14ac:dyDescent="0.2">
      <c r="B475" s="167" t="s">
        <v>492</v>
      </c>
      <c r="C475" s="19" t="s">
        <v>40</v>
      </c>
      <c r="J475" s="34" t="s">
        <v>0</v>
      </c>
      <c r="L475" s="221" t="s">
        <v>41</v>
      </c>
      <c r="M475" s="34" t="s">
        <v>478</v>
      </c>
      <c r="N475" s="67" t="s">
        <v>479</v>
      </c>
    </row>
    <row r="476" spans="2:14" ht="17" x14ac:dyDescent="0.2">
      <c r="B476" s="167" t="s">
        <v>493</v>
      </c>
      <c r="C476" s="19" t="s">
        <v>40</v>
      </c>
      <c r="J476" s="34" t="s">
        <v>0</v>
      </c>
      <c r="L476" s="221" t="s">
        <v>41</v>
      </c>
      <c r="M476" s="34" t="s">
        <v>478</v>
      </c>
      <c r="N476" s="67" t="s">
        <v>479</v>
      </c>
    </row>
    <row r="477" spans="2:14" ht="17" x14ac:dyDescent="0.2">
      <c r="B477" s="166" t="s">
        <v>78</v>
      </c>
      <c r="C477" s="19" t="s">
        <v>40</v>
      </c>
      <c r="J477" s="34" t="s">
        <v>0</v>
      </c>
      <c r="L477" s="221" t="s">
        <v>41</v>
      </c>
      <c r="M477" s="34" t="s">
        <v>478</v>
      </c>
      <c r="N477" s="67" t="s">
        <v>479</v>
      </c>
    </row>
    <row r="478" spans="2:14" ht="17" x14ac:dyDescent="0.2">
      <c r="B478" s="138" t="s">
        <v>79</v>
      </c>
      <c r="C478" s="19" t="s">
        <v>40</v>
      </c>
      <c r="J478" s="34" t="s">
        <v>0</v>
      </c>
      <c r="L478" s="221" t="s">
        <v>41</v>
      </c>
      <c r="M478" s="34" t="s">
        <v>478</v>
      </c>
      <c r="N478" s="67" t="s">
        <v>479</v>
      </c>
    </row>
    <row r="479" spans="2:14" ht="17" x14ac:dyDescent="0.2">
      <c r="B479" s="138" t="s">
        <v>80</v>
      </c>
      <c r="C479" s="19" t="s">
        <v>40</v>
      </c>
      <c r="J479" s="34" t="s">
        <v>0</v>
      </c>
      <c r="L479" s="221" t="s">
        <v>41</v>
      </c>
      <c r="M479" s="34" t="s">
        <v>478</v>
      </c>
      <c r="N479" s="67" t="s">
        <v>479</v>
      </c>
    </row>
    <row r="480" spans="2:14" ht="17" x14ac:dyDescent="0.2">
      <c r="B480" s="138" t="s">
        <v>81</v>
      </c>
      <c r="C480" s="19" t="s">
        <v>40</v>
      </c>
      <c r="J480" s="34" t="s">
        <v>0</v>
      </c>
      <c r="L480" s="221" t="s">
        <v>41</v>
      </c>
      <c r="M480" s="34" t="s">
        <v>478</v>
      </c>
      <c r="N480" s="67" t="s">
        <v>479</v>
      </c>
    </row>
    <row r="481" spans="2:14" ht="17" x14ac:dyDescent="0.2">
      <c r="B481" s="138" t="s">
        <v>82</v>
      </c>
      <c r="C481" s="19" t="s">
        <v>40</v>
      </c>
      <c r="J481" s="34" t="s">
        <v>0</v>
      </c>
      <c r="L481" s="221" t="s">
        <v>41</v>
      </c>
      <c r="M481" s="34" t="s">
        <v>478</v>
      </c>
      <c r="N481" s="67" t="s">
        <v>479</v>
      </c>
    </row>
    <row r="482" spans="2:14" ht="17" x14ac:dyDescent="0.2">
      <c r="B482" s="166" t="s">
        <v>494</v>
      </c>
      <c r="C482" s="19" t="s">
        <v>40</v>
      </c>
      <c r="J482" s="34" t="s">
        <v>0</v>
      </c>
      <c r="L482" s="221" t="s">
        <v>41</v>
      </c>
      <c r="M482" s="34" t="s">
        <v>478</v>
      </c>
      <c r="N482" s="67" t="s">
        <v>479</v>
      </c>
    </row>
    <row r="483" spans="2:14" ht="17" x14ac:dyDescent="0.2">
      <c r="B483" s="166" t="s">
        <v>495</v>
      </c>
      <c r="C483" s="19" t="s">
        <v>40</v>
      </c>
      <c r="J483" s="34" t="s">
        <v>0</v>
      </c>
      <c r="L483" s="221" t="s">
        <v>41</v>
      </c>
      <c r="M483" s="34" t="s">
        <v>478</v>
      </c>
      <c r="N483" s="67" t="s">
        <v>479</v>
      </c>
    </row>
    <row r="484" spans="2:14" ht="17" x14ac:dyDescent="0.2">
      <c r="B484" s="169" t="s">
        <v>496</v>
      </c>
      <c r="C484" s="19"/>
    </row>
    <row r="485" spans="2:14" ht="17" x14ac:dyDescent="0.2">
      <c r="B485" s="168" t="s">
        <v>134</v>
      </c>
      <c r="C485" s="19" t="s">
        <v>40</v>
      </c>
      <c r="J485" s="34" t="s">
        <v>0</v>
      </c>
      <c r="L485" s="221" t="s">
        <v>41</v>
      </c>
      <c r="M485" s="34" t="s">
        <v>478</v>
      </c>
      <c r="N485" s="67" t="s">
        <v>479</v>
      </c>
    </row>
    <row r="486" spans="2:14" ht="17" x14ac:dyDescent="0.2">
      <c r="B486" s="167" t="s">
        <v>497</v>
      </c>
      <c r="C486" s="19" t="s">
        <v>40</v>
      </c>
      <c r="J486" s="34" t="s">
        <v>0</v>
      </c>
      <c r="L486" s="221" t="s">
        <v>41</v>
      </c>
      <c r="M486" s="34" t="s">
        <v>478</v>
      </c>
      <c r="N486" s="67" t="s">
        <v>479</v>
      </c>
    </row>
    <row r="487" spans="2:14" ht="17" x14ac:dyDescent="0.2">
      <c r="B487" s="166" t="s">
        <v>498</v>
      </c>
      <c r="C487" s="19" t="s">
        <v>40</v>
      </c>
      <c r="J487" s="34" t="s">
        <v>0</v>
      </c>
      <c r="L487" s="221" t="s">
        <v>41</v>
      </c>
      <c r="M487" s="34" t="s">
        <v>478</v>
      </c>
      <c r="N487" s="67" t="s">
        <v>479</v>
      </c>
    </row>
    <row r="488" spans="2:14" ht="17" x14ac:dyDescent="0.2">
      <c r="B488" s="167" t="s">
        <v>499</v>
      </c>
      <c r="C488" s="19" t="s">
        <v>40</v>
      </c>
      <c r="J488" s="34" t="s">
        <v>0</v>
      </c>
      <c r="L488" s="221" t="s">
        <v>41</v>
      </c>
      <c r="M488" s="34" t="s">
        <v>478</v>
      </c>
      <c r="N488" s="67" t="s">
        <v>479</v>
      </c>
    </row>
    <row r="489" spans="2:14" x14ac:dyDescent="0.2">
      <c r="B489" s="140" t="s">
        <v>86</v>
      </c>
    </row>
    <row r="490" spans="2:14" x14ac:dyDescent="0.2">
      <c r="B490" s="140" t="s">
        <v>500</v>
      </c>
    </row>
    <row r="491" spans="2:14" ht="17" x14ac:dyDescent="0.2">
      <c r="B491" s="141" t="s">
        <v>87</v>
      </c>
      <c r="C491" s="19" t="s">
        <v>40</v>
      </c>
      <c r="J491" s="34" t="s">
        <v>0</v>
      </c>
      <c r="L491" s="221" t="s">
        <v>41</v>
      </c>
      <c r="M491" s="34" t="s">
        <v>478</v>
      </c>
      <c r="N491" s="67" t="s">
        <v>479</v>
      </c>
    </row>
    <row r="492" spans="2:14" ht="32" x14ac:dyDescent="0.2">
      <c r="B492" s="142" t="s">
        <v>102</v>
      </c>
      <c r="C492" s="19" t="s">
        <v>40</v>
      </c>
      <c r="J492" s="34" t="s">
        <v>0</v>
      </c>
      <c r="L492" s="221" t="s">
        <v>41</v>
      </c>
      <c r="M492" s="34" t="s">
        <v>478</v>
      </c>
      <c r="N492" s="67" t="s">
        <v>479</v>
      </c>
    </row>
    <row r="493" spans="2:14" ht="48" x14ac:dyDescent="0.2">
      <c r="B493" s="143" t="s">
        <v>103</v>
      </c>
      <c r="C493" s="19" t="s">
        <v>40</v>
      </c>
      <c r="J493" s="34" t="s">
        <v>0</v>
      </c>
      <c r="L493" s="221" t="s">
        <v>41</v>
      </c>
      <c r="M493" s="34" t="s">
        <v>478</v>
      </c>
      <c r="N493" s="67" t="s">
        <v>479</v>
      </c>
    </row>
    <row r="494" spans="2:14" ht="17" x14ac:dyDescent="0.2">
      <c r="B494" s="144" t="s">
        <v>96</v>
      </c>
      <c r="C494" s="19" t="s">
        <v>40</v>
      </c>
      <c r="J494" s="34" t="s">
        <v>0</v>
      </c>
      <c r="L494" s="221" t="s">
        <v>41</v>
      </c>
      <c r="M494" s="34" t="s">
        <v>478</v>
      </c>
      <c r="N494" s="67" t="s">
        <v>479</v>
      </c>
    </row>
    <row r="495" spans="2:14" ht="32" x14ac:dyDescent="0.2">
      <c r="B495" s="143" t="s">
        <v>104</v>
      </c>
      <c r="C495" s="19" t="s">
        <v>40</v>
      </c>
      <c r="J495" s="34" t="s">
        <v>0</v>
      </c>
      <c r="L495" s="221" t="s">
        <v>41</v>
      </c>
      <c r="M495" s="34" t="s">
        <v>478</v>
      </c>
      <c r="N495" s="67" t="s">
        <v>479</v>
      </c>
    </row>
    <row r="496" spans="2:14" ht="32" x14ac:dyDescent="0.2">
      <c r="B496" s="142" t="s">
        <v>105</v>
      </c>
      <c r="C496" s="19" t="s">
        <v>40</v>
      </c>
      <c r="J496" s="34" t="s">
        <v>0</v>
      </c>
      <c r="L496" s="221" t="s">
        <v>41</v>
      </c>
      <c r="M496" s="34" t="s">
        <v>478</v>
      </c>
      <c r="N496" s="67" t="s">
        <v>479</v>
      </c>
    </row>
    <row r="497" spans="2:14" ht="17" x14ac:dyDescent="0.2">
      <c r="B497" s="144" t="s">
        <v>99</v>
      </c>
      <c r="C497" s="19" t="s">
        <v>40</v>
      </c>
      <c r="J497" s="34" t="s">
        <v>0</v>
      </c>
      <c r="L497" s="221" t="s">
        <v>41</v>
      </c>
      <c r="M497" s="34" t="s">
        <v>478</v>
      </c>
      <c r="N497" s="67" t="s">
        <v>479</v>
      </c>
    </row>
    <row r="498" spans="2:14" ht="17" x14ac:dyDescent="0.2">
      <c r="B498" s="143" t="s">
        <v>106</v>
      </c>
      <c r="C498" s="19" t="s">
        <v>40</v>
      </c>
      <c r="J498" s="34" t="s">
        <v>0</v>
      </c>
      <c r="L498" s="221" t="s">
        <v>41</v>
      </c>
      <c r="M498" s="34" t="s">
        <v>478</v>
      </c>
      <c r="N498" s="67" t="s">
        <v>479</v>
      </c>
    </row>
    <row r="499" spans="2:14" x14ac:dyDescent="0.2">
      <c r="B499" s="140" t="s">
        <v>101</v>
      </c>
    </row>
    <row r="500" spans="2:14" ht="17" x14ac:dyDescent="0.2">
      <c r="B500" s="141" t="s">
        <v>87</v>
      </c>
      <c r="C500" s="19" t="s">
        <v>40</v>
      </c>
      <c r="J500" s="34" t="s">
        <v>0</v>
      </c>
      <c r="L500" s="221" t="s">
        <v>41</v>
      </c>
      <c r="M500" s="34" t="s">
        <v>478</v>
      </c>
      <c r="N500" s="67" t="s">
        <v>479</v>
      </c>
    </row>
    <row r="501" spans="2:14" ht="32" x14ac:dyDescent="0.2">
      <c r="B501" s="142" t="s">
        <v>102</v>
      </c>
      <c r="C501" s="19" t="s">
        <v>40</v>
      </c>
      <c r="J501" s="34" t="s">
        <v>0</v>
      </c>
      <c r="L501" s="221" t="s">
        <v>41</v>
      </c>
      <c r="M501" s="34" t="s">
        <v>478</v>
      </c>
      <c r="N501" s="67" t="s">
        <v>479</v>
      </c>
    </row>
    <row r="502" spans="2:14" ht="48" x14ac:dyDescent="0.2">
      <c r="B502" s="143" t="s">
        <v>108</v>
      </c>
      <c r="C502" s="19" t="s">
        <v>40</v>
      </c>
      <c r="J502" s="34" t="s">
        <v>0</v>
      </c>
      <c r="L502" s="221" t="s">
        <v>41</v>
      </c>
      <c r="M502" s="34" t="s">
        <v>478</v>
      </c>
      <c r="N502" s="67" t="s">
        <v>479</v>
      </c>
    </row>
    <row r="503" spans="2:14" ht="17" x14ac:dyDescent="0.2">
      <c r="B503" s="144" t="s">
        <v>96</v>
      </c>
      <c r="C503" s="19" t="s">
        <v>40</v>
      </c>
      <c r="J503" s="34" t="s">
        <v>0</v>
      </c>
      <c r="L503" s="221" t="s">
        <v>41</v>
      </c>
      <c r="M503" s="34" t="s">
        <v>478</v>
      </c>
      <c r="N503" s="67" t="s">
        <v>479</v>
      </c>
    </row>
    <row r="504" spans="2:14" ht="32" x14ac:dyDescent="0.2">
      <c r="B504" s="143" t="s">
        <v>109</v>
      </c>
      <c r="C504" s="19" t="s">
        <v>40</v>
      </c>
      <c r="J504" s="34" t="s">
        <v>0</v>
      </c>
      <c r="L504" s="221" t="s">
        <v>41</v>
      </c>
      <c r="M504" s="34" t="s">
        <v>478</v>
      </c>
      <c r="N504" s="67" t="s">
        <v>479</v>
      </c>
    </row>
    <row r="505" spans="2:14" ht="32" x14ac:dyDescent="0.2">
      <c r="B505" s="142" t="s">
        <v>110</v>
      </c>
      <c r="C505" s="19" t="s">
        <v>40</v>
      </c>
      <c r="J505" s="34" t="s">
        <v>0</v>
      </c>
      <c r="L505" s="221" t="s">
        <v>41</v>
      </c>
      <c r="M505" s="34" t="s">
        <v>478</v>
      </c>
      <c r="N505" s="67" t="s">
        <v>479</v>
      </c>
    </row>
    <row r="506" spans="2:14" ht="17" x14ac:dyDescent="0.2">
      <c r="B506" s="144" t="s">
        <v>99</v>
      </c>
      <c r="C506" s="19" t="s">
        <v>40</v>
      </c>
      <c r="J506" s="34" t="s">
        <v>0</v>
      </c>
      <c r="L506" s="221" t="s">
        <v>41</v>
      </c>
      <c r="M506" s="34" t="s">
        <v>478</v>
      </c>
      <c r="N506" s="67" t="s">
        <v>479</v>
      </c>
    </row>
    <row r="507" spans="2:14" ht="17" x14ac:dyDescent="0.2">
      <c r="B507" s="143" t="s">
        <v>111</v>
      </c>
      <c r="C507" s="19" t="s">
        <v>40</v>
      </c>
      <c r="J507" s="34" t="s">
        <v>0</v>
      </c>
      <c r="L507" s="221" t="s">
        <v>41</v>
      </c>
      <c r="M507" s="34" t="s">
        <v>478</v>
      </c>
      <c r="N507" s="67" t="s">
        <v>479</v>
      </c>
    </row>
    <row r="508" spans="2:14" x14ac:dyDescent="0.2">
      <c r="B508" s="140" t="s">
        <v>107</v>
      </c>
    </row>
    <row r="509" spans="2:14" ht="17" x14ac:dyDescent="0.2">
      <c r="B509" s="141" t="s">
        <v>87</v>
      </c>
      <c r="C509" s="19" t="s">
        <v>40</v>
      </c>
      <c r="J509" s="34" t="s">
        <v>0</v>
      </c>
      <c r="L509" s="221" t="s">
        <v>41</v>
      </c>
      <c r="M509" s="34" t="s">
        <v>478</v>
      </c>
      <c r="N509" s="67" t="s">
        <v>479</v>
      </c>
    </row>
    <row r="510" spans="2:14" ht="32" x14ac:dyDescent="0.2">
      <c r="B510" s="142" t="s">
        <v>102</v>
      </c>
      <c r="C510" s="19" t="s">
        <v>40</v>
      </c>
      <c r="J510" s="34" t="s">
        <v>0</v>
      </c>
      <c r="L510" s="221" t="s">
        <v>41</v>
      </c>
      <c r="M510" s="34" t="s">
        <v>478</v>
      </c>
      <c r="N510" s="67" t="s">
        <v>479</v>
      </c>
    </row>
    <row r="511" spans="2:14" ht="48" x14ac:dyDescent="0.2">
      <c r="B511" s="143" t="s">
        <v>113</v>
      </c>
      <c r="C511" s="19" t="s">
        <v>40</v>
      </c>
      <c r="J511" s="34" t="s">
        <v>0</v>
      </c>
      <c r="L511" s="221" t="s">
        <v>41</v>
      </c>
      <c r="M511" s="34" t="s">
        <v>478</v>
      </c>
      <c r="N511" s="67" t="s">
        <v>479</v>
      </c>
    </row>
    <row r="512" spans="2:14" ht="17" x14ac:dyDescent="0.2">
      <c r="B512" s="144" t="s">
        <v>96</v>
      </c>
      <c r="C512" s="19" t="s">
        <v>40</v>
      </c>
      <c r="J512" s="34" t="s">
        <v>0</v>
      </c>
      <c r="L512" s="221" t="s">
        <v>41</v>
      </c>
      <c r="M512" s="34" t="s">
        <v>478</v>
      </c>
      <c r="N512" s="67" t="s">
        <v>479</v>
      </c>
    </row>
    <row r="513" spans="2:14" ht="32" x14ac:dyDescent="0.2">
      <c r="B513" s="143" t="s">
        <v>97</v>
      </c>
      <c r="C513" s="19" t="s">
        <v>40</v>
      </c>
      <c r="J513" s="34" t="s">
        <v>0</v>
      </c>
      <c r="L513" s="221" t="s">
        <v>41</v>
      </c>
      <c r="M513" s="34" t="s">
        <v>478</v>
      </c>
      <c r="N513" s="67" t="s">
        <v>479</v>
      </c>
    </row>
    <row r="514" spans="2:14" ht="32" x14ac:dyDescent="0.2">
      <c r="B514" s="142" t="s">
        <v>114</v>
      </c>
      <c r="C514" s="19" t="s">
        <v>40</v>
      </c>
      <c r="J514" s="34" t="s">
        <v>0</v>
      </c>
      <c r="L514" s="221" t="s">
        <v>41</v>
      </c>
      <c r="M514" s="34" t="s">
        <v>478</v>
      </c>
      <c r="N514" s="67" t="s">
        <v>479</v>
      </c>
    </row>
    <row r="515" spans="2:14" ht="17" x14ac:dyDescent="0.2">
      <c r="B515" s="144" t="s">
        <v>99</v>
      </c>
      <c r="C515" s="19" t="s">
        <v>40</v>
      </c>
      <c r="J515" s="34" t="s">
        <v>0</v>
      </c>
      <c r="L515" s="221" t="s">
        <v>41</v>
      </c>
      <c r="M515" s="34" t="s">
        <v>478</v>
      </c>
      <c r="N515" s="67" t="s">
        <v>479</v>
      </c>
    </row>
    <row r="516" spans="2:14" ht="17" x14ac:dyDescent="0.2">
      <c r="B516" s="143" t="s">
        <v>115</v>
      </c>
      <c r="C516" s="19" t="s">
        <v>40</v>
      </c>
      <c r="J516" s="34" t="s">
        <v>0</v>
      </c>
      <c r="L516" s="221" t="s">
        <v>41</v>
      </c>
      <c r="M516" s="34" t="s">
        <v>478</v>
      </c>
      <c r="N516" s="67" t="s">
        <v>479</v>
      </c>
    </row>
    <row r="517" spans="2:14" ht="17" x14ac:dyDescent="0.2">
      <c r="B517" s="128" t="s">
        <v>121</v>
      </c>
      <c r="C517" s="19"/>
    </row>
    <row r="518" spans="2:14" ht="17" x14ac:dyDescent="0.2">
      <c r="B518" s="145" t="s">
        <v>122</v>
      </c>
      <c r="C518" s="19" t="s">
        <v>40</v>
      </c>
      <c r="L518" s="221"/>
      <c r="N518" s="67"/>
    </row>
    <row r="519" spans="2:14" ht="17" x14ac:dyDescent="0.2">
      <c r="B519" s="167" t="s">
        <v>123</v>
      </c>
      <c r="C519" s="19" t="s">
        <v>40</v>
      </c>
      <c r="J519" s="34" t="s">
        <v>0</v>
      </c>
      <c r="L519" s="221" t="s">
        <v>41</v>
      </c>
      <c r="M519" s="34" t="s">
        <v>478</v>
      </c>
      <c r="N519" s="67" t="s">
        <v>479</v>
      </c>
    </row>
    <row r="520" spans="2:14" ht="17" x14ac:dyDescent="0.2">
      <c r="B520" s="167" t="s">
        <v>124</v>
      </c>
      <c r="C520" s="19" t="s">
        <v>40</v>
      </c>
      <c r="J520" s="34" t="s">
        <v>0</v>
      </c>
      <c r="L520" s="221" t="s">
        <v>41</v>
      </c>
      <c r="M520" s="34" t="s">
        <v>478</v>
      </c>
      <c r="N520" s="67" t="s">
        <v>479</v>
      </c>
    </row>
    <row r="521" spans="2:14" ht="17" x14ac:dyDescent="0.2">
      <c r="B521" s="139" t="s">
        <v>125</v>
      </c>
      <c r="C521" s="19" t="s">
        <v>40</v>
      </c>
      <c r="J521" s="34" t="s">
        <v>0</v>
      </c>
      <c r="L521" s="221" t="s">
        <v>41</v>
      </c>
      <c r="M521" s="34" t="s">
        <v>478</v>
      </c>
      <c r="N521" s="67" t="s">
        <v>479</v>
      </c>
    </row>
    <row r="522" spans="2:14" ht="17" x14ac:dyDescent="0.2">
      <c r="B522" s="145" t="s">
        <v>126</v>
      </c>
      <c r="C522" s="19" t="s">
        <v>40</v>
      </c>
      <c r="J522" s="34" t="s">
        <v>0</v>
      </c>
      <c r="L522" s="221" t="s">
        <v>41</v>
      </c>
      <c r="M522" s="34" t="s">
        <v>478</v>
      </c>
      <c r="N522" s="67" t="s">
        <v>479</v>
      </c>
    </row>
    <row r="523" spans="2:14" ht="17" x14ac:dyDescent="0.2">
      <c r="B523" s="138" t="s">
        <v>127</v>
      </c>
      <c r="C523" s="19" t="s">
        <v>40</v>
      </c>
      <c r="J523" s="34" t="s">
        <v>0</v>
      </c>
      <c r="L523" s="221" t="s">
        <v>41</v>
      </c>
      <c r="M523" s="34" t="s">
        <v>478</v>
      </c>
      <c r="N523" s="67" t="s">
        <v>479</v>
      </c>
    </row>
    <row r="524" spans="2:14" ht="17" x14ac:dyDescent="0.2">
      <c r="B524" s="138" t="s">
        <v>128</v>
      </c>
      <c r="C524" s="19" t="s">
        <v>40</v>
      </c>
      <c r="J524" s="34" t="s">
        <v>0</v>
      </c>
      <c r="L524" s="221" t="s">
        <v>41</v>
      </c>
      <c r="M524" s="34" t="s">
        <v>478</v>
      </c>
      <c r="N524" s="67" t="s">
        <v>479</v>
      </c>
    </row>
    <row r="525" spans="2:14" ht="17" x14ac:dyDescent="0.2">
      <c r="B525" s="146" t="s">
        <v>129</v>
      </c>
      <c r="C525" s="19" t="s">
        <v>40</v>
      </c>
      <c r="J525" s="34" t="s">
        <v>0</v>
      </c>
      <c r="L525" s="221" t="s">
        <v>41</v>
      </c>
      <c r="M525" s="34" t="s">
        <v>478</v>
      </c>
      <c r="N525" s="67" t="s">
        <v>479</v>
      </c>
    </row>
    <row r="526" spans="2:14" ht="17" x14ac:dyDescent="0.2">
      <c r="B526" s="138" t="s">
        <v>130</v>
      </c>
      <c r="C526" s="19" t="s">
        <v>40</v>
      </c>
      <c r="J526" s="34" t="s">
        <v>0</v>
      </c>
      <c r="L526" s="221" t="s">
        <v>41</v>
      </c>
      <c r="M526" s="34" t="s">
        <v>478</v>
      </c>
      <c r="N526" s="67" t="s">
        <v>479</v>
      </c>
    </row>
    <row r="527" spans="2:14" ht="17" x14ac:dyDescent="0.2">
      <c r="B527" s="168" t="s">
        <v>501</v>
      </c>
      <c r="C527" s="19" t="s">
        <v>40</v>
      </c>
      <c r="J527" s="34" t="s">
        <v>0</v>
      </c>
      <c r="L527" s="221" t="s">
        <v>41</v>
      </c>
      <c r="M527" s="34" t="s">
        <v>478</v>
      </c>
      <c r="N527" s="67" t="s">
        <v>479</v>
      </c>
    </row>
    <row r="528" spans="2:14" ht="17" x14ac:dyDescent="0.2">
      <c r="B528" s="147" t="s">
        <v>132</v>
      </c>
      <c r="C528" s="19" t="s">
        <v>40</v>
      </c>
      <c r="J528" s="34" t="s">
        <v>0</v>
      </c>
      <c r="L528" s="221" t="s">
        <v>41</v>
      </c>
      <c r="M528" s="34" t="s">
        <v>478</v>
      </c>
      <c r="N528" s="67" t="s">
        <v>479</v>
      </c>
    </row>
    <row r="529" spans="2:14" ht="17" x14ac:dyDescent="0.2">
      <c r="B529" s="147" t="s">
        <v>134</v>
      </c>
      <c r="C529" s="19" t="s">
        <v>40</v>
      </c>
      <c r="J529" s="34" t="s">
        <v>0</v>
      </c>
      <c r="L529" s="221" t="s">
        <v>41</v>
      </c>
      <c r="M529" s="34" t="s">
        <v>478</v>
      </c>
      <c r="N529" s="67" t="s">
        <v>479</v>
      </c>
    </row>
    <row r="530" spans="2:14" ht="17" x14ac:dyDescent="0.2">
      <c r="B530" s="147" t="s">
        <v>136</v>
      </c>
      <c r="C530" s="19" t="s">
        <v>40</v>
      </c>
      <c r="J530" s="34" t="s">
        <v>0</v>
      </c>
      <c r="L530" s="221" t="s">
        <v>41</v>
      </c>
      <c r="M530" s="34" t="s">
        <v>478</v>
      </c>
      <c r="N530" s="67" t="s">
        <v>479</v>
      </c>
    </row>
    <row r="531" spans="2:14" ht="23" x14ac:dyDescent="0.3">
      <c r="B531" s="148" t="s">
        <v>137</v>
      </c>
      <c r="C531" s="19"/>
    </row>
    <row r="532" spans="2:14" ht="23" x14ac:dyDescent="0.3">
      <c r="B532" s="148" t="s">
        <v>138</v>
      </c>
      <c r="C532" s="19"/>
    </row>
    <row r="533" spans="2:14" ht="17" x14ac:dyDescent="0.2">
      <c r="B533" s="168" t="s">
        <v>139</v>
      </c>
      <c r="C533" s="19" t="s">
        <v>40</v>
      </c>
      <c r="J533" s="34" t="s">
        <v>0</v>
      </c>
      <c r="L533" s="221" t="s">
        <v>41</v>
      </c>
      <c r="M533" s="34" t="s">
        <v>478</v>
      </c>
      <c r="N533" s="67" t="s">
        <v>479</v>
      </c>
    </row>
    <row r="534" spans="2:14" ht="17" x14ac:dyDescent="0.2">
      <c r="B534" s="147" t="s">
        <v>140</v>
      </c>
      <c r="C534" s="19" t="s">
        <v>40</v>
      </c>
      <c r="J534" s="34" t="s">
        <v>0</v>
      </c>
      <c r="L534" s="221" t="s">
        <v>41</v>
      </c>
      <c r="M534" s="34" t="s">
        <v>478</v>
      </c>
      <c r="N534" s="67" t="s">
        <v>479</v>
      </c>
    </row>
    <row r="535" spans="2:14" ht="17" x14ac:dyDescent="0.2">
      <c r="B535" s="147" t="s">
        <v>141</v>
      </c>
      <c r="C535" s="19" t="s">
        <v>40</v>
      </c>
      <c r="J535" s="34" t="s">
        <v>0</v>
      </c>
      <c r="L535" s="221" t="s">
        <v>41</v>
      </c>
      <c r="M535" s="34" t="s">
        <v>478</v>
      </c>
      <c r="N535" s="67" t="s">
        <v>479</v>
      </c>
    </row>
    <row r="536" spans="2:14" ht="17" x14ac:dyDescent="0.2">
      <c r="B536" s="147" t="s">
        <v>142</v>
      </c>
      <c r="C536" s="19" t="s">
        <v>40</v>
      </c>
      <c r="J536" s="34" t="s">
        <v>0</v>
      </c>
      <c r="L536" s="221" t="s">
        <v>41</v>
      </c>
      <c r="M536" s="34" t="s">
        <v>478</v>
      </c>
      <c r="N536" s="67" t="s">
        <v>479</v>
      </c>
    </row>
    <row r="537" spans="2:14" ht="17" x14ac:dyDescent="0.2">
      <c r="B537" s="147" t="s">
        <v>143</v>
      </c>
      <c r="C537" s="19" t="s">
        <v>40</v>
      </c>
      <c r="J537" s="34" t="s">
        <v>0</v>
      </c>
      <c r="L537" s="221" t="s">
        <v>41</v>
      </c>
      <c r="M537" s="34" t="s">
        <v>478</v>
      </c>
      <c r="N537" s="67" t="s">
        <v>479</v>
      </c>
    </row>
    <row r="538" spans="2:14" ht="23" x14ac:dyDescent="0.3">
      <c r="B538" s="148" t="s">
        <v>144</v>
      </c>
      <c r="C538" s="19"/>
    </row>
    <row r="539" spans="2:14" ht="17" x14ac:dyDescent="0.2">
      <c r="B539" s="168" t="s">
        <v>145</v>
      </c>
      <c r="C539" s="19" t="s">
        <v>40</v>
      </c>
      <c r="J539" s="34" t="s">
        <v>0</v>
      </c>
      <c r="L539" s="221" t="s">
        <v>41</v>
      </c>
      <c r="M539" s="34" t="s">
        <v>478</v>
      </c>
      <c r="N539" s="67" t="s">
        <v>479</v>
      </c>
    </row>
    <row r="540" spans="2:14" ht="17" x14ac:dyDescent="0.2">
      <c r="B540" s="168" t="s">
        <v>146</v>
      </c>
      <c r="C540" s="19" t="s">
        <v>40</v>
      </c>
      <c r="J540" s="34" t="s">
        <v>0</v>
      </c>
      <c r="L540" s="221" t="s">
        <v>41</v>
      </c>
      <c r="M540" s="34" t="s">
        <v>478</v>
      </c>
      <c r="N540" s="67" t="s">
        <v>479</v>
      </c>
    </row>
    <row r="541" spans="2:14" ht="17" x14ac:dyDescent="0.2">
      <c r="B541" s="168" t="s">
        <v>147</v>
      </c>
      <c r="C541" s="19" t="s">
        <v>40</v>
      </c>
      <c r="J541" s="34" t="s">
        <v>0</v>
      </c>
      <c r="L541" s="221" t="s">
        <v>41</v>
      </c>
      <c r="M541" s="34" t="s">
        <v>478</v>
      </c>
      <c r="N541" s="67" t="s">
        <v>479</v>
      </c>
    </row>
    <row r="542" spans="2:14" ht="17" x14ac:dyDescent="0.2">
      <c r="B542" s="168" t="s">
        <v>148</v>
      </c>
      <c r="C542" s="19" t="s">
        <v>40</v>
      </c>
      <c r="J542" s="34" t="s">
        <v>0</v>
      </c>
      <c r="L542" s="221" t="s">
        <v>41</v>
      </c>
      <c r="M542" s="34" t="s">
        <v>478</v>
      </c>
      <c r="N542" s="67" t="s">
        <v>479</v>
      </c>
    </row>
    <row r="543" spans="2:14" ht="17" x14ac:dyDescent="0.2">
      <c r="B543" s="168" t="s">
        <v>149</v>
      </c>
      <c r="C543" s="19" t="s">
        <v>40</v>
      </c>
      <c r="J543" s="34" t="s">
        <v>0</v>
      </c>
      <c r="L543" s="221" t="s">
        <v>41</v>
      </c>
      <c r="M543" s="34" t="s">
        <v>478</v>
      </c>
      <c r="N543" s="67" t="s">
        <v>479</v>
      </c>
    </row>
    <row r="544" spans="2:14" ht="20" x14ac:dyDescent="0.2">
      <c r="B544" s="177" t="s">
        <v>51</v>
      </c>
      <c r="C544" s="19"/>
    </row>
    <row r="545" spans="2:14" ht="17" x14ac:dyDescent="0.2">
      <c r="B545" s="176" t="s">
        <v>502</v>
      </c>
    </row>
    <row r="546" spans="2:14" ht="17" x14ac:dyDescent="0.2">
      <c r="B546" s="132" t="s">
        <v>60</v>
      </c>
      <c r="C546" s="19"/>
    </row>
    <row r="547" spans="2:14" ht="17" x14ac:dyDescent="0.2">
      <c r="B547" s="135" t="s">
        <v>61</v>
      </c>
      <c r="C547" s="19" t="s">
        <v>40</v>
      </c>
      <c r="J547" s="34" t="s">
        <v>0</v>
      </c>
      <c r="L547" s="221" t="s">
        <v>41</v>
      </c>
      <c r="M547" s="34" t="s">
        <v>478</v>
      </c>
      <c r="N547" s="67" t="s">
        <v>479</v>
      </c>
    </row>
    <row r="548" spans="2:14" ht="17" x14ac:dyDescent="0.2">
      <c r="B548" s="136" t="s">
        <v>62</v>
      </c>
      <c r="C548" s="19" t="s">
        <v>40</v>
      </c>
      <c r="J548" s="34" t="s">
        <v>0</v>
      </c>
      <c r="L548" s="221" t="s">
        <v>41</v>
      </c>
      <c r="M548" s="34" t="s">
        <v>478</v>
      </c>
      <c r="N548" s="67" t="s">
        <v>479</v>
      </c>
    </row>
    <row r="549" spans="2:14" ht="96" x14ac:dyDescent="0.2">
      <c r="B549" s="137" t="s">
        <v>63</v>
      </c>
      <c r="C549" s="19" t="s">
        <v>40</v>
      </c>
      <c r="J549" s="34" t="s">
        <v>0</v>
      </c>
      <c r="L549" s="221" t="s">
        <v>41</v>
      </c>
      <c r="M549" s="34" t="s">
        <v>478</v>
      </c>
      <c r="N549" s="67" t="s">
        <v>479</v>
      </c>
    </row>
    <row r="550" spans="2:14" ht="17" x14ac:dyDescent="0.2">
      <c r="B550" s="136" t="s">
        <v>64</v>
      </c>
      <c r="C550" s="19" t="s">
        <v>40</v>
      </c>
      <c r="J550" s="34" t="s">
        <v>0</v>
      </c>
      <c r="L550" s="221" t="s">
        <v>41</v>
      </c>
      <c r="M550" s="34" t="s">
        <v>478</v>
      </c>
      <c r="N550" s="67" t="s">
        <v>479</v>
      </c>
    </row>
    <row r="551" spans="2:14" ht="20" x14ac:dyDescent="0.25">
      <c r="B551" s="149" t="s">
        <v>150</v>
      </c>
      <c r="C551" s="19"/>
    </row>
    <row r="552" spans="2:14" x14ac:dyDescent="0.2">
      <c r="B552" s="150" t="s">
        <v>151</v>
      </c>
      <c r="C552" s="19"/>
    </row>
    <row r="553" spans="2:14" ht="17" x14ac:dyDescent="0.2">
      <c r="B553" s="151" t="s">
        <v>152</v>
      </c>
      <c r="C553" s="19" t="s">
        <v>40</v>
      </c>
      <c r="J553" s="34" t="s">
        <v>0</v>
      </c>
      <c r="L553" s="221" t="s">
        <v>41</v>
      </c>
      <c r="M553" s="34" t="s">
        <v>478</v>
      </c>
      <c r="N553" s="67" t="s">
        <v>479</v>
      </c>
    </row>
    <row r="554" spans="2:14" ht="17" x14ac:dyDescent="0.2">
      <c r="B554" s="151" t="s">
        <v>153</v>
      </c>
      <c r="C554" s="19" t="s">
        <v>40</v>
      </c>
      <c r="J554" s="34" t="s">
        <v>0</v>
      </c>
      <c r="L554" s="221" t="s">
        <v>41</v>
      </c>
      <c r="M554" s="34" t="s">
        <v>478</v>
      </c>
      <c r="N554" s="67" t="s">
        <v>479</v>
      </c>
    </row>
    <row r="555" spans="2:14" ht="17" x14ac:dyDescent="0.2">
      <c r="B555" s="152" t="s">
        <v>154</v>
      </c>
      <c r="C555" s="19" t="s">
        <v>40</v>
      </c>
      <c r="J555" s="34" t="s">
        <v>0</v>
      </c>
      <c r="L555" s="221" t="s">
        <v>41</v>
      </c>
      <c r="M555" s="34" t="s">
        <v>478</v>
      </c>
      <c r="N555" s="67" t="s">
        <v>479</v>
      </c>
    </row>
    <row r="556" spans="2:14" ht="17" x14ac:dyDescent="0.2">
      <c r="B556" s="143" t="s">
        <v>155</v>
      </c>
      <c r="C556" s="19" t="s">
        <v>40</v>
      </c>
      <c r="J556" s="34" t="s">
        <v>0</v>
      </c>
      <c r="L556" s="221" t="s">
        <v>41</v>
      </c>
      <c r="M556" s="34" t="s">
        <v>478</v>
      </c>
      <c r="N556" s="67" t="s">
        <v>479</v>
      </c>
    </row>
    <row r="557" spans="2:14" x14ac:dyDescent="0.2">
      <c r="B557" s="153" t="s">
        <v>156</v>
      </c>
    </row>
    <row r="558" spans="2:14" x14ac:dyDescent="0.2">
      <c r="B558" s="153" t="s">
        <v>157</v>
      </c>
      <c r="C558" s="19"/>
    </row>
    <row r="559" spans="2:14" ht="17" x14ac:dyDescent="0.2">
      <c r="B559" s="154" t="s">
        <v>158</v>
      </c>
      <c r="C559" s="19" t="s">
        <v>40</v>
      </c>
      <c r="J559" s="34" t="s">
        <v>0</v>
      </c>
      <c r="L559" s="221" t="s">
        <v>41</v>
      </c>
      <c r="M559" s="34" t="s">
        <v>478</v>
      </c>
      <c r="N559" s="67" t="s">
        <v>479</v>
      </c>
    </row>
    <row r="560" spans="2:14" ht="17" x14ac:dyDescent="0.2">
      <c r="B560" s="155" t="s">
        <v>159</v>
      </c>
      <c r="C560" s="19" t="s">
        <v>40</v>
      </c>
      <c r="J560" s="34" t="s">
        <v>0</v>
      </c>
      <c r="L560" s="221" t="s">
        <v>41</v>
      </c>
      <c r="M560" s="34" t="s">
        <v>478</v>
      </c>
      <c r="N560" s="67" t="s">
        <v>479</v>
      </c>
    </row>
    <row r="561" spans="2:14" ht="17" x14ac:dyDescent="0.2">
      <c r="B561" s="151" t="s">
        <v>160</v>
      </c>
      <c r="C561" s="19" t="s">
        <v>40</v>
      </c>
      <c r="J561" s="34" t="s">
        <v>0</v>
      </c>
      <c r="L561" s="221" t="s">
        <v>41</v>
      </c>
      <c r="M561" s="34" t="s">
        <v>478</v>
      </c>
      <c r="N561" s="67" t="s">
        <v>479</v>
      </c>
    </row>
    <row r="562" spans="2:14" x14ac:dyDescent="0.2">
      <c r="B562" s="153" t="s">
        <v>161</v>
      </c>
      <c r="C562" s="19"/>
    </row>
    <row r="563" spans="2:14" x14ac:dyDescent="0.2">
      <c r="B563" s="156" t="s">
        <v>162</v>
      </c>
      <c r="C563" s="19"/>
    </row>
    <row r="564" spans="2:14" ht="48" x14ac:dyDescent="0.2">
      <c r="B564" s="151" t="s">
        <v>163</v>
      </c>
      <c r="C564" s="19" t="s">
        <v>40</v>
      </c>
      <c r="J564" s="34" t="s">
        <v>0</v>
      </c>
      <c r="L564" s="221" t="s">
        <v>41</v>
      </c>
      <c r="M564" s="34" t="s">
        <v>478</v>
      </c>
      <c r="N564" s="67" t="s">
        <v>479</v>
      </c>
    </row>
    <row r="565" spans="2:14" ht="17" x14ac:dyDescent="0.2">
      <c r="B565" s="138" t="s">
        <v>164</v>
      </c>
      <c r="C565" s="19" t="s">
        <v>40</v>
      </c>
      <c r="J565" s="34" t="s">
        <v>0</v>
      </c>
      <c r="L565" s="221" t="s">
        <v>41</v>
      </c>
      <c r="M565" s="34" t="s">
        <v>478</v>
      </c>
      <c r="N565" s="67" t="s">
        <v>479</v>
      </c>
    </row>
    <row r="566" spans="2:14" x14ac:dyDescent="0.2">
      <c r="B566" s="156" t="s">
        <v>165</v>
      </c>
      <c r="C566" s="19"/>
    </row>
    <row r="567" spans="2:14" ht="48" x14ac:dyDescent="0.2">
      <c r="B567" s="151" t="s">
        <v>166</v>
      </c>
      <c r="C567" s="19" t="s">
        <v>40</v>
      </c>
      <c r="J567" s="34" t="s">
        <v>0</v>
      </c>
      <c r="L567" s="221" t="s">
        <v>41</v>
      </c>
      <c r="M567" s="34" t="s">
        <v>478</v>
      </c>
      <c r="N567" s="67" t="s">
        <v>479</v>
      </c>
    </row>
    <row r="568" spans="2:14" ht="17" x14ac:dyDescent="0.2">
      <c r="B568" s="138" t="s">
        <v>167</v>
      </c>
      <c r="C568" s="19" t="s">
        <v>40</v>
      </c>
      <c r="J568" s="34" t="s">
        <v>0</v>
      </c>
      <c r="L568" s="221" t="s">
        <v>41</v>
      </c>
      <c r="M568" s="34" t="s">
        <v>478</v>
      </c>
      <c r="N568" s="67" t="s">
        <v>479</v>
      </c>
    </row>
    <row r="569" spans="2:14" x14ac:dyDescent="0.2">
      <c r="B569" s="157" t="s">
        <v>168</v>
      </c>
    </row>
    <row r="570" spans="2:14" ht="51" x14ac:dyDescent="0.2">
      <c r="B570" s="158" t="s">
        <v>169</v>
      </c>
      <c r="C570" s="19" t="s">
        <v>40</v>
      </c>
      <c r="J570" s="34" t="s">
        <v>0</v>
      </c>
      <c r="L570" s="221" t="s">
        <v>41</v>
      </c>
      <c r="M570" s="34" t="s">
        <v>478</v>
      </c>
      <c r="N570" s="67" t="s">
        <v>479</v>
      </c>
    </row>
    <row r="571" spans="2:14" ht="17" x14ac:dyDescent="0.2">
      <c r="B571" s="159" t="s">
        <v>170</v>
      </c>
      <c r="C571" s="19" t="s">
        <v>40</v>
      </c>
      <c r="J571" s="34" t="s">
        <v>0</v>
      </c>
      <c r="L571" s="221" t="s">
        <v>41</v>
      </c>
      <c r="M571" s="34" t="s">
        <v>478</v>
      </c>
      <c r="N571" s="67" t="s">
        <v>479</v>
      </c>
    </row>
    <row r="572" spans="2:14" x14ac:dyDescent="0.2">
      <c r="B572" s="157" t="s">
        <v>171</v>
      </c>
      <c r="C572" s="19"/>
    </row>
    <row r="573" spans="2:14" ht="48" x14ac:dyDescent="0.2">
      <c r="B573" s="144" t="s">
        <v>172</v>
      </c>
      <c r="C573" s="19" t="s">
        <v>40</v>
      </c>
      <c r="J573" s="34" t="s">
        <v>0</v>
      </c>
      <c r="L573" s="221" t="s">
        <v>41</v>
      </c>
      <c r="M573" s="34" t="s">
        <v>478</v>
      </c>
      <c r="N573" s="67" t="s">
        <v>479</v>
      </c>
    </row>
    <row r="574" spans="2:14" ht="17" x14ac:dyDescent="0.2">
      <c r="B574" s="160" t="s">
        <v>173</v>
      </c>
      <c r="C574" s="19" t="s">
        <v>40</v>
      </c>
      <c r="J574" s="34" t="s">
        <v>0</v>
      </c>
      <c r="L574" s="221" t="s">
        <v>41</v>
      </c>
      <c r="M574" s="34" t="s">
        <v>478</v>
      </c>
      <c r="N574" s="67" t="s">
        <v>479</v>
      </c>
    </row>
    <row r="575" spans="2:14" ht="17" x14ac:dyDescent="0.2">
      <c r="B575" s="161" t="s">
        <v>174</v>
      </c>
    </row>
    <row r="576" spans="2:14" ht="51" x14ac:dyDescent="0.2">
      <c r="B576" s="161" t="s">
        <v>175</v>
      </c>
      <c r="C576" s="19"/>
    </row>
    <row r="577" spans="2:14" ht="17" x14ac:dyDescent="0.2">
      <c r="B577" s="131" t="s">
        <v>176</v>
      </c>
      <c r="C577" s="19" t="s">
        <v>40</v>
      </c>
      <c r="J577" s="34" t="s">
        <v>0</v>
      </c>
      <c r="L577" s="221" t="s">
        <v>41</v>
      </c>
      <c r="M577" s="34" t="s">
        <v>478</v>
      </c>
      <c r="N577" s="67" t="s">
        <v>479</v>
      </c>
    </row>
    <row r="578" spans="2:14" ht="17" x14ac:dyDescent="0.2">
      <c r="B578" s="160" t="s">
        <v>177</v>
      </c>
      <c r="C578" s="19" t="s">
        <v>40</v>
      </c>
      <c r="J578" s="34" t="s">
        <v>0</v>
      </c>
      <c r="L578" s="221" t="s">
        <v>41</v>
      </c>
      <c r="M578" s="34" t="s">
        <v>478</v>
      </c>
      <c r="N578" s="67" t="s">
        <v>479</v>
      </c>
    </row>
    <row r="579" spans="2:14" ht="17" x14ac:dyDescent="0.2">
      <c r="B579" s="131" t="s">
        <v>178</v>
      </c>
      <c r="C579" s="19" t="s">
        <v>40</v>
      </c>
      <c r="J579" s="34" t="s">
        <v>0</v>
      </c>
      <c r="L579" s="221" t="s">
        <v>41</v>
      </c>
      <c r="M579" s="34" t="s">
        <v>478</v>
      </c>
      <c r="N579" s="67" t="s">
        <v>479</v>
      </c>
    </row>
    <row r="580" spans="2:14" ht="68" x14ac:dyDescent="0.2">
      <c r="B580" s="165" t="s">
        <v>289</v>
      </c>
      <c r="C580" s="19" t="s">
        <v>40</v>
      </c>
      <c r="J580" s="34" t="s">
        <v>0</v>
      </c>
      <c r="L580" s="221" t="s">
        <v>41</v>
      </c>
      <c r="M580" s="34" t="s">
        <v>478</v>
      </c>
      <c r="N580" s="67" t="s">
        <v>479</v>
      </c>
    </row>
    <row r="581" spans="2:14" ht="17" x14ac:dyDescent="0.2">
      <c r="B581" s="131" t="s">
        <v>180</v>
      </c>
      <c r="C581" s="19" t="s">
        <v>40</v>
      </c>
      <c r="J581" s="34" t="s">
        <v>0</v>
      </c>
      <c r="L581" s="221" t="s">
        <v>41</v>
      </c>
      <c r="M581" s="34" t="s">
        <v>478</v>
      </c>
      <c r="N581" s="67" t="s">
        <v>479</v>
      </c>
    </row>
    <row r="582" spans="2:14" ht="68" x14ac:dyDescent="0.2">
      <c r="B582" s="165" t="s">
        <v>503</v>
      </c>
      <c r="C582" s="19" t="s">
        <v>40</v>
      </c>
      <c r="J582" s="34" t="s">
        <v>0</v>
      </c>
      <c r="L582" s="221" t="s">
        <v>41</v>
      </c>
      <c r="M582" s="34" t="s">
        <v>478</v>
      </c>
      <c r="N582" s="67" t="s">
        <v>479</v>
      </c>
    </row>
    <row r="583" spans="2:14" ht="17" x14ac:dyDescent="0.2">
      <c r="B583" s="160" t="s">
        <v>182</v>
      </c>
      <c r="C583" s="19" t="s">
        <v>40</v>
      </c>
      <c r="J583" s="34" t="s">
        <v>0</v>
      </c>
      <c r="L583" s="221" t="s">
        <v>41</v>
      </c>
      <c r="M583" s="34" t="s">
        <v>478</v>
      </c>
      <c r="N583" s="67" t="s">
        <v>479</v>
      </c>
    </row>
    <row r="584" spans="2:14" ht="68" x14ac:dyDescent="0.2">
      <c r="B584" s="160" t="s">
        <v>504</v>
      </c>
      <c r="C584" s="19" t="s">
        <v>40</v>
      </c>
      <c r="J584" s="34" t="s">
        <v>0</v>
      </c>
      <c r="L584" s="221" t="s">
        <v>41</v>
      </c>
      <c r="M584" s="34" t="s">
        <v>478</v>
      </c>
      <c r="N584" s="67" t="s">
        <v>479</v>
      </c>
    </row>
    <row r="585" spans="2:14" ht="17" x14ac:dyDescent="0.2">
      <c r="B585" s="162" t="s">
        <v>184</v>
      </c>
      <c r="C585" s="19" t="s">
        <v>40</v>
      </c>
      <c r="J585" s="34" t="s">
        <v>0</v>
      </c>
      <c r="L585" s="221" t="s">
        <v>41</v>
      </c>
      <c r="M585" s="34" t="s">
        <v>478</v>
      </c>
      <c r="N585" s="67" t="s">
        <v>479</v>
      </c>
    </row>
    <row r="586" spans="2:14" ht="17" x14ac:dyDescent="0.2">
      <c r="B586" s="162" t="s">
        <v>185</v>
      </c>
      <c r="C586" s="19" t="s">
        <v>40</v>
      </c>
      <c r="J586" s="34" t="s">
        <v>0</v>
      </c>
      <c r="L586" s="221" t="s">
        <v>41</v>
      </c>
      <c r="M586" s="34" t="s">
        <v>478</v>
      </c>
      <c r="N586" s="67" t="s">
        <v>479</v>
      </c>
    </row>
    <row r="589" spans="2:14" ht="92" x14ac:dyDescent="0.2">
      <c r="B589" s="170" t="s">
        <v>511</v>
      </c>
      <c r="C589" s="19"/>
    </row>
    <row r="590" spans="2:14" ht="46" x14ac:dyDescent="0.2">
      <c r="B590" s="212" t="s">
        <v>202</v>
      </c>
      <c r="C590" s="19"/>
    </row>
    <row r="591" spans="2:14" ht="17" x14ac:dyDescent="0.2">
      <c r="B591" s="127" t="s">
        <v>31</v>
      </c>
      <c r="C591" s="19"/>
    </row>
    <row r="592" spans="2:14" ht="17" x14ac:dyDescent="0.2">
      <c r="B592" s="127" t="s">
        <v>32</v>
      </c>
    </row>
    <row r="593" spans="2:14" ht="17" x14ac:dyDescent="0.2">
      <c r="B593" s="128" t="s">
        <v>33</v>
      </c>
    </row>
    <row r="594" spans="2:14" ht="17" x14ac:dyDescent="0.2">
      <c r="B594" s="127" t="s">
        <v>34</v>
      </c>
      <c r="C594" s="19"/>
    </row>
    <row r="595" spans="2:14" ht="17" x14ac:dyDescent="0.2">
      <c r="B595" s="163" t="s">
        <v>475</v>
      </c>
      <c r="C595" s="19"/>
    </row>
    <row r="596" spans="2:14" ht="17" x14ac:dyDescent="0.2">
      <c r="B596" s="163" t="s">
        <v>508</v>
      </c>
      <c r="C596" s="19"/>
    </row>
    <row r="597" spans="2:14" ht="34" x14ac:dyDescent="0.2">
      <c r="B597" s="163" t="s">
        <v>476</v>
      </c>
      <c r="C597" s="19"/>
    </row>
    <row r="598" spans="2:14" ht="17" x14ac:dyDescent="0.2">
      <c r="B598" s="129" t="s">
        <v>36</v>
      </c>
      <c r="C598" s="19"/>
    </row>
    <row r="599" spans="2:14" ht="17" x14ac:dyDescent="0.2">
      <c r="B599" s="129" t="s">
        <v>37</v>
      </c>
      <c r="C599" s="19"/>
    </row>
    <row r="600" spans="2:14" ht="17" x14ac:dyDescent="0.2">
      <c r="B600" s="128" t="s">
        <v>38</v>
      </c>
      <c r="C600" s="19"/>
    </row>
    <row r="601" spans="2:14" ht="48" x14ac:dyDescent="0.2">
      <c r="B601" s="164" t="s">
        <v>477</v>
      </c>
      <c r="C601" s="19" t="s">
        <v>40</v>
      </c>
      <c r="J601" s="34" t="s">
        <v>0</v>
      </c>
      <c r="L601" s="221" t="s">
        <v>41</v>
      </c>
      <c r="M601" s="34" t="s">
        <v>478</v>
      </c>
      <c r="N601" s="67" t="s">
        <v>479</v>
      </c>
    </row>
    <row r="602" spans="2:14" ht="48" x14ac:dyDescent="0.2">
      <c r="B602" s="164" t="s">
        <v>480</v>
      </c>
      <c r="C602" s="19" t="s">
        <v>40</v>
      </c>
      <c r="J602" s="34" t="s">
        <v>0</v>
      </c>
      <c r="L602" s="221" t="s">
        <v>41</v>
      </c>
      <c r="M602" s="34" t="s">
        <v>478</v>
      </c>
      <c r="N602" s="67" t="s">
        <v>479</v>
      </c>
    </row>
    <row r="603" spans="2:14" ht="17" x14ac:dyDescent="0.2">
      <c r="B603" s="128" t="s">
        <v>44</v>
      </c>
      <c r="C603" s="19"/>
    </row>
    <row r="604" spans="2:14" ht="17" x14ac:dyDescent="0.2">
      <c r="B604" s="130" t="s">
        <v>46</v>
      </c>
      <c r="C604" s="19" t="s">
        <v>40</v>
      </c>
      <c r="J604" s="34" t="s">
        <v>0</v>
      </c>
      <c r="L604" s="221" t="s">
        <v>41</v>
      </c>
      <c r="M604" s="34" t="s">
        <v>478</v>
      </c>
      <c r="N604" s="67" t="s">
        <v>479</v>
      </c>
    </row>
    <row r="605" spans="2:14" ht="17" x14ac:dyDescent="0.2">
      <c r="B605" s="128" t="s">
        <v>47</v>
      </c>
    </row>
    <row r="606" spans="2:14" ht="17" x14ac:dyDescent="0.2">
      <c r="B606" s="165" t="s">
        <v>481</v>
      </c>
      <c r="C606" s="19" t="s">
        <v>40</v>
      </c>
      <c r="J606" s="34" t="s">
        <v>0</v>
      </c>
      <c r="L606" s="221" t="s">
        <v>41</v>
      </c>
      <c r="M606" s="34" t="s">
        <v>478</v>
      </c>
      <c r="N606" s="67" t="s">
        <v>479</v>
      </c>
    </row>
    <row r="607" spans="2:14" ht="17" x14ac:dyDescent="0.2">
      <c r="B607" s="131" t="s">
        <v>49</v>
      </c>
      <c r="C607" s="19" t="s">
        <v>40</v>
      </c>
      <c r="J607" s="34" t="s">
        <v>0</v>
      </c>
      <c r="L607" s="221" t="s">
        <v>41</v>
      </c>
      <c r="M607" s="34" t="s">
        <v>478</v>
      </c>
      <c r="N607" s="67" t="s">
        <v>479</v>
      </c>
    </row>
    <row r="608" spans="2:14" ht="17" x14ac:dyDescent="0.2">
      <c r="B608" s="128" t="s">
        <v>482</v>
      </c>
    </row>
    <row r="609" spans="2:14" ht="17" x14ac:dyDescent="0.2">
      <c r="B609" s="165" t="s">
        <v>66</v>
      </c>
      <c r="C609" s="19" t="s">
        <v>40</v>
      </c>
      <c r="J609" s="34" t="s">
        <v>0</v>
      </c>
      <c r="L609" s="221" t="s">
        <v>41</v>
      </c>
      <c r="M609" s="34" t="s">
        <v>478</v>
      </c>
      <c r="N609" s="67" t="s">
        <v>479</v>
      </c>
    </row>
    <row r="610" spans="2:14" ht="17" x14ac:dyDescent="0.2">
      <c r="B610" s="138" t="s">
        <v>67</v>
      </c>
      <c r="C610" s="19" t="s">
        <v>40</v>
      </c>
      <c r="J610" s="34" t="s">
        <v>0</v>
      </c>
      <c r="L610" s="221" t="s">
        <v>41</v>
      </c>
      <c r="M610" s="34" t="s">
        <v>478</v>
      </c>
      <c r="N610" s="67" t="s">
        <v>479</v>
      </c>
    </row>
    <row r="611" spans="2:14" ht="17" x14ac:dyDescent="0.2">
      <c r="B611" s="166" t="s">
        <v>68</v>
      </c>
      <c r="C611" s="19" t="s">
        <v>40</v>
      </c>
      <c r="J611" s="34" t="s">
        <v>0</v>
      </c>
      <c r="L611" s="221" t="s">
        <v>41</v>
      </c>
      <c r="M611" s="34" t="s">
        <v>478</v>
      </c>
      <c r="N611" s="67" t="s">
        <v>479</v>
      </c>
    </row>
    <row r="612" spans="2:14" ht="17" x14ac:dyDescent="0.2">
      <c r="B612" s="166" t="s">
        <v>69</v>
      </c>
      <c r="C612" s="19" t="s">
        <v>40</v>
      </c>
      <c r="J612" s="34" t="s">
        <v>0</v>
      </c>
      <c r="L612" s="221" t="s">
        <v>41</v>
      </c>
      <c r="M612" s="34" t="s">
        <v>478</v>
      </c>
      <c r="N612" s="67" t="s">
        <v>479</v>
      </c>
    </row>
    <row r="613" spans="2:14" ht="17" x14ac:dyDescent="0.2">
      <c r="B613" s="166" t="s">
        <v>70</v>
      </c>
      <c r="C613" s="19" t="s">
        <v>40</v>
      </c>
      <c r="J613" s="34" t="s">
        <v>0</v>
      </c>
      <c r="L613" s="221" t="s">
        <v>41</v>
      </c>
      <c r="M613" s="34" t="s">
        <v>478</v>
      </c>
      <c r="N613" s="67" t="s">
        <v>479</v>
      </c>
    </row>
    <row r="614" spans="2:14" ht="17" x14ac:dyDescent="0.2">
      <c r="B614" s="166" t="s">
        <v>512</v>
      </c>
      <c r="C614" s="19" t="s">
        <v>40</v>
      </c>
      <c r="J614" s="34" t="s">
        <v>0</v>
      </c>
      <c r="L614" s="221" t="s">
        <v>41</v>
      </c>
      <c r="M614" s="34" t="s">
        <v>478</v>
      </c>
      <c r="N614" s="67" t="s">
        <v>479</v>
      </c>
    </row>
    <row r="615" spans="2:14" ht="17" x14ac:dyDescent="0.2">
      <c r="B615" s="139" t="s">
        <v>72</v>
      </c>
      <c r="C615" s="19" t="s">
        <v>40</v>
      </c>
      <c r="J615" s="34" t="s">
        <v>0</v>
      </c>
      <c r="L615" s="221" t="s">
        <v>41</v>
      </c>
      <c r="M615" s="34" t="s">
        <v>478</v>
      </c>
      <c r="N615" s="67" t="s">
        <v>479</v>
      </c>
    </row>
    <row r="616" spans="2:14" ht="17" x14ac:dyDescent="0.2">
      <c r="B616" s="166" t="s">
        <v>483</v>
      </c>
      <c r="C616" s="19" t="s">
        <v>40</v>
      </c>
      <c r="J616" s="34" t="s">
        <v>0</v>
      </c>
      <c r="L616" s="221" t="s">
        <v>41</v>
      </c>
      <c r="M616" s="34" t="s">
        <v>478</v>
      </c>
      <c r="N616" s="67" t="s">
        <v>479</v>
      </c>
    </row>
    <row r="617" spans="2:14" ht="17" x14ac:dyDescent="0.2">
      <c r="B617" s="166" t="s">
        <v>484</v>
      </c>
      <c r="C617" s="19" t="s">
        <v>40</v>
      </c>
      <c r="J617" s="34" t="s">
        <v>0</v>
      </c>
      <c r="L617" s="221" t="s">
        <v>41</v>
      </c>
      <c r="M617" s="34" t="s">
        <v>478</v>
      </c>
      <c r="N617" s="67" t="s">
        <v>479</v>
      </c>
    </row>
    <row r="618" spans="2:14" ht="17" x14ac:dyDescent="0.2">
      <c r="B618" s="167" t="s">
        <v>485</v>
      </c>
      <c r="C618" s="19" t="s">
        <v>40</v>
      </c>
      <c r="J618" s="34" t="s">
        <v>0</v>
      </c>
      <c r="L618" s="221" t="s">
        <v>41</v>
      </c>
      <c r="M618" s="34" t="s">
        <v>478</v>
      </c>
      <c r="N618" s="67" t="s">
        <v>479</v>
      </c>
    </row>
    <row r="619" spans="2:14" ht="17" x14ac:dyDescent="0.2">
      <c r="B619" s="169" t="s">
        <v>486</v>
      </c>
      <c r="C619" s="19" t="s">
        <v>40</v>
      </c>
    </row>
    <row r="620" spans="2:14" ht="17" x14ac:dyDescent="0.2">
      <c r="B620" s="167" t="s">
        <v>487</v>
      </c>
      <c r="C620" s="19" t="s">
        <v>40</v>
      </c>
      <c r="J620" s="34" t="s">
        <v>0</v>
      </c>
      <c r="L620" s="221" t="s">
        <v>41</v>
      </c>
      <c r="M620" s="34" t="s">
        <v>478</v>
      </c>
      <c r="N620" s="67" t="s">
        <v>479</v>
      </c>
    </row>
    <row r="621" spans="2:14" ht="17" x14ac:dyDescent="0.2">
      <c r="B621" s="167" t="s">
        <v>488</v>
      </c>
      <c r="C621" s="19" t="s">
        <v>40</v>
      </c>
      <c r="J621" s="34" t="s">
        <v>0</v>
      </c>
      <c r="L621" s="221" t="s">
        <v>41</v>
      </c>
      <c r="M621" s="34" t="s">
        <v>478</v>
      </c>
      <c r="N621" s="67" t="s">
        <v>479</v>
      </c>
    </row>
    <row r="622" spans="2:14" ht="17" x14ac:dyDescent="0.2">
      <c r="B622" s="167" t="s">
        <v>489</v>
      </c>
      <c r="C622" s="19" t="s">
        <v>40</v>
      </c>
      <c r="J622" s="34" t="s">
        <v>0</v>
      </c>
      <c r="L622" s="221" t="s">
        <v>41</v>
      </c>
      <c r="M622" s="34" t="s">
        <v>478</v>
      </c>
      <c r="N622" s="67" t="s">
        <v>479</v>
      </c>
    </row>
    <row r="623" spans="2:14" ht="17" x14ac:dyDescent="0.2">
      <c r="B623" s="167" t="s">
        <v>490</v>
      </c>
      <c r="C623" s="19" t="s">
        <v>40</v>
      </c>
      <c r="J623" s="34" t="s">
        <v>0</v>
      </c>
      <c r="L623" s="221" t="s">
        <v>41</v>
      </c>
      <c r="M623" s="34" t="s">
        <v>478</v>
      </c>
      <c r="N623" s="67" t="s">
        <v>479</v>
      </c>
    </row>
    <row r="624" spans="2:14" ht="17" x14ac:dyDescent="0.2">
      <c r="B624" s="147" t="s">
        <v>134</v>
      </c>
      <c r="C624" s="19" t="s">
        <v>40</v>
      </c>
      <c r="J624" s="34" t="s">
        <v>0</v>
      </c>
      <c r="L624" s="221" t="s">
        <v>41</v>
      </c>
      <c r="M624" s="34" t="s">
        <v>478</v>
      </c>
      <c r="N624" s="67" t="s">
        <v>479</v>
      </c>
    </row>
    <row r="625" spans="2:14" ht="17" x14ac:dyDescent="0.2">
      <c r="B625" s="167" t="s">
        <v>491</v>
      </c>
      <c r="C625" s="19" t="s">
        <v>40</v>
      </c>
      <c r="J625" s="34" t="s">
        <v>0</v>
      </c>
      <c r="L625" s="221" t="s">
        <v>41</v>
      </c>
      <c r="M625" s="34" t="s">
        <v>478</v>
      </c>
      <c r="N625" s="67" t="s">
        <v>479</v>
      </c>
    </row>
    <row r="626" spans="2:14" ht="17" x14ac:dyDescent="0.2">
      <c r="B626" s="167" t="s">
        <v>492</v>
      </c>
      <c r="C626" s="19" t="s">
        <v>40</v>
      </c>
      <c r="J626" s="34" t="s">
        <v>0</v>
      </c>
      <c r="L626" s="221" t="s">
        <v>41</v>
      </c>
      <c r="M626" s="34" t="s">
        <v>478</v>
      </c>
      <c r="N626" s="67" t="s">
        <v>479</v>
      </c>
    </row>
    <row r="627" spans="2:14" ht="17" x14ac:dyDescent="0.2">
      <c r="B627" s="167" t="s">
        <v>493</v>
      </c>
      <c r="C627" s="19" t="s">
        <v>40</v>
      </c>
      <c r="J627" s="34" t="s">
        <v>0</v>
      </c>
      <c r="L627" s="221" t="s">
        <v>41</v>
      </c>
      <c r="M627" s="34" t="s">
        <v>478</v>
      </c>
      <c r="N627" s="67" t="s">
        <v>479</v>
      </c>
    </row>
    <row r="628" spans="2:14" ht="17" x14ac:dyDescent="0.2">
      <c r="B628" s="166" t="s">
        <v>205</v>
      </c>
      <c r="C628" s="19" t="s">
        <v>40</v>
      </c>
      <c r="J628" s="34" t="s">
        <v>0</v>
      </c>
      <c r="L628" s="221" t="s">
        <v>41</v>
      </c>
      <c r="M628" s="34" t="s">
        <v>478</v>
      </c>
      <c r="N628" s="67" t="s">
        <v>479</v>
      </c>
    </row>
    <row r="629" spans="2:14" ht="17" x14ac:dyDescent="0.2">
      <c r="B629" s="138" t="s">
        <v>79</v>
      </c>
      <c r="C629" s="19" t="s">
        <v>40</v>
      </c>
      <c r="J629" s="34" t="s">
        <v>0</v>
      </c>
      <c r="L629" s="221" t="s">
        <v>41</v>
      </c>
      <c r="M629" s="34" t="s">
        <v>478</v>
      </c>
      <c r="N629" s="67" t="s">
        <v>479</v>
      </c>
    </row>
    <row r="630" spans="2:14" ht="17" x14ac:dyDescent="0.2">
      <c r="B630" s="138" t="s">
        <v>80</v>
      </c>
      <c r="C630" s="19" t="s">
        <v>40</v>
      </c>
      <c r="J630" s="34" t="s">
        <v>0</v>
      </c>
      <c r="L630" s="221" t="s">
        <v>41</v>
      </c>
      <c r="M630" s="34" t="s">
        <v>478</v>
      </c>
      <c r="N630" s="67" t="s">
        <v>479</v>
      </c>
    </row>
    <row r="631" spans="2:14" ht="17" x14ac:dyDescent="0.2">
      <c r="B631" s="138" t="s">
        <v>81</v>
      </c>
      <c r="C631" s="19" t="s">
        <v>40</v>
      </c>
      <c r="J631" s="34" t="s">
        <v>0</v>
      </c>
      <c r="L631" s="221" t="s">
        <v>41</v>
      </c>
      <c r="M631" s="34" t="s">
        <v>478</v>
      </c>
      <c r="N631" s="67" t="s">
        <v>479</v>
      </c>
    </row>
    <row r="632" spans="2:14" ht="17" x14ac:dyDescent="0.2">
      <c r="B632" s="138" t="s">
        <v>82</v>
      </c>
      <c r="C632" s="19" t="s">
        <v>40</v>
      </c>
      <c r="J632" s="34" t="s">
        <v>0</v>
      </c>
      <c r="L632" s="221" t="s">
        <v>41</v>
      </c>
      <c r="M632" s="34" t="s">
        <v>478</v>
      </c>
      <c r="N632" s="67" t="s">
        <v>479</v>
      </c>
    </row>
    <row r="633" spans="2:14" ht="17" x14ac:dyDescent="0.2">
      <c r="B633" s="166" t="s">
        <v>494</v>
      </c>
      <c r="C633" s="19" t="s">
        <v>40</v>
      </c>
      <c r="J633" s="34" t="s">
        <v>0</v>
      </c>
      <c r="L633" s="221" t="s">
        <v>41</v>
      </c>
      <c r="M633" s="34" t="s">
        <v>478</v>
      </c>
      <c r="N633" s="67" t="s">
        <v>479</v>
      </c>
    </row>
    <row r="634" spans="2:14" ht="17" x14ac:dyDescent="0.2">
      <c r="B634" s="166" t="s">
        <v>495</v>
      </c>
      <c r="C634" s="19" t="s">
        <v>40</v>
      </c>
      <c r="J634" s="34" t="s">
        <v>0</v>
      </c>
      <c r="L634" s="221" t="s">
        <v>41</v>
      </c>
      <c r="M634" s="34" t="s">
        <v>478</v>
      </c>
      <c r="N634" s="67" t="s">
        <v>479</v>
      </c>
    </row>
    <row r="635" spans="2:14" ht="17" x14ac:dyDescent="0.2">
      <c r="B635" s="169" t="s">
        <v>496</v>
      </c>
      <c r="C635" s="19"/>
    </row>
    <row r="636" spans="2:14" ht="17" x14ac:dyDescent="0.2">
      <c r="B636" s="168" t="s">
        <v>134</v>
      </c>
      <c r="C636" s="19" t="s">
        <v>40</v>
      </c>
      <c r="J636" s="34" t="s">
        <v>0</v>
      </c>
      <c r="L636" s="221" t="s">
        <v>41</v>
      </c>
      <c r="M636" s="34" t="s">
        <v>478</v>
      </c>
      <c r="N636" s="67" t="s">
        <v>479</v>
      </c>
    </row>
    <row r="637" spans="2:14" ht="17" x14ac:dyDescent="0.2">
      <c r="B637" s="167" t="s">
        <v>497</v>
      </c>
      <c r="C637" s="19" t="s">
        <v>40</v>
      </c>
      <c r="J637" s="34" t="s">
        <v>0</v>
      </c>
      <c r="L637" s="221" t="s">
        <v>41</v>
      </c>
      <c r="M637" s="34" t="s">
        <v>478</v>
      </c>
      <c r="N637" s="67" t="s">
        <v>479</v>
      </c>
    </row>
    <row r="638" spans="2:14" ht="17" x14ac:dyDescent="0.2">
      <c r="B638" s="166" t="s">
        <v>498</v>
      </c>
      <c r="C638" s="19" t="s">
        <v>40</v>
      </c>
      <c r="J638" s="34" t="s">
        <v>0</v>
      </c>
      <c r="L638" s="221" t="s">
        <v>41</v>
      </c>
      <c r="M638" s="34" t="s">
        <v>478</v>
      </c>
      <c r="N638" s="67" t="s">
        <v>479</v>
      </c>
    </row>
    <row r="639" spans="2:14" ht="17" x14ac:dyDescent="0.2">
      <c r="B639" s="167" t="s">
        <v>499</v>
      </c>
      <c r="C639" s="19" t="s">
        <v>40</v>
      </c>
      <c r="J639" s="34" t="s">
        <v>0</v>
      </c>
      <c r="L639" s="221" t="s">
        <v>41</v>
      </c>
      <c r="M639" s="34" t="s">
        <v>478</v>
      </c>
      <c r="N639" s="67" t="s">
        <v>479</v>
      </c>
    </row>
    <row r="640" spans="2:14" x14ac:dyDescent="0.2">
      <c r="B640" s="140" t="s">
        <v>86</v>
      </c>
    </row>
    <row r="641" spans="2:14" x14ac:dyDescent="0.2">
      <c r="B641" s="140" t="s">
        <v>500</v>
      </c>
    </row>
    <row r="642" spans="2:14" ht="17" x14ac:dyDescent="0.2">
      <c r="B642" s="141" t="s">
        <v>87</v>
      </c>
      <c r="C642" s="19" t="s">
        <v>40</v>
      </c>
      <c r="J642" s="34" t="s">
        <v>0</v>
      </c>
      <c r="L642" s="221" t="s">
        <v>41</v>
      </c>
      <c r="M642" s="34" t="s">
        <v>478</v>
      </c>
      <c r="N642" s="67" t="s">
        <v>479</v>
      </c>
    </row>
    <row r="643" spans="2:14" ht="32" x14ac:dyDescent="0.2">
      <c r="B643" s="142" t="s">
        <v>102</v>
      </c>
      <c r="C643" s="19" t="s">
        <v>40</v>
      </c>
      <c r="J643" s="34" t="s">
        <v>0</v>
      </c>
      <c r="L643" s="221" t="s">
        <v>41</v>
      </c>
      <c r="M643" s="34" t="s">
        <v>478</v>
      </c>
      <c r="N643" s="67" t="s">
        <v>479</v>
      </c>
    </row>
    <row r="644" spans="2:14" ht="48" x14ac:dyDescent="0.2">
      <c r="B644" s="143" t="s">
        <v>103</v>
      </c>
      <c r="C644" s="19" t="s">
        <v>40</v>
      </c>
      <c r="J644" s="34" t="s">
        <v>0</v>
      </c>
      <c r="L644" s="221" t="s">
        <v>41</v>
      </c>
      <c r="M644" s="34" t="s">
        <v>478</v>
      </c>
      <c r="N644" s="67" t="s">
        <v>479</v>
      </c>
    </row>
    <row r="645" spans="2:14" ht="17" x14ac:dyDescent="0.2">
      <c r="B645" s="144" t="s">
        <v>96</v>
      </c>
      <c r="C645" s="19" t="s">
        <v>40</v>
      </c>
      <c r="J645" s="34" t="s">
        <v>0</v>
      </c>
      <c r="L645" s="221" t="s">
        <v>41</v>
      </c>
      <c r="M645" s="34" t="s">
        <v>478</v>
      </c>
      <c r="N645" s="67" t="s">
        <v>479</v>
      </c>
    </row>
    <row r="646" spans="2:14" ht="32" x14ac:dyDescent="0.2">
      <c r="B646" s="143" t="s">
        <v>104</v>
      </c>
      <c r="C646" s="19" t="s">
        <v>40</v>
      </c>
      <c r="J646" s="34" t="s">
        <v>0</v>
      </c>
      <c r="L646" s="221" t="s">
        <v>41</v>
      </c>
      <c r="M646" s="34" t="s">
        <v>478</v>
      </c>
      <c r="N646" s="67" t="s">
        <v>479</v>
      </c>
    </row>
    <row r="647" spans="2:14" ht="32" x14ac:dyDescent="0.2">
      <c r="B647" s="142" t="s">
        <v>105</v>
      </c>
      <c r="C647" s="19" t="s">
        <v>40</v>
      </c>
      <c r="J647" s="34" t="s">
        <v>0</v>
      </c>
      <c r="L647" s="221" t="s">
        <v>41</v>
      </c>
      <c r="M647" s="34" t="s">
        <v>478</v>
      </c>
      <c r="N647" s="67" t="s">
        <v>479</v>
      </c>
    </row>
    <row r="648" spans="2:14" ht="17" x14ac:dyDescent="0.2">
      <c r="B648" s="144" t="s">
        <v>99</v>
      </c>
      <c r="C648" s="19" t="s">
        <v>40</v>
      </c>
      <c r="J648" s="34" t="s">
        <v>0</v>
      </c>
      <c r="L648" s="221" t="s">
        <v>41</v>
      </c>
      <c r="M648" s="34" t="s">
        <v>478</v>
      </c>
      <c r="N648" s="67" t="s">
        <v>479</v>
      </c>
    </row>
    <row r="649" spans="2:14" ht="17" x14ac:dyDescent="0.2">
      <c r="B649" s="143" t="s">
        <v>106</v>
      </c>
      <c r="C649" s="19" t="s">
        <v>40</v>
      </c>
      <c r="J649" s="34" t="s">
        <v>0</v>
      </c>
      <c r="L649" s="221" t="s">
        <v>41</v>
      </c>
      <c r="M649" s="34" t="s">
        <v>478</v>
      </c>
      <c r="N649" s="67" t="s">
        <v>479</v>
      </c>
    </row>
    <row r="650" spans="2:14" x14ac:dyDescent="0.2">
      <c r="B650" s="140" t="s">
        <v>101</v>
      </c>
    </row>
    <row r="651" spans="2:14" ht="17" x14ac:dyDescent="0.2">
      <c r="B651" s="141" t="s">
        <v>87</v>
      </c>
      <c r="C651" s="19" t="s">
        <v>40</v>
      </c>
      <c r="J651" s="34" t="s">
        <v>0</v>
      </c>
      <c r="L651" s="221" t="s">
        <v>41</v>
      </c>
      <c r="M651" s="34" t="s">
        <v>478</v>
      </c>
      <c r="N651" s="67" t="s">
        <v>479</v>
      </c>
    </row>
    <row r="652" spans="2:14" ht="32" x14ac:dyDescent="0.2">
      <c r="B652" s="142" t="s">
        <v>102</v>
      </c>
      <c r="C652" s="19" t="s">
        <v>40</v>
      </c>
      <c r="J652" s="34" t="s">
        <v>0</v>
      </c>
      <c r="L652" s="221" t="s">
        <v>41</v>
      </c>
      <c r="M652" s="34" t="s">
        <v>478</v>
      </c>
      <c r="N652" s="67" t="s">
        <v>479</v>
      </c>
    </row>
    <row r="653" spans="2:14" ht="48" x14ac:dyDescent="0.2">
      <c r="B653" s="143" t="s">
        <v>108</v>
      </c>
      <c r="C653" s="19" t="s">
        <v>40</v>
      </c>
      <c r="J653" s="34" t="s">
        <v>0</v>
      </c>
      <c r="L653" s="221" t="s">
        <v>41</v>
      </c>
      <c r="M653" s="34" t="s">
        <v>478</v>
      </c>
      <c r="N653" s="67" t="s">
        <v>479</v>
      </c>
    </row>
    <row r="654" spans="2:14" ht="17" x14ac:dyDescent="0.2">
      <c r="B654" s="144" t="s">
        <v>96</v>
      </c>
      <c r="C654" s="19" t="s">
        <v>40</v>
      </c>
      <c r="J654" s="34" t="s">
        <v>0</v>
      </c>
      <c r="L654" s="221" t="s">
        <v>41</v>
      </c>
      <c r="M654" s="34" t="s">
        <v>478</v>
      </c>
      <c r="N654" s="67" t="s">
        <v>479</v>
      </c>
    </row>
    <row r="655" spans="2:14" ht="32" x14ac:dyDescent="0.2">
      <c r="B655" s="143" t="s">
        <v>109</v>
      </c>
      <c r="C655" s="19" t="s">
        <v>40</v>
      </c>
      <c r="J655" s="34" t="s">
        <v>0</v>
      </c>
      <c r="L655" s="221" t="s">
        <v>41</v>
      </c>
      <c r="M655" s="34" t="s">
        <v>478</v>
      </c>
      <c r="N655" s="67" t="s">
        <v>479</v>
      </c>
    </row>
    <row r="656" spans="2:14" ht="32" x14ac:dyDescent="0.2">
      <c r="B656" s="142" t="s">
        <v>110</v>
      </c>
      <c r="C656" s="19" t="s">
        <v>40</v>
      </c>
      <c r="J656" s="34" t="s">
        <v>0</v>
      </c>
      <c r="L656" s="221" t="s">
        <v>41</v>
      </c>
      <c r="M656" s="34" t="s">
        <v>478</v>
      </c>
      <c r="N656" s="67" t="s">
        <v>479</v>
      </c>
    </row>
    <row r="657" spans="2:14" ht="17" x14ac:dyDescent="0.2">
      <c r="B657" s="144" t="s">
        <v>99</v>
      </c>
      <c r="C657" s="19" t="s">
        <v>40</v>
      </c>
      <c r="J657" s="34" t="s">
        <v>0</v>
      </c>
      <c r="L657" s="221" t="s">
        <v>41</v>
      </c>
      <c r="M657" s="34" t="s">
        <v>478</v>
      </c>
      <c r="N657" s="67" t="s">
        <v>479</v>
      </c>
    </row>
    <row r="658" spans="2:14" ht="17" x14ac:dyDescent="0.2">
      <c r="B658" s="143" t="s">
        <v>111</v>
      </c>
      <c r="C658" s="19" t="s">
        <v>40</v>
      </c>
      <c r="J658" s="34" t="s">
        <v>0</v>
      </c>
      <c r="L658" s="221" t="s">
        <v>41</v>
      </c>
      <c r="M658" s="34" t="s">
        <v>478</v>
      </c>
      <c r="N658" s="67" t="s">
        <v>479</v>
      </c>
    </row>
    <row r="659" spans="2:14" x14ac:dyDescent="0.2">
      <c r="B659" s="140" t="s">
        <v>107</v>
      </c>
    </row>
    <row r="660" spans="2:14" ht="17" x14ac:dyDescent="0.2">
      <c r="B660" s="141" t="s">
        <v>87</v>
      </c>
      <c r="C660" s="19" t="s">
        <v>40</v>
      </c>
      <c r="J660" s="34" t="s">
        <v>0</v>
      </c>
      <c r="L660" s="221" t="s">
        <v>41</v>
      </c>
      <c r="M660" s="34" t="s">
        <v>478</v>
      </c>
      <c r="N660" s="67" t="s">
        <v>479</v>
      </c>
    </row>
    <row r="661" spans="2:14" ht="32" x14ac:dyDescent="0.2">
      <c r="B661" s="142" t="s">
        <v>102</v>
      </c>
      <c r="C661" s="19" t="s">
        <v>40</v>
      </c>
      <c r="J661" s="34" t="s">
        <v>0</v>
      </c>
      <c r="L661" s="221" t="s">
        <v>41</v>
      </c>
      <c r="M661" s="34" t="s">
        <v>478</v>
      </c>
      <c r="N661" s="67" t="s">
        <v>479</v>
      </c>
    </row>
    <row r="662" spans="2:14" ht="48" x14ac:dyDescent="0.2">
      <c r="B662" s="143" t="s">
        <v>113</v>
      </c>
      <c r="C662" s="19" t="s">
        <v>40</v>
      </c>
      <c r="J662" s="34" t="s">
        <v>0</v>
      </c>
      <c r="L662" s="221" t="s">
        <v>41</v>
      </c>
      <c r="M662" s="34" t="s">
        <v>478</v>
      </c>
      <c r="N662" s="67" t="s">
        <v>479</v>
      </c>
    </row>
    <row r="663" spans="2:14" ht="17" x14ac:dyDescent="0.2">
      <c r="B663" s="144" t="s">
        <v>96</v>
      </c>
      <c r="C663" s="19" t="s">
        <v>40</v>
      </c>
      <c r="J663" s="34" t="s">
        <v>0</v>
      </c>
      <c r="L663" s="221" t="s">
        <v>41</v>
      </c>
      <c r="M663" s="34" t="s">
        <v>478</v>
      </c>
      <c r="N663" s="67" t="s">
        <v>479</v>
      </c>
    </row>
    <row r="664" spans="2:14" ht="32" x14ac:dyDescent="0.2">
      <c r="B664" s="143" t="s">
        <v>97</v>
      </c>
      <c r="C664" s="19" t="s">
        <v>40</v>
      </c>
      <c r="J664" s="34" t="s">
        <v>0</v>
      </c>
      <c r="L664" s="221" t="s">
        <v>41</v>
      </c>
      <c r="M664" s="34" t="s">
        <v>478</v>
      </c>
      <c r="N664" s="67" t="s">
        <v>479</v>
      </c>
    </row>
    <row r="665" spans="2:14" ht="32" x14ac:dyDescent="0.2">
      <c r="B665" s="142" t="s">
        <v>114</v>
      </c>
      <c r="C665" s="19" t="s">
        <v>40</v>
      </c>
      <c r="J665" s="34" t="s">
        <v>0</v>
      </c>
      <c r="L665" s="221" t="s">
        <v>41</v>
      </c>
      <c r="M665" s="34" t="s">
        <v>478</v>
      </c>
      <c r="N665" s="67" t="s">
        <v>479</v>
      </c>
    </row>
    <row r="666" spans="2:14" ht="17" x14ac:dyDescent="0.2">
      <c r="B666" s="144" t="s">
        <v>99</v>
      </c>
      <c r="C666" s="19" t="s">
        <v>40</v>
      </c>
      <c r="J666" s="34" t="s">
        <v>0</v>
      </c>
      <c r="L666" s="221" t="s">
        <v>41</v>
      </c>
      <c r="M666" s="34" t="s">
        <v>478</v>
      </c>
      <c r="N666" s="67" t="s">
        <v>479</v>
      </c>
    </row>
    <row r="667" spans="2:14" ht="17" x14ac:dyDescent="0.2">
      <c r="B667" s="143" t="s">
        <v>115</v>
      </c>
      <c r="C667" s="19" t="s">
        <v>40</v>
      </c>
      <c r="J667" s="34" t="s">
        <v>0</v>
      </c>
      <c r="L667" s="221" t="s">
        <v>41</v>
      </c>
      <c r="M667" s="34" t="s">
        <v>478</v>
      </c>
      <c r="N667" s="67" t="s">
        <v>479</v>
      </c>
    </row>
    <row r="668" spans="2:14" x14ac:dyDescent="0.2">
      <c r="B668" s="140" t="s">
        <v>206</v>
      </c>
      <c r="C668" s="19"/>
    </row>
    <row r="669" spans="2:14" ht="17" x14ac:dyDescent="0.2">
      <c r="B669" s="213" t="s">
        <v>87</v>
      </c>
      <c r="C669" s="19" t="s">
        <v>40</v>
      </c>
      <c r="J669" s="34" t="s">
        <v>0</v>
      </c>
      <c r="L669" s="221" t="s">
        <v>41</v>
      </c>
      <c r="M669" s="34" t="s">
        <v>478</v>
      </c>
      <c r="N669" s="67" t="s">
        <v>479</v>
      </c>
    </row>
    <row r="670" spans="2:14" ht="41.25" customHeight="1" x14ac:dyDescent="0.2">
      <c r="B670" s="214" t="s">
        <v>207</v>
      </c>
      <c r="C670" s="19" t="s">
        <v>40</v>
      </c>
      <c r="J670" s="34" t="s">
        <v>0</v>
      </c>
      <c r="L670" s="221" t="s">
        <v>41</v>
      </c>
      <c r="M670" s="34" t="s">
        <v>478</v>
      </c>
      <c r="N670" s="67" t="s">
        <v>479</v>
      </c>
    </row>
    <row r="671" spans="2:14" ht="48" x14ac:dyDescent="0.2">
      <c r="B671" s="215" t="s">
        <v>208</v>
      </c>
      <c r="C671" s="19" t="s">
        <v>40</v>
      </c>
      <c r="J671" s="34" t="s">
        <v>0</v>
      </c>
      <c r="L671" s="221" t="s">
        <v>41</v>
      </c>
      <c r="M671" s="34" t="s">
        <v>478</v>
      </c>
      <c r="N671" s="67" t="s">
        <v>479</v>
      </c>
    </row>
    <row r="672" spans="2:14" ht="17" x14ac:dyDescent="0.2">
      <c r="B672" s="216" t="s">
        <v>96</v>
      </c>
      <c r="C672" s="19" t="s">
        <v>40</v>
      </c>
      <c r="J672" s="34" t="s">
        <v>0</v>
      </c>
      <c r="L672" s="221" t="s">
        <v>41</v>
      </c>
      <c r="M672" s="34" t="s">
        <v>478</v>
      </c>
      <c r="N672" s="67" t="s">
        <v>479</v>
      </c>
    </row>
    <row r="673" spans="2:14" ht="32" x14ac:dyDescent="0.2">
      <c r="B673" s="215" t="s">
        <v>209</v>
      </c>
      <c r="C673" s="19" t="s">
        <v>40</v>
      </c>
      <c r="J673" s="34" t="s">
        <v>0</v>
      </c>
      <c r="L673" s="221" t="s">
        <v>41</v>
      </c>
      <c r="M673" s="34" t="s">
        <v>478</v>
      </c>
      <c r="N673" s="67" t="s">
        <v>479</v>
      </c>
    </row>
    <row r="674" spans="2:14" ht="35.25" customHeight="1" x14ac:dyDescent="0.2">
      <c r="B674" s="217" t="s">
        <v>210</v>
      </c>
      <c r="C674" s="19" t="s">
        <v>40</v>
      </c>
      <c r="J674" s="34" t="s">
        <v>0</v>
      </c>
      <c r="L674" s="221" t="s">
        <v>41</v>
      </c>
      <c r="M674" s="34" t="s">
        <v>478</v>
      </c>
      <c r="N674" s="67" t="s">
        <v>479</v>
      </c>
    </row>
    <row r="675" spans="2:14" ht="17" x14ac:dyDescent="0.2">
      <c r="B675" s="215" t="s">
        <v>99</v>
      </c>
      <c r="C675" s="19" t="s">
        <v>40</v>
      </c>
      <c r="J675" s="34" t="s">
        <v>0</v>
      </c>
      <c r="L675" s="221" t="s">
        <v>41</v>
      </c>
      <c r="M675" s="34" t="s">
        <v>478</v>
      </c>
      <c r="N675" s="67" t="s">
        <v>479</v>
      </c>
    </row>
    <row r="676" spans="2:14" ht="17" x14ac:dyDescent="0.2">
      <c r="B676" s="218" t="s">
        <v>211</v>
      </c>
      <c r="C676" s="19" t="s">
        <v>40</v>
      </c>
      <c r="J676" s="34" t="s">
        <v>0</v>
      </c>
      <c r="L676" s="221" t="s">
        <v>41</v>
      </c>
      <c r="M676" s="34" t="s">
        <v>478</v>
      </c>
      <c r="N676" s="67" t="s">
        <v>479</v>
      </c>
    </row>
    <row r="677" spans="2:14" ht="17" x14ac:dyDescent="0.2">
      <c r="B677" s="128" t="s">
        <v>121</v>
      </c>
      <c r="C677" s="19"/>
    </row>
    <row r="678" spans="2:14" ht="17" x14ac:dyDescent="0.2">
      <c r="B678" s="145" t="s">
        <v>122</v>
      </c>
      <c r="C678" s="19" t="s">
        <v>40</v>
      </c>
      <c r="L678" s="221"/>
      <c r="N678" s="67"/>
    </row>
    <row r="679" spans="2:14" ht="17" x14ac:dyDescent="0.2">
      <c r="B679" s="167" t="s">
        <v>123</v>
      </c>
      <c r="C679" s="19" t="s">
        <v>40</v>
      </c>
      <c r="J679" s="34" t="s">
        <v>0</v>
      </c>
      <c r="L679" s="221" t="s">
        <v>41</v>
      </c>
      <c r="M679" s="34" t="s">
        <v>478</v>
      </c>
      <c r="N679" s="67" t="s">
        <v>479</v>
      </c>
    </row>
    <row r="680" spans="2:14" ht="17" x14ac:dyDescent="0.2">
      <c r="B680" s="167" t="s">
        <v>124</v>
      </c>
      <c r="C680" s="19" t="s">
        <v>40</v>
      </c>
      <c r="J680" s="34" t="s">
        <v>0</v>
      </c>
      <c r="L680" s="221" t="s">
        <v>41</v>
      </c>
      <c r="M680" s="34" t="s">
        <v>478</v>
      </c>
      <c r="N680" s="67" t="s">
        <v>479</v>
      </c>
    </row>
    <row r="681" spans="2:14" ht="17" x14ac:dyDescent="0.2">
      <c r="B681" s="139" t="s">
        <v>125</v>
      </c>
      <c r="C681" s="19" t="s">
        <v>40</v>
      </c>
      <c r="J681" s="34" t="s">
        <v>0</v>
      </c>
      <c r="L681" s="221" t="s">
        <v>41</v>
      </c>
      <c r="M681" s="34" t="s">
        <v>478</v>
      </c>
      <c r="N681" s="67" t="s">
        <v>479</v>
      </c>
    </row>
    <row r="682" spans="2:14" ht="17" x14ac:dyDescent="0.2">
      <c r="B682" s="145" t="s">
        <v>126</v>
      </c>
      <c r="C682" s="19" t="s">
        <v>40</v>
      </c>
      <c r="J682" s="34" t="s">
        <v>0</v>
      </c>
      <c r="L682" s="221" t="s">
        <v>41</v>
      </c>
      <c r="M682" s="34" t="s">
        <v>478</v>
      </c>
      <c r="N682" s="67" t="s">
        <v>479</v>
      </c>
    </row>
    <row r="683" spans="2:14" ht="17" x14ac:dyDescent="0.2">
      <c r="B683" s="138" t="s">
        <v>127</v>
      </c>
      <c r="C683" s="19" t="s">
        <v>40</v>
      </c>
      <c r="J683" s="34" t="s">
        <v>0</v>
      </c>
      <c r="L683" s="221" t="s">
        <v>41</v>
      </c>
      <c r="M683" s="34" t="s">
        <v>478</v>
      </c>
      <c r="N683" s="67" t="s">
        <v>479</v>
      </c>
    </row>
    <row r="684" spans="2:14" ht="17" x14ac:dyDescent="0.2">
      <c r="B684" s="138" t="s">
        <v>128</v>
      </c>
      <c r="C684" s="19" t="s">
        <v>40</v>
      </c>
      <c r="J684" s="34" t="s">
        <v>0</v>
      </c>
      <c r="L684" s="221" t="s">
        <v>41</v>
      </c>
      <c r="M684" s="34" t="s">
        <v>478</v>
      </c>
      <c r="N684" s="67" t="s">
        <v>479</v>
      </c>
    </row>
    <row r="685" spans="2:14" ht="17" x14ac:dyDescent="0.2">
      <c r="B685" s="220" t="s">
        <v>212</v>
      </c>
      <c r="C685" s="19" t="s">
        <v>40</v>
      </c>
      <c r="J685" s="34" t="s">
        <v>0</v>
      </c>
      <c r="L685" s="221" t="s">
        <v>41</v>
      </c>
      <c r="M685" s="34" t="s">
        <v>478</v>
      </c>
      <c r="N685" s="67" t="s">
        <v>479</v>
      </c>
    </row>
    <row r="686" spans="2:14" ht="17" x14ac:dyDescent="0.2">
      <c r="B686" s="138" t="s">
        <v>130</v>
      </c>
      <c r="C686" s="19" t="s">
        <v>40</v>
      </c>
      <c r="J686" s="34" t="s">
        <v>0</v>
      </c>
      <c r="L686" s="221" t="s">
        <v>41</v>
      </c>
      <c r="M686" s="34" t="s">
        <v>478</v>
      </c>
      <c r="N686" s="67" t="s">
        <v>479</v>
      </c>
    </row>
    <row r="687" spans="2:14" ht="17" x14ac:dyDescent="0.2">
      <c r="B687" s="168" t="s">
        <v>501</v>
      </c>
      <c r="C687" s="19" t="s">
        <v>40</v>
      </c>
      <c r="J687" s="34" t="s">
        <v>0</v>
      </c>
      <c r="L687" s="221" t="s">
        <v>41</v>
      </c>
      <c r="M687" s="34" t="s">
        <v>478</v>
      </c>
      <c r="N687" s="67" t="s">
        <v>479</v>
      </c>
    </row>
    <row r="688" spans="2:14" ht="17" x14ac:dyDescent="0.2">
      <c r="B688" s="147" t="s">
        <v>132</v>
      </c>
      <c r="C688" s="19" t="s">
        <v>40</v>
      </c>
      <c r="J688" s="34" t="s">
        <v>0</v>
      </c>
      <c r="L688" s="221" t="s">
        <v>41</v>
      </c>
      <c r="M688" s="34" t="s">
        <v>478</v>
      </c>
      <c r="N688" s="67" t="s">
        <v>479</v>
      </c>
    </row>
    <row r="689" spans="2:14" ht="17" x14ac:dyDescent="0.2">
      <c r="B689" s="147" t="s">
        <v>134</v>
      </c>
      <c r="C689" s="19" t="s">
        <v>40</v>
      </c>
      <c r="J689" s="34" t="s">
        <v>0</v>
      </c>
      <c r="L689" s="221" t="s">
        <v>41</v>
      </c>
      <c r="M689" s="34" t="s">
        <v>478</v>
      </c>
      <c r="N689" s="67" t="s">
        <v>479</v>
      </c>
    </row>
    <row r="690" spans="2:14" ht="17" x14ac:dyDescent="0.2">
      <c r="B690" s="147" t="s">
        <v>136</v>
      </c>
      <c r="C690" s="19" t="s">
        <v>40</v>
      </c>
      <c r="J690" s="34" t="s">
        <v>0</v>
      </c>
      <c r="L690" s="221" t="s">
        <v>41</v>
      </c>
      <c r="M690" s="34" t="s">
        <v>478</v>
      </c>
      <c r="N690" s="67" t="s">
        <v>479</v>
      </c>
    </row>
    <row r="691" spans="2:14" ht="23" x14ac:dyDescent="0.3">
      <c r="B691" s="148" t="s">
        <v>137</v>
      </c>
      <c r="C691" s="19"/>
    </row>
    <row r="692" spans="2:14" ht="23" x14ac:dyDescent="0.3">
      <c r="B692" s="148" t="s">
        <v>138</v>
      </c>
      <c r="C692" s="19"/>
    </row>
    <row r="693" spans="2:14" ht="17" x14ac:dyDescent="0.2">
      <c r="B693" s="168" t="s">
        <v>139</v>
      </c>
      <c r="C693" s="19" t="s">
        <v>40</v>
      </c>
      <c r="J693" s="34" t="s">
        <v>0</v>
      </c>
      <c r="L693" s="221" t="s">
        <v>41</v>
      </c>
      <c r="M693" s="34" t="s">
        <v>478</v>
      </c>
      <c r="N693" s="67" t="s">
        <v>479</v>
      </c>
    </row>
    <row r="694" spans="2:14" ht="17" x14ac:dyDescent="0.2">
      <c r="B694" s="147" t="s">
        <v>140</v>
      </c>
      <c r="C694" s="19" t="s">
        <v>40</v>
      </c>
      <c r="J694" s="34" t="s">
        <v>0</v>
      </c>
      <c r="L694" s="221" t="s">
        <v>41</v>
      </c>
      <c r="M694" s="34" t="s">
        <v>478</v>
      </c>
      <c r="N694" s="67" t="s">
        <v>479</v>
      </c>
    </row>
    <row r="695" spans="2:14" ht="17" x14ac:dyDescent="0.2">
      <c r="B695" s="147" t="s">
        <v>141</v>
      </c>
      <c r="C695" s="19" t="s">
        <v>40</v>
      </c>
      <c r="J695" s="34" t="s">
        <v>0</v>
      </c>
      <c r="L695" s="221" t="s">
        <v>41</v>
      </c>
      <c r="M695" s="34" t="s">
        <v>478</v>
      </c>
      <c r="N695" s="67" t="s">
        <v>479</v>
      </c>
    </row>
    <row r="696" spans="2:14" ht="17" x14ac:dyDescent="0.2">
      <c r="B696" s="147" t="s">
        <v>142</v>
      </c>
      <c r="C696" s="19" t="s">
        <v>40</v>
      </c>
      <c r="J696" s="34" t="s">
        <v>0</v>
      </c>
      <c r="L696" s="221" t="s">
        <v>41</v>
      </c>
      <c r="M696" s="34" t="s">
        <v>478</v>
      </c>
      <c r="N696" s="67" t="s">
        <v>479</v>
      </c>
    </row>
    <row r="697" spans="2:14" ht="17" x14ac:dyDescent="0.2">
      <c r="B697" s="147" t="s">
        <v>143</v>
      </c>
      <c r="C697" s="19" t="s">
        <v>40</v>
      </c>
      <c r="J697" s="34" t="s">
        <v>0</v>
      </c>
      <c r="L697" s="221" t="s">
        <v>41</v>
      </c>
      <c r="M697" s="34" t="s">
        <v>478</v>
      </c>
      <c r="N697" s="67" t="s">
        <v>479</v>
      </c>
    </row>
    <row r="698" spans="2:14" ht="17" x14ac:dyDescent="0.2">
      <c r="B698" s="168" t="s">
        <v>213</v>
      </c>
      <c r="C698" s="19" t="s">
        <v>40</v>
      </c>
      <c r="J698" s="34" t="s">
        <v>0</v>
      </c>
      <c r="L698" s="221" t="s">
        <v>41</v>
      </c>
      <c r="M698" s="34" t="s">
        <v>478</v>
      </c>
      <c r="N698" s="67" t="s">
        <v>479</v>
      </c>
    </row>
    <row r="699" spans="2:14" ht="23" x14ac:dyDescent="0.3">
      <c r="B699" s="148" t="s">
        <v>144</v>
      </c>
      <c r="C699" s="19"/>
    </row>
    <row r="700" spans="2:14" ht="17" x14ac:dyDescent="0.2">
      <c r="B700" s="168" t="s">
        <v>145</v>
      </c>
      <c r="C700" s="19" t="s">
        <v>40</v>
      </c>
      <c r="J700" s="34" t="s">
        <v>0</v>
      </c>
      <c r="L700" s="221" t="s">
        <v>41</v>
      </c>
      <c r="M700" s="34" t="s">
        <v>478</v>
      </c>
      <c r="N700" s="67" t="s">
        <v>479</v>
      </c>
    </row>
    <row r="701" spans="2:14" ht="17" x14ac:dyDescent="0.2">
      <c r="B701" s="168" t="s">
        <v>146</v>
      </c>
      <c r="C701" s="19" t="s">
        <v>40</v>
      </c>
      <c r="J701" s="34" t="s">
        <v>0</v>
      </c>
      <c r="L701" s="221" t="s">
        <v>41</v>
      </c>
      <c r="M701" s="34" t="s">
        <v>478</v>
      </c>
      <c r="N701" s="67" t="s">
        <v>479</v>
      </c>
    </row>
    <row r="702" spans="2:14" ht="17" x14ac:dyDescent="0.2">
      <c r="B702" s="168" t="s">
        <v>147</v>
      </c>
      <c r="C702" s="19" t="s">
        <v>40</v>
      </c>
      <c r="J702" s="34" t="s">
        <v>0</v>
      </c>
      <c r="L702" s="221" t="s">
        <v>41</v>
      </c>
      <c r="M702" s="34" t="s">
        <v>478</v>
      </c>
      <c r="N702" s="67" t="s">
        <v>479</v>
      </c>
    </row>
    <row r="703" spans="2:14" ht="17" x14ac:dyDescent="0.2">
      <c r="B703" s="168" t="s">
        <v>214</v>
      </c>
      <c r="C703" s="19" t="s">
        <v>40</v>
      </c>
      <c r="J703" s="34" t="s">
        <v>0</v>
      </c>
      <c r="L703" s="221" t="s">
        <v>41</v>
      </c>
      <c r="M703" s="34" t="s">
        <v>478</v>
      </c>
      <c r="N703" s="67" t="s">
        <v>479</v>
      </c>
    </row>
    <row r="704" spans="2:14" ht="17" x14ac:dyDescent="0.2">
      <c r="B704" s="168" t="s">
        <v>149</v>
      </c>
      <c r="C704" s="19" t="s">
        <v>40</v>
      </c>
      <c r="J704" s="34" t="s">
        <v>0</v>
      </c>
      <c r="L704" s="221" t="s">
        <v>41</v>
      </c>
      <c r="M704" s="34" t="s">
        <v>478</v>
      </c>
      <c r="N704" s="67" t="s">
        <v>479</v>
      </c>
    </row>
    <row r="705" spans="2:14" ht="20" x14ac:dyDescent="0.2">
      <c r="B705" s="177" t="s">
        <v>51</v>
      </c>
      <c r="C705" s="19"/>
    </row>
    <row r="706" spans="2:14" ht="17" x14ac:dyDescent="0.2">
      <c r="B706" s="176" t="s">
        <v>502</v>
      </c>
    </row>
    <row r="707" spans="2:14" ht="17" x14ac:dyDescent="0.2">
      <c r="B707" s="132" t="s">
        <v>60</v>
      </c>
      <c r="C707" s="19"/>
    </row>
    <row r="708" spans="2:14" ht="17" x14ac:dyDescent="0.2">
      <c r="B708" s="135" t="s">
        <v>61</v>
      </c>
      <c r="C708" s="19" t="s">
        <v>40</v>
      </c>
      <c r="J708" s="34" t="s">
        <v>0</v>
      </c>
      <c r="L708" s="221" t="s">
        <v>41</v>
      </c>
      <c r="M708" s="34" t="s">
        <v>478</v>
      </c>
      <c r="N708" s="67" t="s">
        <v>479</v>
      </c>
    </row>
    <row r="709" spans="2:14" ht="17" x14ac:dyDescent="0.2">
      <c r="B709" s="136" t="s">
        <v>62</v>
      </c>
      <c r="C709" s="19" t="s">
        <v>40</v>
      </c>
      <c r="J709" s="34" t="s">
        <v>0</v>
      </c>
      <c r="L709" s="221" t="s">
        <v>41</v>
      </c>
      <c r="M709" s="34" t="s">
        <v>478</v>
      </c>
      <c r="N709" s="67" t="s">
        <v>479</v>
      </c>
    </row>
    <row r="710" spans="2:14" ht="96" x14ac:dyDescent="0.2">
      <c r="B710" s="137" t="s">
        <v>63</v>
      </c>
      <c r="C710" s="19" t="s">
        <v>40</v>
      </c>
      <c r="J710" s="34" t="s">
        <v>0</v>
      </c>
      <c r="L710" s="221" t="s">
        <v>41</v>
      </c>
      <c r="M710" s="34" t="s">
        <v>478</v>
      </c>
      <c r="N710" s="67" t="s">
        <v>479</v>
      </c>
    </row>
    <row r="711" spans="2:14" ht="17" x14ac:dyDescent="0.2">
      <c r="B711" s="136" t="s">
        <v>64</v>
      </c>
      <c r="C711" s="19" t="s">
        <v>40</v>
      </c>
      <c r="J711" s="34" t="s">
        <v>0</v>
      </c>
      <c r="L711" s="221" t="s">
        <v>41</v>
      </c>
      <c r="M711" s="34" t="s">
        <v>478</v>
      </c>
      <c r="N711" s="67" t="s">
        <v>479</v>
      </c>
    </row>
    <row r="712" spans="2:14" ht="20" x14ac:dyDescent="0.25">
      <c r="B712" s="149" t="s">
        <v>150</v>
      </c>
      <c r="C712" s="19"/>
    </row>
    <row r="713" spans="2:14" x14ac:dyDescent="0.2">
      <c r="B713" s="150" t="s">
        <v>151</v>
      </c>
      <c r="C713" s="19"/>
    </row>
    <row r="714" spans="2:14" ht="17" x14ac:dyDescent="0.2">
      <c r="B714" s="151" t="s">
        <v>152</v>
      </c>
      <c r="C714" s="19" t="s">
        <v>40</v>
      </c>
      <c r="J714" s="34" t="s">
        <v>0</v>
      </c>
      <c r="L714" s="221" t="s">
        <v>41</v>
      </c>
      <c r="M714" s="34" t="s">
        <v>478</v>
      </c>
      <c r="N714" s="67" t="s">
        <v>479</v>
      </c>
    </row>
    <row r="715" spans="2:14" ht="17" x14ac:dyDescent="0.2">
      <c r="B715" s="151" t="s">
        <v>153</v>
      </c>
      <c r="C715" s="19" t="s">
        <v>40</v>
      </c>
      <c r="J715" s="34" t="s">
        <v>0</v>
      </c>
      <c r="L715" s="221" t="s">
        <v>41</v>
      </c>
      <c r="M715" s="34" t="s">
        <v>478</v>
      </c>
      <c r="N715" s="67" t="s">
        <v>479</v>
      </c>
    </row>
    <row r="716" spans="2:14" ht="17" x14ac:dyDescent="0.2">
      <c r="B716" s="152" t="s">
        <v>154</v>
      </c>
      <c r="C716" s="19" t="s">
        <v>40</v>
      </c>
      <c r="J716" s="34" t="s">
        <v>0</v>
      </c>
      <c r="L716" s="221" t="s">
        <v>41</v>
      </c>
      <c r="M716" s="34" t="s">
        <v>478</v>
      </c>
      <c r="N716" s="67" t="s">
        <v>479</v>
      </c>
    </row>
    <row r="717" spans="2:14" ht="17" x14ac:dyDescent="0.2">
      <c r="B717" s="143" t="s">
        <v>155</v>
      </c>
      <c r="C717" s="19" t="s">
        <v>40</v>
      </c>
      <c r="J717" s="34" t="s">
        <v>0</v>
      </c>
      <c r="L717" s="221" t="s">
        <v>41</v>
      </c>
      <c r="M717" s="34" t="s">
        <v>478</v>
      </c>
      <c r="N717" s="67" t="s">
        <v>479</v>
      </c>
    </row>
    <row r="718" spans="2:14" x14ac:dyDescent="0.2">
      <c r="B718" s="153" t="s">
        <v>156</v>
      </c>
    </row>
    <row r="719" spans="2:14" x14ac:dyDescent="0.2">
      <c r="B719" s="153" t="s">
        <v>157</v>
      </c>
      <c r="C719" s="19"/>
    </row>
    <row r="720" spans="2:14" ht="17" x14ac:dyDescent="0.2">
      <c r="B720" s="154" t="s">
        <v>158</v>
      </c>
      <c r="C720" s="19" t="s">
        <v>40</v>
      </c>
      <c r="J720" s="34" t="s">
        <v>0</v>
      </c>
      <c r="L720" s="221" t="s">
        <v>41</v>
      </c>
      <c r="M720" s="34" t="s">
        <v>478</v>
      </c>
      <c r="N720" s="67" t="s">
        <v>479</v>
      </c>
    </row>
    <row r="721" spans="2:14" ht="17" x14ac:dyDescent="0.2">
      <c r="B721" s="155" t="s">
        <v>159</v>
      </c>
      <c r="C721" s="19" t="s">
        <v>40</v>
      </c>
      <c r="J721" s="34" t="s">
        <v>0</v>
      </c>
      <c r="L721" s="221" t="s">
        <v>41</v>
      </c>
      <c r="M721" s="34" t="s">
        <v>478</v>
      </c>
      <c r="N721" s="67" t="s">
        <v>479</v>
      </c>
    </row>
    <row r="722" spans="2:14" ht="17" x14ac:dyDescent="0.2">
      <c r="B722" s="151" t="s">
        <v>160</v>
      </c>
      <c r="C722" s="19" t="s">
        <v>40</v>
      </c>
      <c r="J722" s="34" t="s">
        <v>0</v>
      </c>
      <c r="L722" s="221" t="s">
        <v>41</v>
      </c>
      <c r="M722" s="34" t="s">
        <v>478</v>
      </c>
      <c r="N722" s="67" t="s">
        <v>479</v>
      </c>
    </row>
    <row r="723" spans="2:14" x14ac:dyDescent="0.2">
      <c r="B723" s="153" t="s">
        <v>161</v>
      </c>
      <c r="C723" s="19"/>
    </row>
    <row r="724" spans="2:14" x14ac:dyDescent="0.2">
      <c r="B724" s="156" t="s">
        <v>162</v>
      </c>
      <c r="C724" s="19"/>
    </row>
    <row r="725" spans="2:14" ht="48" x14ac:dyDescent="0.2">
      <c r="B725" s="151" t="s">
        <v>163</v>
      </c>
      <c r="C725" s="19" t="s">
        <v>40</v>
      </c>
      <c r="J725" s="34" t="s">
        <v>0</v>
      </c>
      <c r="L725" s="221" t="s">
        <v>41</v>
      </c>
      <c r="M725" s="34" t="s">
        <v>478</v>
      </c>
      <c r="N725" s="67" t="s">
        <v>479</v>
      </c>
    </row>
    <row r="726" spans="2:14" ht="17" x14ac:dyDescent="0.2">
      <c r="B726" s="138" t="s">
        <v>164</v>
      </c>
      <c r="C726" s="19" t="s">
        <v>40</v>
      </c>
      <c r="J726" s="34" t="s">
        <v>0</v>
      </c>
      <c r="L726" s="221" t="s">
        <v>41</v>
      </c>
      <c r="M726" s="34" t="s">
        <v>478</v>
      </c>
      <c r="N726" s="67" t="s">
        <v>479</v>
      </c>
    </row>
    <row r="727" spans="2:14" x14ac:dyDescent="0.2">
      <c r="B727" s="156" t="s">
        <v>165</v>
      </c>
      <c r="C727" s="19"/>
    </row>
    <row r="728" spans="2:14" ht="48" x14ac:dyDescent="0.2">
      <c r="B728" s="151" t="s">
        <v>166</v>
      </c>
      <c r="C728" s="19" t="s">
        <v>40</v>
      </c>
      <c r="J728" s="34" t="s">
        <v>0</v>
      </c>
      <c r="L728" s="221" t="s">
        <v>41</v>
      </c>
      <c r="M728" s="34" t="s">
        <v>478</v>
      </c>
      <c r="N728" s="67" t="s">
        <v>479</v>
      </c>
    </row>
    <row r="729" spans="2:14" ht="17" x14ac:dyDescent="0.2">
      <c r="B729" s="138" t="s">
        <v>167</v>
      </c>
      <c r="C729" s="19" t="s">
        <v>40</v>
      </c>
      <c r="J729" s="34" t="s">
        <v>0</v>
      </c>
      <c r="L729" s="221" t="s">
        <v>41</v>
      </c>
      <c r="M729" s="34" t="s">
        <v>478</v>
      </c>
      <c r="N729" s="67" t="s">
        <v>479</v>
      </c>
    </row>
    <row r="730" spans="2:14" x14ac:dyDescent="0.2">
      <c r="B730" s="157" t="s">
        <v>168</v>
      </c>
    </row>
    <row r="731" spans="2:14" ht="51" x14ac:dyDescent="0.2">
      <c r="B731" s="158" t="s">
        <v>169</v>
      </c>
      <c r="C731" s="19" t="s">
        <v>40</v>
      </c>
      <c r="J731" s="34" t="s">
        <v>0</v>
      </c>
      <c r="L731" s="221" t="s">
        <v>41</v>
      </c>
      <c r="M731" s="34" t="s">
        <v>478</v>
      </c>
      <c r="N731" s="67" t="s">
        <v>479</v>
      </c>
    </row>
    <row r="732" spans="2:14" ht="17" x14ac:dyDescent="0.2">
      <c r="B732" s="159" t="s">
        <v>170</v>
      </c>
      <c r="C732" s="19" t="s">
        <v>40</v>
      </c>
      <c r="J732" s="34" t="s">
        <v>0</v>
      </c>
      <c r="L732" s="221" t="s">
        <v>41</v>
      </c>
      <c r="M732" s="34" t="s">
        <v>478</v>
      </c>
      <c r="N732" s="67" t="s">
        <v>479</v>
      </c>
    </row>
    <row r="733" spans="2:14" x14ac:dyDescent="0.2">
      <c r="B733" s="157" t="s">
        <v>215</v>
      </c>
      <c r="C733" s="19"/>
    </row>
    <row r="734" spans="2:14" ht="51" x14ac:dyDescent="0.2">
      <c r="B734" s="158" t="s">
        <v>216</v>
      </c>
      <c r="C734" s="19" t="s">
        <v>40</v>
      </c>
      <c r="J734" s="34" t="s">
        <v>0</v>
      </c>
      <c r="L734" s="221" t="s">
        <v>41</v>
      </c>
      <c r="M734" s="34" t="s">
        <v>478</v>
      </c>
      <c r="N734" s="67" t="s">
        <v>479</v>
      </c>
    </row>
    <row r="735" spans="2:14" ht="17" x14ac:dyDescent="0.2">
      <c r="B735" s="144" t="s">
        <v>217</v>
      </c>
      <c r="C735" s="19" t="s">
        <v>40</v>
      </c>
      <c r="J735" s="34" t="s">
        <v>0</v>
      </c>
      <c r="L735" s="221" t="s">
        <v>41</v>
      </c>
      <c r="M735" s="34" t="s">
        <v>478</v>
      </c>
      <c r="N735" s="67" t="s">
        <v>479</v>
      </c>
    </row>
    <row r="736" spans="2:14" x14ac:dyDescent="0.2">
      <c r="B736" s="157" t="s">
        <v>171</v>
      </c>
      <c r="C736" s="19"/>
    </row>
    <row r="737" spans="2:14" ht="48" x14ac:dyDescent="0.2">
      <c r="B737" s="144" t="s">
        <v>172</v>
      </c>
      <c r="C737" s="19" t="s">
        <v>40</v>
      </c>
      <c r="J737" s="34" t="s">
        <v>0</v>
      </c>
      <c r="L737" s="221" t="s">
        <v>41</v>
      </c>
      <c r="M737" s="34" t="s">
        <v>478</v>
      </c>
      <c r="N737" s="67" t="s">
        <v>479</v>
      </c>
    </row>
    <row r="738" spans="2:14" ht="17" x14ac:dyDescent="0.2">
      <c r="B738" s="160" t="s">
        <v>173</v>
      </c>
      <c r="C738" s="19" t="s">
        <v>40</v>
      </c>
      <c r="J738" s="34" t="s">
        <v>0</v>
      </c>
      <c r="L738" s="221" t="s">
        <v>41</v>
      </c>
      <c r="M738" s="34" t="s">
        <v>478</v>
      </c>
      <c r="N738" s="67" t="s">
        <v>479</v>
      </c>
    </row>
    <row r="739" spans="2:14" ht="17" x14ac:dyDescent="0.2">
      <c r="B739" s="161" t="s">
        <v>174</v>
      </c>
    </row>
    <row r="740" spans="2:14" ht="51" x14ac:dyDescent="0.2">
      <c r="B740" s="161" t="s">
        <v>175</v>
      </c>
      <c r="C740" s="19"/>
    </row>
    <row r="741" spans="2:14" ht="17" x14ac:dyDescent="0.2">
      <c r="B741" s="131" t="s">
        <v>176</v>
      </c>
      <c r="C741" s="19" t="s">
        <v>40</v>
      </c>
      <c r="J741" s="34" t="s">
        <v>0</v>
      </c>
      <c r="L741" s="221" t="s">
        <v>41</v>
      </c>
      <c r="M741" s="34" t="s">
        <v>478</v>
      </c>
      <c r="N741" s="67" t="s">
        <v>479</v>
      </c>
    </row>
    <row r="742" spans="2:14" ht="17" x14ac:dyDescent="0.2">
      <c r="B742" s="160" t="s">
        <v>177</v>
      </c>
      <c r="C742" s="19" t="s">
        <v>40</v>
      </c>
      <c r="J742" s="34" t="s">
        <v>0</v>
      </c>
      <c r="L742" s="221" t="s">
        <v>41</v>
      </c>
      <c r="M742" s="34" t="s">
        <v>478</v>
      </c>
      <c r="N742" s="67" t="s">
        <v>479</v>
      </c>
    </row>
    <row r="743" spans="2:14" ht="17" x14ac:dyDescent="0.2">
      <c r="B743" s="160" t="s">
        <v>218</v>
      </c>
      <c r="C743" s="19" t="s">
        <v>40</v>
      </c>
      <c r="J743" s="34" t="s">
        <v>0</v>
      </c>
      <c r="L743" s="221" t="s">
        <v>41</v>
      </c>
      <c r="M743" s="34" t="s">
        <v>478</v>
      </c>
      <c r="N743" s="67" t="s">
        <v>479</v>
      </c>
    </row>
    <row r="744" spans="2:14" ht="68" x14ac:dyDescent="0.2">
      <c r="B744" s="160" t="s">
        <v>219</v>
      </c>
      <c r="C744" s="19" t="s">
        <v>40</v>
      </c>
      <c r="J744" s="34" t="s">
        <v>0</v>
      </c>
      <c r="L744" s="221" t="s">
        <v>41</v>
      </c>
      <c r="M744" s="34" t="s">
        <v>478</v>
      </c>
      <c r="N744" s="67" t="s">
        <v>479</v>
      </c>
    </row>
    <row r="745" spans="2:14" ht="17" x14ac:dyDescent="0.2">
      <c r="B745" s="131" t="s">
        <v>178</v>
      </c>
      <c r="C745" s="19" t="s">
        <v>40</v>
      </c>
      <c r="J745" s="34" t="s">
        <v>0</v>
      </c>
      <c r="L745" s="221" t="s">
        <v>41</v>
      </c>
      <c r="M745" s="34" t="s">
        <v>478</v>
      </c>
      <c r="N745" s="67" t="s">
        <v>479</v>
      </c>
    </row>
    <row r="746" spans="2:14" ht="68" x14ac:dyDescent="0.2">
      <c r="B746" s="165" t="s">
        <v>289</v>
      </c>
      <c r="C746" s="19" t="s">
        <v>40</v>
      </c>
      <c r="J746" s="34" t="s">
        <v>0</v>
      </c>
      <c r="L746" s="221" t="s">
        <v>41</v>
      </c>
      <c r="M746" s="34" t="s">
        <v>478</v>
      </c>
      <c r="N746" s="67" t="s">
        <v>479</v>
      </c>
    </row>
    <row r="747" spans="2:14" ht="17" x14ac:dyDescent="0.2">
      <c r="B747" s="131" t="s">
        <v>180</v>
      </c>
      <c r="C747" s="19" t="s">
        <v>40</v>
      </c>
      <c r="J747" s="34" t="s">
        <v>0</v>
      </c>
      <c r="L747" s="221" t="s">
        <v>41</v>
      </c>
      <c r="M747" s="34" t="s">
        <v>478</v>
      </c>
      <c r="N747" s="67" t="s">
        <v>479</v>
      </c>
    </row>
    <row r="748" spans="2:14" ht="68" x14ac:dyDescent="0.2">
      <c r="B748" s="165" t="s">
        <v>503</v>
      </c>
      <c r="C748" s="19" t="s">
        <v>40</v>
      </c>
      <c r="J748" s="34" t="s">
        <v>0</v>
      </c>
      <c r="L748" s="221" t="s">
        <v>41</v>
      </c>
      <c r="M748" s="34" t="s">
        <v>478</v>
      </c>
      <c r="N748" s="67" t="s">
        <v>479</v>
      </c>
    </row>
    <row r="749" spans="2:14" ht="17" x14ac:dyDescent="0.2">
      <c r="B749" s="160" t="s">
        <v>182</v>
      </c>
      <c r="C749" s="19" t="s">
        <v>40</v>
      </c>
      <c r="J749" s="34" t="s">
        <v>0</v>
      </c>
      <c r="L749" s="221" t="s">
        <v>41</v>
      </c>
      <c r="M749" s="34" t="s">
        <v>478</v>
      </c>
      <c r="N749" s="67" t="s">
        <v>479</v>
      </c>
    </row>
    <row r="750" spans="2:14" ht="68" x14ac:dyDescent="0.2">
      <c r="B750" s="160" t="s">
        <v>504</v>
      </c>
      <c r="C750" s="19" t="s">
        <v>40</v>
      </c>
      <c r="J750" s="34" t="s">
        <v>0</v>
      </c>
      <c r="L750" s="221" t="s">
        <v>41</v>
      </c>
      <c r="M750" s="34" t="s">
        <v>478</v>
      </c>
      <c r="N750" s="67" t="s">
        <v>479</v>
      </c>
    </row>
    <row r="751" spans="2:14" ht="17" x14ac:dyDescent="0.2">
      <c r="B751" s="162" t="s">
        <v>184</v>
      </c>
      <c r="C751" s="19" t="s">
        <v>40</v>
      </c>
      <c r="J751" s="34" t="s">
        <v>0</v>
      </c>
      <c r="L751" s="221" t="s">
        <v>41</v>
      </c>
      <c r="M751" s="34" t="s">
        <v>478</v>
      </c>
      <c r="N751" s="67" t="s">
        <v>479</v>
      </c>
    </row>
    <row r="752" spans="2:14" ht="17" x14ac:dyDescent="0.2">
      <c r="B752" s="162" t="s">
        <v>185</v>
      </c>
      <c r="C752" s="19" t="s">
        <v>40</v>
      </c>
      <c r="J752" s="34" t="s">
        <v>0</v>
      </c>
      <c r="L752" s="221" t="s">
        <v>41</v>
      </c>
      <c r="M752" s="34" t="s">
        <v>478</v>
      </c>
      <c r="N752" s="67" t="s">
        <v>479</v>
      </c>
    </row>
    <row r="755" spans="2:14" ht="69" x14ac:dyDescent="0.2">
      <c r="B755" s="170" t="s">
        <v>513</v>
      </c>
      <c r="C755" s="19"/>
    </row>
    <row r="756" spans="2:14" ht="17" x14ac:dyDescent="0.2">
      <c r="B756" s="127" t="s">
        <v>31</v>
      </c>
      <c r="C756" s="19"/>
    </row>
    <row r="757" spans="2:14" ht="17" x14ac:dyDescent="0.2">
      <c r="B757" s="127" t="s">
        <v>32</v>
      </c>
    </row>
    <row r="758" spans="2:14" ht="17" x14ac:dyDescent="0.2">
      <c r="B758" s="128" t="s">
        <v>33</v>
      </c>
    </row>
    <row r="759" spans="2:14" ht="17" x14ac:dyDescent="0.2">
      <c r="B759" s="127" t="s">
        <v>34</v>
      </c>
      <c r="C759" s="19"/>
    </row>
    <row r="760" spans="2:14" ht="34" x14ac:dyDescent="0.2">
      <c r="B760" s="229" t="s">
        <v>514</v>
      </c>
      <c r="C760" s="19"/>
    </row>
    <row r="761" spans="2:14" ht="34" x14ac:dyDescent="0.2">
      <c r="B761" s="163" t="s">
        <v>476</v>
      </c>
      <c r="C761" s="19"/>
    </row>
    <row r="762" spans="2:14" ht="17" x14ac:dyDescent="0.2">
      <c r="B762" s="129" t="s">
        <v>36</v>
      </c>
      <c r="C762" s="19"/>
    </row>
    <row r="763" spans="2:14" ht="17" x14ac:dyDescent="0.2">
      <c r="B763" s="129" t="s">
        <v>37</v>
      </c>
      <c r="C763" s="19"/>
    </row>
    <row r="764" spans="2:14" ht="17" x14ac:dyDescent="0.2">
      <c r="B764" s="128" t="s">
        <v>38</v>
      </c>
      <c r="C764" s="19"/>
    </row>
    <row r="765" spans="2:14" ht="49" x14ac:dyDescent="0.2">
      <c r="B765" s="164" t="s">
        <v>515</v>
      </c>
      <c r="C765" s="19" t="s">
        <v>40</v>
      </c>
      <c r="J765" s="34" t="s">
        <v>0</v>
      </c>
      <c r="L765" s="221" t="s">
        <v>41</v>
      </c>
      <c r="M765" s="34" t="s">
        <v>478</v>
      </c>
      <c r="N765" s="67" t="s">
        <v>479</v>
      </c>
    </row>
    <row r="766" spans="2:14" ht="54.75" customHeight="1" x14ac:dyDescent="0.2">
      <c r="B766" s="164" t="s">
        <v>516</v>
      </c>
      <c r="C766" s="19" t="s">
        <v>40</v>
      </c>
      <c r="J766" s="34" t="s">
        <v>0</v>
      </c>
      <c r="L766" s="221" t="s">
        <v>41</v>
      </c>
      <c r="M766" s="34" t="s">
        <v>478</v>
      </c>
      <c r="N766" s="67" t="s">
        <v>479</v>
      </c>
    </row>
    <row r="767" spans="2:14" ht="17" x14ac:dyDescent="0.2">
      <c r="B767" s="128" t="s">
        <v>44</v>
      </c>
      <c r="C767" s="19"/>
    </row>
    <row r="768" spans="2:14" ht="17" x14ac:dyDescent="0.2">
      <c r="B768" s="164" t="s">
        <v>517</v>
      </c>
      <c r="C768" s="19" t="s">
        <v>40</v>
      </c>
      <c r="J768" s="34" t="s">
        <v>0</v>
      </c>
      <c r="L768" s="221" t="s">
        <v>41</v>
      </c>
      <c r="M768" s="34" t="s">
        <v>478</v>
      </c>
      <c r="N768" s="67" t="s">
        <v>479</v>
      </c>
    </row>
    <row r="769" spans="2:14" ht="17" x14ac:dyDescent="0.2">
      <c r="B769" s="128" t="s">
        <v>47</v>
      </c>
    </row>
    <row r="770" spans="2:14" ht="17" x14ac:dyDescent="0.2">
      <c r="B770" s="165" t="s">
        <v>481</v>
      </c>
      <c r="C770" s="19" t="s">
        <v>40</v>
      </c>
      <c r="J770" s="34" t="s">
        <v>0</v>
      </c>
      <c r="L770" s="221" t="s">
        <v>41</v>
      </c>
      <c r="M770" s="34" t="s">
        <v>478</v>
      </c>
      <c r="N770" s="67" t="s">
        <v>479</v>
      </c>
    </row>
    <row r="771" spans="2:14" ht="17" x14ac:dyDescent="0.2">
      <c r="B771" s="131" t="s">
        <v>49</v>
      </c>
      <c r="C771" s="19" t="s">
        <v>40</v>
      </c>
      <c r="J771" s="34" t="s">
        <v>0</v>
      </c>
      <c r="L771" s="221" t="s">
        <v>41</v>
      </c>
      <c r="M771" s="34" t="s">
        <v>478</v>
      </c>
      <c r="N771" s="67" t="s">
        <v>479</v>
      </c>
    </row>
    <row r="772" spans="2:14" ht="17" x14ac:dyDescent="0.2">
      <c r="B772" s="128" t="s">
        <v>482</v>
      </c>
    </row>
    <row r="773" spans="2:14" ht="17" x14ac:dyDescent="0.2">
      <c r="B773" s="165" t="s">
        <v>66</v>
      </c>
      <c r="C773" s="19" t="s">
        <v>40</v>
      </c>
      <c r="J773" s="34" t="s">
        <v>0</v>
      </c>
      <c r="L773" s="221" t="s">
        <v>41</v>
      </c>
      <c r="M773" s="34" t="s">
        <v>478</v>
      </c>
      <c r="N773" s="67" t="s">
        <v>479</v>
      </c>
    </row>
    <row r="774" spans="2:14" ht="17" x14ac:dyDescent="0.2">
      <c r="B774" s="138" t="s">
        <v>67</v>
      </c>
      <c r="C774" s="19" t="s">
        <v>40</v>
      </c>
      <c r="J774" s="34" t="s">
        <v>0</v>
      </c>
      <c r="L774" s="221" t="s">
        <v>41</v>
      </c>
      <c r="M774" s="34" t="s">
        <v>478</v>
      </c>
      <c r="N774" s="67" t="s">
        <v>479</v>
      </c>
    </row>
    <row r="775" spans="2:14" ht="17" x14ac:dyDescent="0.2">
      <c r="B775" s="166" t="s">
        <v>68</v>
      </c>
      <c r="C775" s="19" t="s">
        <v>40</v>
      </c>
      <c r="J775" s="34" t="s">
        <v>0</v>
      </c>
      <c r="L775" s="221" t="s">
        <v>41</v>
      </c>
      <c r="M775" s="34" t="s">
        <v>478</v>
      </c>
      <c r="N775" s="67" t="s">
        <v>479</v>
      </c>
    </row>
    <row r="776" spans="2:14" ht="17" x14ac:dyDescent="0.2">
      <c r="B776" s="166" t="s">
        <v>69</v>
      </c>
      <c r="C776" s="19" t="s">
        <v>40</v>
      </c>
      <c r="J776" s="34" t="s">
        <v>0</v>
      </c>
      <c r="L776" s="221" t="s">
        <v>41</v>
      </c>
      <c r="M776" s="34" t="s">
        <v>478</v>
      </c>
      <c r="N776" s="67" t="s">
        <v>479</v>
      </c>
    </row>
    <row r="777" spans="2:14" ht="17" x14ac:dyDescent="0.2">
      <c r="B777" s="166" t="s">
        <v>70</v>
      </c>
      <c r="C777" s="19" t="s">
        <v>40</v>
      </c>
      <c r="J777" s="34" t="s">
        <v>0</v>
      </c>
      <c r="L777" s="221" t="s">
        <v>41</v>
      </c>
      <c r="M777" s="34" t="s">
        <v>478</v>
      </c>
      <c r="N777" s="67" t="s">
        <v>479</v>
      </c>
    </row>
    <row r="778" spans="2:14" ht="17" x14ac:dyDescent="0.2">
      <c r="B778" s="166" t="s">
        <v>316</v>
      </c>
      <c r="C778" s="19" t="s">
        <v>40</v>
      </c>
      <c r="J778" s="34" t="s">
        <v>0</v>
      </c>
      <c r="L778" s="221" t="s">
        <v>41</v>
      </c>
      <c r="M778" s="34" t="s">
        <v>478</v>
      </c>
      <c r="N778" s="67" t="s">
        <v>479</v>
      </c>
    </row>
    <row r="779" spans="2:14" ht="17" x14ac:dyDescent="0.2">
      <c r="B779" s="139" t="s">
        <v>72</v>
      </c>
      <c r="C779" s="19" t="s">
        <v>40</v>
      </c>
      <c r="J779" s="34" t="s">
        <v>0</v>
      </c>
      <c r="L779" s="221" t="s">
        <v>41</v>
      </c>
      <c r="M779" s="34" t="s">
        <v>478</v>
      </c>
      <c r="N779" s="67" t="s">
        <v>479</v>
      </c>
    </row>
    <row r="780" spans="2:14" ht="17" x14ac:dyDescent="0.2">
      <c r="B780" s="166" t="s">
        <v>483</v>
      </c>
      <c r="C780" s="19" t="s">
        <v>40</v>
      </c>
      <c r="J780" s="34" t="s">
        <v>0</v>
      </c>
      <c r="L780" s="221" t="s">
        <v>41</v>
      </c>
      <c r="M780" s="34" t="s">
        <v>478</v>
      </c>
      <c r="N780" s="67" t="s">
        <v>479</v>
      </c>
    </row>
    <row r="781" spans="2:14" ht="17" x14ac:dyDescent="0.2">
      <c r="B781" s="166" t="s">
        <v>484</v>
      </c>
      <c r="C781" s="19" t="s">
        <v>40</v>
      </c>
      <c r="J781" s="34" t="s">
        <v>0</v>
      </c>
      <c r="L781" s="221" t="s">
        <v>41</v>
      </c>
      <c r="M781" s="34" t="s">
        <v>478</v>
      </c>
      <c r="N781" s="67" t="s">
        <v>479</v>
      </c>
    </row>
    <row r="782" spans="2:14" ht="17" x14ac:dyDescent="0.2">
      <c r="B782" s="167" t="s">
        <v>485</v>
      </c>
      <c r="C782" s="19" t="s">
        <v>40</v>
      </c>
      <c r="J782" s="34" t="s">
        <v>0</v>
      </c>
      <c r="L782" s="221" t="s">
        <v>41</v>
      </c>
      <c r="M782" s="34" t="s">
        <v>478</v>
      </c>
      <c r="N782" s="67" t="s">
        <v>479</v>
      </c>
    </row>
    <row r="783" spans="2:14" ht="17" x14ac:dyDescent="0.2">
      <c r="B783" s="169" t="s">
        <v>486</v>
      </c>
      <c r="C783" s="19" t="s">
        <v>40</v>
      </c>
    </row>
    <row r="784" spans="2:14" ht="17" x14ac:dyDescent="0.2">
      <c r="B784" s="166" t="s">
        <v>518</v>
      </c>
      <c r="C784" s="19" t="s">
        <v>40</v>
      </c>
      <c r="J784" s="34" t="s">
        <v>0</v>
      </c>
      <c r="L784" s="221" t="s">
        <v>41</v>
      </c>
      <c r="M784" s="34" t="s">
        <v>478</v>
      </c>
      <c r="N784" s="67" t="s">
        <v>479</v>
      </c>
    </row>
    <row r="785" spans="2:14" ht="17" x14ac:dyDescent="0.2">
      <c r="B785" s="168" t="s">
        <v>134</v>
      </c>
      <c r="C785" s="19" t="s">
        <v>40</v>
      </c>
      <c r="J785" s="34" t="s">
        <v>0</v>
      </c>
      <c r="L785" s="221" t="s">
        <v>41</v>
      </c>
      <c r="M785" s="34" t="s">
        <v>478</v>
      </c>
      <c r="N785" s="67" t="s">
        <v>479</v>
      </c>
    </row>
    <row r="786" spans="2:14" ht="17" x14ac:dyDescent="0.2">
      <c r="B786" s="167" t="s">
        <v>519</v>
      </c>
      <c r="C786" s="19" t="s">
        <v>40</v>
      </c>
      <c r="J786" s="34" t="s">
        <v>0</v>
      </c>
      <c r="L786" s="221" t="s">
        <v>41</v>
      </c>
      <c r="M786" s="34" t="s">
        <v>478</v>
      </c>
      <c r="N786" s="67" t="s">
        <v>479</v>
      </c>
    </row>
    <row r="787" spans="2:14" ht="17" x14ac:dyDescent="0.2">
      <c r="B787" s="167" t="s">
        <v>492</v>
      </c>
      <c r="C787" s="19" t="s">
        <v>40</v>
      </c>
      <c r="J787" s="34" t="s">
        <v>0</v>
      </c>
      <c r="L787" s="221" t="s">
        <v>41</v>
      </c>
      <c r="M787" s="34" t="s">
        <v>478</v>
      </c>
      <c r="N787" s="67" t="s">
        <v>479</v>
      </c>
    </row>
    <row r="788" spans="2:14" ht="17" x14ac:dyDescent="0.2">
      <c r="B788" s="167" t="s">
        <v>493</v>
      </c>
      <c r="C788" s="19" t="s">
        <v>40</v>
      </c>
      <c r="J788" s="34" t="s">
        <v>0</v>
      </c>
      <c r="L788" s="221" t="s">
        <v>41</v>
      </c>
      <c r="M788" s="34" t="s">
        <v>478</v>
      </c>
      <c r="N788" s="67" t="s">
        <v>479</v>
      </c>
    </row>
    <row r="789" spans="2:14" ht="17" x14ac:dyDescent="0.2">
      <c r="B789" s="166" t="s">
        <v>237</v>
      </c>
      <c r="C789" s="19" t="s">
        <v>40</v>
      </c>
      <c r="J789" s="34" t="s">
        <v>0</v>
      </c>
      <c r="L789" s="221" t="s">
        <v>41</v>
      </c>
      <c r="M789" s="34" t="s">
        <v>478</v>
      </c>
      <c r="N789" s="67" t="s">
        <v>479</v>
      </c>
    </row>
    <row r="790" spans="2:14" ht="17" x14ac:dyDescent="0.2">
      <c r="B790" s="166" t="s">
        <v>79</v>
      </c>
      <c r="C790" s="19" t="s">
        <v>40</v>
      </c>
      <c r="J790" s="34" t="s">
        <v>0</v>
      </c>
      <c r="L790" s="221" t="s">
        <v>41</v>
      </c>
      <c r="M790" s="34" t="s">
        <v>478</v>
      </c>
      <c r="N790" s="67" t="s">
        <v>479</v>
      </c>
    </row>
    <row r="791" spans="2:14" ht="17" x14ac:dyDescent="0.2">
      <c r="B791" s="166" t="s">
        <v>80</v>
      </c>
      <c r="C791" s="19" t="s">
        <v>40</v>
      </c>
      <c r="J791" s="34" t="s">
        <v>0</v>
      </c>
      <c r="L791" s="221" t="s">
        <v>41</v>
      </c>
      <c r="M791" s="34" t="s">
        <v>478</v>
      </c>
      <c r="N791" s="67" t="s">
        <v>479</v>
      </c>
    </row>
    <row r="792" spans="2:14" ht="17" x14ac:dyDescent="0.2">
      <c r="B792" s="138" t="s">
        <v>81</v>
      </c>
      <c r="C792" s="19" t="s">
        <v>40</v>
      </c>
      <c r="J792" s="34" t="s">
        <v>0</v>
      </c>
      <c r="L792" s="221" t="s">
        <v>41</v>
      </c>
      <c r="M792" s="34" t="s">
        <v>478</v>
      </c>
      <c r="N792" s="67" t="s">
        <v>479</v>
      </c>
    </row>
    <row r="793" spans="2:14" ht="17" x14ac:dyDescent="0.2">
      <c r="B793" s="166" t="s">
        <v>82</v>
      </c>
      <c r="C793" s="19" t="s">
        <v>40</v>
      </c>
      <c r="J793" s="34" t="s">
        <v>0</v>
      </c>
      <c r="L793" s="221" t="s">
        <v>41</v>
      </c>
      <c r="M793" s="34" t="s">
        <v>478</v>
      </c>
      <c r="N793" s="67" t="s">
        <v>479</v>
      </c>
    </row>
    <row r="794" spans="2:14" ht="17" x14ac:dyDescent="0.2">
      <c r="B794" s="166" t="s">
        <v>494</v>
      </c>
      <c r="C794" s="19" t="s">
        <v>40</v>
      </c>
      <c r="J794" s="34" t="s">
        <v>0</v>
      </c>
      <c r="L794" s="221" t="s">
        <v>41</v>
      </c>
      <c r="M794" s="34" t="s">
        <v>478</v>
      </c>
      <c r="N794" s="67" t="s">
        <v>479</v>
      </c>
    </row>
    <row r="795" spans="2:14" ht="17" x14ac:dyDescent="0.2">
      <c r="B795" s="166" t="s">
        <v>495</v>
      </c>
      <c r="C795" s="19" t="s">
        <v>40</v>
      </c>
      <c r="J795" s="34" t="s">
        <v>0</v>
      </c>
      <c r="L795" s="221" t="s">
        <v>41</v>
      </c>
      <c r="M795" s="34" t="s">
        <v>478</v>
      </c>
      <c r="N795" s="67" t="s">
        <v>479</v>
      </c>
    </row>
    <row r="796" spans="2:14" ht="17" x14ac:dyDescent="0.2">
      <c r="B796" s="169" t="s">
        <v>496</v>
      </c>
      <c r="C796" s="19"/>
    </row>
    <row r="797" spans="2:14" ht="17" x14ac:dyDescent="0.2">
      <c r="B797" s="168" t="s">
        <v>134</v>
      </c>
      <c r="C797" s="19" t="s">
        <v>40</v>
      </c>
      <c r="J797" s="34" t="s">
        <v>0</v>
      </c>
      <c r="L797" s="221" t="s">
        <v>41</v>
      </c>
      <c r="M797" s="34" t="s">
        <v>478</v>
      </c>
      <c r="N797" s="67" t="s">
        <v>479</v>
      </c>
    </row>
    <row r="798" spans="2:14" ht="17" x14ac:dyDescent="0.2">
      <c r="B798" s="167" t="s">
        <v>497</v>
      </c>
      <c r="C798" s="19" t="s">
        <v>40</v>
      </c>
      <c r="J798" s="34" t="s">
        <v>0</v>
      </c>
      <c r="L798" s="221" t="s">
        <v>41</v>
      </c>
      <c r="M798" s="34" t="s">
        <v>478</v>
      </c>
      <c r="N798" s="67" t="s">
        <v>479</v>
      </c>
    </row>
    <row r="799" spans="2:14" ht="34" x14ac:dyDescent="0.2">
      <c r="B799" s="166" t="s">
        <v>520</v>
      </c>
      <c r="C799" s="19" t="s">
        <v>40</v>
      </c>
      <c r="J799" s="34" t="s">
        <v>0</v>
      </c>
      <c r="L799" s="221" t="s">
        <v>41</v>
      </c>
      <c r="M799" s="34" t="s">
        <v>478</v>
      </c>
      <c r="N799" s="67" t="s">
        <v>479</v>
      </c>
    </row>
    <row r="800" spans="2:14" ht="34" x14ac:dyDescent="0.2">
      <c r="B800" s="167" t="s">
        <v>521</v>
      </c>
      <c r="C800" s="19" t="s">
        <v>40</v>
      </c>
      <c r="I800" s="19" t="s">
        <v>299</v>
      </c>
      <c r="J800" s="19" t="s">
        <v>299</v>
      </c>
      <c r="K800" s="19" t="s">
        <v>299</v>
      </c>
      <c r="L800" s="221" t="s">
        <v>41</v>
      </c>
      <c r="M800" s="34" t="s">
        <v>478</v>
      </c>
      <c r="N800" s="67" t="s">
        <v>479</v>
      </c>
    </row>
    <row r="801" spans="2:14" x14ac:dyDescent="0.2">
      <c r="B801" s="140" t="s">
        <v>86</v>
      </c>
    </row>
    <row r="802" spans="2:14" x14ac:dyDescent="0.2">
      <c r="B802" s="140" t="s">
        <v>500</v>
      </c>
    </row>
    <row r="803" spans="2:14" ht="17" x14ac:dyDescent="0.2">
      <c r="B803" s="141" t="s">
        <v>87</v>
      </c>
      <c r="C803" s="19" t="s">
        <v>40</v>
      </c>
      <c r="J803" s="34" t="s">
        <v>0</v>
      </c>
      <c r="L803" s="221" t="s">
        <v>41</v>
      </c>
      <c r="M803" s="34" t="s">
        <v>478</v>
      </c>
      <c r="N803" s="67" t="s">
        <v>479</v>
      </c>
    </row>
    <row r="804" spans="2:14" ht="32" x14ac:dyDescent="0.2">
      <c r="B804" s="142" t="s">
        <v>102</v>
      </c>
      <c r="C804" s="19" t="s">
        <v>40</v>
      </c>
      <c r="J804" s="34" t="s">
        <v>0</v>
      </c>
      <c r="L804" s="221" t="s">
        <v>41</v>
      </c>
      <c r="M804" s="34" t="s">
        <v>478</v>
      </c>
      <c r="N804" s="67" t="s">
        <v>479</v>
      </c>
    </row>
    <row r="805" spans="2:14" ht="48" x14ac:dyDescent="0.2">
      <c r="B805" s="143" t="s">
        <v>103</v>
      </c>
      <c r="C805" s="19" t="s">
        <v>40</v>
      </c>
      <c r="J805" s="34" t="s">
        <v>0</v>
      </c>
      <c r="L805" s="221" t="s">
        <v>41</v>
      </c>
      <c r="M805" s="34" t="s">
        <v>478</v>
      </c>
      <c r="N805" s="67" t="s">
        <v>479</v>
      </c>
    </row>
    <row r="806" spans="2:14" ht="17" x14ac:dyDescent="0.2">
      <c r="B806" s="144" t="s">
        <v>96</v>
      </c>
      <c r="C806" s="19" t="s">
        <v>40</v>
      </c>
      <c r="J806" s="34" t="s">
        <v>0</v>
      </c>
      <c r="L806" s="221" t="s">
        <v>41</v>
      </c>
      <c r="M806" s="34" t="s">
        <v>478</v>
      </c>
      <c r="N806" s="67" t="s">
        <v>479</v>
      </c>
    </row>
    <row r="807" spans="2:14" ht="32" x14ac:dyDescent="0.2">
      <c r="B807" s="143" t="s">
        <v>104</v>
      </c>
      <c r="C807" s="19" t="s">
        <v>40</v>
      </c>
      <c r="J807" s="34" t="s">
        <v>0</v>
      </c>
      <c r="L807" s="221" t="s">
        <v>41</v>
      </c>
      <c r="M807" s="34" t="s">
        <v>478</v>
      </c>
      <c r="N807" s="67" t="s">
        <v>479</v>
      </c>
    </row>
    <row r="808" spans="2:14" ht="32" x14ac:dyDescent="0.2">
      <c r="B808" s="142" t="s">
        <v>105</v>
      </c>
      <c r="C808" s="19" t="s">
        <v>40</v>
      </c>
      <c r="J808" s="34" t="s">
        <v>0</v>
      </c>
      <c r="L808" s="221" t="s">
        <v>41</v>
      </c>
      <c r="M808" s="34" t="s">
        <v>478</v>
      </c>
      <c r="N808" s="67" t="s">
        <v>479</v>
      </c>
    </row>
    <row r="809" spans="2:14" ht="17" x14ac:dyDescent="0.2">
      <c r="B809" s="144" t="s">
        <v>99</v>
      </c>
      <c r="C809" s="19" t="s">
        <v>40</v>
      </c>
      <c r="J809" s="34" t="s">
        <v>0</v>
      </c>
      <c r="L809" s="221" t="s">
        <v>41</v>
      </c>
      <c r="M809" s="34" t="s">
        <v>478</v>
      </c>
      <c r="N809" s="67" t="s">
        <v>479</v>
      </c>
    </row>
    <row r="810" spans="2:14" ht="17" x14ac:dyDescent="0.2">
      <c r="B810" s="143" t="s">
        <v>106</v>
      </c>
      <c r="C810" s="19" t="s">
        <v>40</v>
      </c>
      <c r="J810" s="34" t="s">
        <v>0</v>
      </c>
      <c r="L810" s="221" t="s">
        <v>41</v>
      </c>
      <c r="M810" s="34" t="s">
        <v>478</v>
      </c>
      <c r="N810" s="67" t="s">
        <v>479</v>
      </c>
    </row>
    <row r="811" spans="2:14" x14ac:dyDescent="0.2">
      <c r="B811" s="140" t="s">
        <v>101</v>
      </c>
    </row>
    <row r="812" spans="2:14" ht="17" x14ac:dyDescent="0.2">
      <c r="B812" s="141" t="s">
        <v>87</v>
      </c>
      <c r="C812" s="19" t="s">
        <v>40</v>
      </c>
      <c r="J812" s="34" t="s">
        <v>0</v>
      </c>
      <c r="L812" s="221" t="s">
        <v>41</v>
      </c>
      <c r="M812" s="34" t="s">
        <v>478</v>
      </c>
      <c r="N812" s="67" t="s">
        <v>479</v>
      </c>
    </row>
    <row r="813" spans="2:14" ht="32" x14ac:dyDescent="0.2">
      <c r="B813" s="142" t="s">
        <v>102</v>
      </c>
      <c r="C813" s="19" t="s">
        <v>40</v>
      </c>
      <c r="J813" s="34" t="s">
        <v>0</v>
      </c>
      <c r="L813" s="221" t="s">
        <v>41</v>
      </c>
      <c r="M813" s="34" t="s">
        <v>478</v>
      </c>
      <c r="N813" s="67" t="s">
        <v>479</v>
      </c>
    </row>
    <row r="814" spans="2:14" ht="48" x14ac:dyDescent="0.2">
      <c r="B814" s="143" t="s">
        <v>108</v>
      </c>
      <c r="C814" s="19" t="s">
        <v>40</v>
      </c>
      <c r="J814" s="34" t="s">
        <v>0</v>
      </c>
      <c r="L814" s="221" t="s">
        <v>41</v>
      </c>
      <c r="M814" s="34" t="s">
        <v>478</v>
      </c>
      <c r="N814" s="67" t="s">
        <v>479</v>
      </c>
    </row>
    <row r="815" spans="2:14" ht="17" x14ac:dyDescent="0.2">
      <c r="B815" s="144" t="s">
        <v>96</v>
      </c>
      <c r="C815" s="19" t="s">
        <v>40</v>
      </c>
      <c r="J815" s="34" t="s">
        <v>0</v>
      </c>
      <c r="L815" s="221" t="s">
        <v>41</v>
      </c>
      <c r="M815" s="34" t="s">
        <v>478</v>
      </c>
      <c r="N815" s="67" t="s">
        <v>479</v>
      </c>
    </row>
    <row r="816" spans="2:14" ht="32" x14ac:dyDescent="0.2">
      <c r="B816" s="143" t="s">
        <v>109</v>
      </c>
      <c r="C816" s="19" t="s">
        <v>40</v>
      </c>
      <c r="J816" s="34" t="s">
        <v>0</v>
      </c>
      <c r="L816" s="221" t="s">
        <v>41</v>
      </c>
      <c r="M816" s="34" t="s">
        <v>478</v>
      </c>
      <c r="N816" s="67" t="s">
        <v>479</v>
      </c>
    </row>
    <row r="817" spans="2:14" ht="32" x14ac:dyDescent="0.2">
      <c r="B817" s="142" t="s">
        <v>110</v>
      </c>
      <c r="C817" s="19" t="s">
        <v>40</v>
      </c>
      <c r="J817" s="34" t="s">
        <v>0</v>
      </c>
      <c r="L817" s="221" t="s">
        <v>41</v>
      </c>
      <c r="M817" s="34" t="s">
        <v>478</v>
      </c>
      <c r="N817" s="67" t="s">
        <v>479</v>
      </c>
    </row>
    <row r="818" spans="2:14" ht="17" x14ac:dyDescent="0.2">
      <c r="B818" s="144" t="s">
        <v>99</v>
      </c>
      <c r="C818" s="19" t="s">
        <v>40</v>
      </c>
      <c r="J818" s="34" t="s">
        <v>0</v>
      </c>
      <c r="L818" s="221" t="s">
        <v>41</v>
      </c>
      <c r="M818" s="34" t="s">
        <v>478</v>
      </c>
      <c r="N818" s="67" t="s">
        <v>479</v>
      </c>
    </row>
    <row r="819" spans="2:14" ht="17" x14ac:dyDescent="0.2">
      <c r="B819" s="143" t="s">
        <v>111</v>
      </c>
      <c r="C819" s="19" t="s">
        <v>40</v>
      </c>
      <c r="J819" s="34" t="s">
        <v>0</v>
      </c>
      <c r="L819" s="221" t="s">
        <v>41</v>
      </c>
      <c r="M819" s="34" t="s">
        <v>478</v>
      </c>
      <c r="N819" s="67" t="s">
        <v>479</v>
      </c>
    </row>
    <row r="820" spans="2:14" x14ac:dyDescent="0.2">
      <c r="B820" s="140" t="s">
        <v>107</v>
      </c>
    </row>
    <row r="821" spans="2:14" ht="17" x14ac:dyDescent="0.2">
      <c r="B821" s="141" t="s">
        <v>87</v>
      </c>
      <c r="C821" s="19" t="s">
        <v>40</v>
      </c>
      <c r="J821" s="34" t="s">
        <v>0</v>
      </c>
      <c r="L821" s="221" t="s">
        <v>41</v>
      </c>
      <c r="M821" s="34" t="s">
        <v>478</v>
      </c>
      <c r="N821" s="67" t="s">
        <v>479</v>
      </c>
    </row>
    <row r="822" spans="2:14" ht="32" x14ac:dyDescent="0.2">
      <c r="B822" s="142" t="s">
        <v>102</v>
      </c>
      <c r="C822" s="19" t="s">
        <v>40</v>
      </c>
      <c r="J822" s="34" t="s">
        <v>0</v>
      </c>
      <c r="L822" s="221" t="s">
        <v>41</v>
      </c>
      <c r="M822" s="34" t="s">
        <v>478</v>
      </c>
      <c r="N822" s="67" t="s">
        <v>479</v>
      </c>
    </row>
    <row r="823" spans="2:14" ht="48" x14ac:dyDescent="0.2">
      <c r="B823" s="143" t="s">
        <v>113</v>
      </c>
      <c r="C823" s="19" t="s">
        <v>40</v>
      </c>
      <c r="J823" s="34" t="s">
        <v>0</v>
      </c>
      <c r="L823" s="221" t="s">
        <v>41</v>
      </c>
      <c r="M823" s="34" t="s">
        <v>478</v>
      </c>
      <c r="N823" s="67" t="s">
        <v>479</v>
      </c>
    </row>
    <row r="824" spans="2:14" ht="17" x14ac:dyDescent="0.2">
      <c r="B824" s="144" t="s">
        <v>96</v>
      </c>
      <c r="C824" s="19" t="s">
        <v>40</v>
      </c>
      <c r="J824" s="34" t="s">
        <v>0</v>
      </c>
      <c r="L824" s="221" t="s">
        <v>41</v>
      </c>
      <c r="M824" s="34" t="s">
        <v>478</v>
      </c>
      <c r="N824" s="67" t="s">
        <v>479</v>
      </c>
    </row>
    <row r="825" spans="2:14" ht="32" x14ac:dyDescent="0.2">
      <c r="B825" s="143" t="s">
        <v>97</v>
      </c>
      <c r="C825" s="19" t="s">
        <v>40</v>
      </c>
      <c r="J825" s="34" t="s">
        <v>0</v>
      </c>
      <c r="L825" s="221" t="s">
        <v>41</v>
      </c>
      <c r="M825" s="34" t="s">
        <v>478</v>
      </c>
      <c r="N825" s="67" t="s">
        <v>479</v>
      </c>
    </row>
    <row r="826" spans="2:14" ht="32" x14ac:dyDescent="0.2">
      <c r="B826" s="142" t="s">
        <v>114</v>
      </c>
      <c r="C826" s="19" t="s">
        <v>40</v>
      </c>
      <c r="J826" s="34" t="s">
        <v>0</v>
      </c>
      <c r="L826" s="221" t="s">
        <v>41</v>
      </c>
      <c r="M826" s="34" t="s">
        <v>478</v>
      </c>
      <c r="N826" s="67" t="s">
        <v>479</v>
      </c>
    </row>
    <row r="827" spans="2:14" ht="17" x14ac:dyDescent="0.2">
      <c r="B827" s="144" t="s">
        <v>99</v>
      </c>
      <c r="C827" s="19" t="s">
        <v>40</v>
      </c>
      <c r="J827" s="34" t="s">
        <v>0</v>
      </c>
      <c r="L827" s="221" t="s">
        <v>41</v>
      </c>
      <c r="M827" s="34" t="s">
        <v>478</v>
      </c>
      <c r="N827" s="67" t="s">
        <v>479</v>
      </c>
    </row>
    <row r="828" spans="2:14" ht="17" x14ac:dyDescent="0.2">
      <c r="B828" s="143" t="s">
        <v>115</v>
      </c>
      <c r="C828" s="19" t="s">
        <v>40</v>
      </c>
      <c r="J828" s="34" t="s">
        <v>0</v>
      </c>
      <c r="L828" s="221" t="s">
        <v>41</v>
      </c>
      <c r="M828" s="34" t="s">
        <v>478</v>
      </c>
      <c r="N828" s="67" t="s">
        <v>479</v>
      </c>
    </row>
    <row r="829" spans="2:14" ht="17" x14ac:dyDescent="0.2">
      <c r="B829" s="128" t="s">
        <v>121</v>
      </c>
      <c r="C829" s="19"/>
    </row>
    <row r="830" spans="2:14" ht="17" x14ac:dyDescent="0.2">
      <c r="B830" s="145" t="s">
        <v>122</v>
      </c>
      <c r="C830" s="19" t="s">
        <v>40</v>
      </c>
    </row>
    <row r="831" spans="2:14" ht="17" x14ac:dyDescent="0.2">
      <c r="B831" s="167" t="s">
        <v>123</v>
      </c>
      <c r="C831" s="19" t="s">
        <v>40</v>
      </c>
      <c r="J831" s="34" t="s">
        <v>0</v>
      </c>
      <c r="L831" s="221" t="s">
        <v>41</v>
      </c>
      <c r="M831" s="34" t="s">
        <v>478</v>
      </c>
      <c r="N831" s="67" t="s">
        <v>479</v>
      </c>
    </row>
    <row r="832" spans="2:14" ht="17" x14ac:dyDescent="0.2">
      <c r="B832" s="167" t="s">
        <v>522</v>
      </c>
      <c r="C832" s="19" t="s">
        <v>40</v>
      </c>
      <c r="J832" s="34" t="s">
        <v>0</v>
      </c>
      <c r="L832" s="221" t="s">
        <v>41</v>
      </c>
      <c r="M832" s="34" t="s">
        <v>478</v>
      </c>
      <c r="N832" s="67" t="s">
        <v>479</v>
      </c>
    </row>
    <row r="833" spans="2:14" ht="17" x14ac:dyDescent="0.2">
      <c r="B833" s="167" t="s">
        <v>125</v>
      </c>
      <c r="C833" s="19" t="s">
        <v>40</v>
      </c>
      <c r="J833" s="34" t="s">
        <v>0</v>
      </c>
      <c r="L833" s="221" t="s">
        <v>41</v>
      </c>
      <c r="M833" s="34" t="s">
        <v>478</v>
      </c>
      <c r="N833" s="67" t="s">
        <v>479</v>
      </c>
    </row>
    <row r="834" spans="2:14" ht="17" x14ac:dyDescent="0.2">
      <c r="B834" s="145" t="s">
        <v>126</v>
      </c>
      <c r="C834" s="19" t="s">
        <v>40</v>
      </c>
      <c r="J834" s="34" t="s">
        <v>0</v>
      </c>
      <c r="L834" s="221" t="s">
        <v>41</v>
      </c>
      <c r="M834" s="34" t="s">
        <v>478</v>
      </c>
      <c r="N834" s="67" t="s">
        <v>479</v>
      </c>
    </row>
    <row r="835" spans="2:14" ht="17" x14ac:dyDescent="0.2">
      <c r="B835" s="138" t="s">
        <v>127</v>
      </c>
      <c r="C835" s="19" t="s">
        <v>40</v>
      </c>
      <c r="J835" s="34" t="s">
        <v>0</v>
      </c>
      <c r="L835" s="221" t="s">
        <v>41</v>
      </c>
      <c r="M835" s="34" t="s">
        <v>478</v>
      </c>
      <c r="N835" s="67" t="s">
        <v>479</v>
      </c>
    </row>
    <row r="836" spans="2:14" ht="17" x14ac:dyDescent="0.2">
      <c r="B836" s="138" t="s">
        <v>128</v>
      </c>
      <c r="C836" s="19" t="s">
        <v>40</v>
      </c>
      <c r="J836" s="34" t="s">
        <v>0</v>
      </c>
      <c r="L836" s="221" t="s">
        <v>41</v>
      </c>
      <c r="M836" s="34" t="s">
        <v>478</v>
      </c>
      <c r="N836" s="67" t="s">
        <v>479</v>
      </c>
    </row>
    <row r="837" spans="2:14" ht="17" x14ac:dyDescent="0.2">
      <c r="B837" s="220" t="s">
        <v>129</v>
      </c>
      <c r="C837" s="19" t="s">
        <v>40</v>
      </c>
      <c r="J837" s="34" t="s">
        <v>0</v>
      </c>
      <c r="L837" s="221" t="s">
        <v>41</v>
      </c>
      <c r="M837" s="34" t="s">
        <v>478</v>
      </c>
      <c r="N837" s="67" t="s">
        <v>479</v>
      </c>
    </row>
    <row r="838" spans="2:14" ht="17" x14ac:dyDescent="0.2">
      <c r="B838" s="138" t="s">
        <v>130</v>
      </c>
      <c r="C838" s="19" t="s">
        <v>40</v>
      </c>
      <c r="J838" s="34" t="s">
        <v>0</v>
      </c>
      <c r="L838" s="221" t="s">
        <v>41</v>
      </c>
      <c r="M838" s="34" t="s">
        <v>478</v>
      </c>
      <c r="N838" s="67" t="s">
        <v>479</v>
      </c>
    </row>
    <row r="839" spans="2:14" ht="17" x14ac:dyDescent="0.2">
      <c r="B839" s="168" t="s">
        <v>501</v>
      </c>
      <c r="C839" s="19" t="s">
        <v>40</v>
      </c>
      <c r="J839" s="34" t="s">
        <v>0</v>
      </c>
      <c r="L839" s="221" t="s">
        <v>41</v>
      </c>
      <c r="M839" s="34" t="s">
        <v>478</v>
      </c>
      <c r="N839" s="67" t="s">
        <v>479</v>
      </c>
    </row>
    <row r="840" spans="2:14" ht="17" x14ac:dyDescent="0.2">
      <c r="B840" s="147" t="s">
        <v>132</v>
      </c>
      <c r="C840" s="19" t="s">
        <v>40</v>
      </c>
      <c r="J840" s="34" t="s">
        <v>0</v>
      </c>
      <c r="L840" s="221" t="s">
        <v>41</v>
      </c>
      <c r="M840" s="34" t="s">
        <v>478</v>
      </c>
      <c r="N840" s="67" t="s">
        <v>479</v>
      </c>
    </row>
    <row r="841" spans="2:14" ht="17" x14ac:dyDescent="0.2">
      <c r="B841" s="147" t="s">
        <v>134</v>
      </c>
      <c r="C841" s="19" t="s">
        <v>40</v>
      </c>
      <c r="J841" s="34" t="s">
        <v>0</v>
      </c>
      <c r="L841" s="221" t="s">
        <v>41</v>
      </c>
      <c r="M841" s="34" t="s">
        <v>478</v>
      </c>
      <c r="N841" s="67" t="s">
        <v>479</v>
      </c>
    </row>
    <row r="842" spans="2:14" ht="17" x14ac:dyDescent="0.2">
      <c r="B842" s="147" t="s">
        <v>136</v>
      </c>
      <c r="C842" s="19" t="s">
        <v>40</v>
      </c>
      <c r="J842" s="34" t="s">
        <v>0</v>
      </c>
      <c r="L842" s="221" t="s">
        <v>41</v>
      </c>
      <c r="M842" s="34" t="s">
        <v>478</v>
      </c>
      <c r="N842" s="67" t="s">
        <v>479</v>
      </c>
    </row>
    <row r="843" spans="2:14" ht="20" x14ac:dyDescent="0.25">
      <c r="B843" s="230" t="s">
        <v>238</v>
      </c>
      <c r="C843" s="19"/>
    </row>
    <row r="844" spans="2:14" ht="22.5" customHeight="1" x14ac:dyDescent="0.2">
      <c r="B844" s="147" t="s">
        <v>239</v>
      </c>
      <c r="C844" s="19" t="s">
        <v>40</v>
      </c>
      <c r="L844" s="221" t="s">
        <v>41</v>
      </c>
      <c r="M844" s="34" t="s">
        <v>478</v>
      </c>
      <c r="N844" s="67" t="s">
        <v>479</v>
      </c>
    </row>
    <row r="845" spans="2:14" ht="23" x14ac:dyDescent="0.3">
      <c r="B845" s="148" t="s">
        <v>137</v>
      </c>
      <c r="C845" s="19"/>
    </row>
    <row r="846" spans="2:14" ht="23" x14ac:dyDescent="0.3">
      <c r="B846" s="148" t="s">
        <v>138</v>
      </c>
      <c r="C846" s="19"/>
    </row>
    <row r="847" spans="2:14" ht="17" x14ac:dyDescent="0.2">
      <c r="B847" s="168" t="s">
        <v>139</v>
      </c>
      <c r="C847" s="19" t="s">
        <v>40</v>
      </c>
      <c r="J847" s="34" t="s">
        <v>0</v>
      </c>
      <c r="L847" s="221" t="s">
        <v>41</v>
      </c>
      <c r="M847" s="34" t="s">
        <v>478</v>
      </c>
      <c r="N847" s="67" t="s">
        <v>479</v>
      </c>
    </row>
    <row r="848" spans="2:14" ht="17" x14ac:dyDescent="0.2">
      <c r="B848" s="147" t="s">
        <v>140</v>
      </c>
      <c r="C848" s="19" t="s">
        <v>40</v>
      </c>
      <c r="J848" s="34" t="s">
        <v>0</v>
      </c>
      <c r="L848" s="221" t="s">
        <v>41</v>
      </c>
      <c r="M848" s="34" t="s">
        <v>478</v>
      </c>
      <c r="N848" s="67" t="s">
        <v>479</v>
      </c>
    </row>
    <row r="849" spans="2:14" ht="17" x14ac:dyDescent="0.2">
      <c r="B849" s="147" t="s">
        <v>141</v>
      </c>
      <c r="C849" s="19" t="s">
        <v>40</v>
      </c>
      <c r="J849" s="34" t="s">
        <v>0</v>
      </c>
      <c r="L849" s="221" t="s">
        <v>41</v>
      </c>
      <c r="M849" s="34" t="s">
        <v>478</v>
      </c>
      <c r="N849" s="67" t="s">
        <v>479</v>
      </c>
    </row>
    <row r="850" spans="2:14" ht="17" x14ac:dyDescent="0.2">
      <c r="B850" s="147" t="s">
        <v>142</v>
      </c>
      <c r="C850" s="19" t="s">
        <v>40</v>
      </c>
      <c r="J850" s="34" t="s">
        <v>0</v>
      </c>
      <c r="L850" s="221" t="s">
        <v>41</v>
      </c>
      <c r="M850" s="34" t="s">
        <v>478</v>
      </c>
      <c r="N850" s="67" t="s">
        <v>479</v>
      </c>
    </row>
    <row r="851" spans="2:14" ht="17" x14ac:dyDescent="0.2">
      <c r="B851" s="147" t="s">
        <v>143</v>
      </c>
      <c r="C851" s="19" t="s">
        <v>40</v>
      </c>
      <c r="J851" s="34" t="s">
        <v>0</v>
      </c>
      <c r="L851" s="221" t="s">
        <v>41</v>
      </c>
      <c r="M851" s="34" t="s">
        <v>478</v>
      </c>
      <c r="N851" s="67" t="s">
        <v>479</v>
      </c>
    </row>
    <row r="852" spans="2:14" ht="17" x14ac:dyDescent="0.2">
      <c r="B852" s="168" t="s">
        <v>240</v>
      </c>
      <c r="C852" s="19" t="s">
        <v>40</v>
      </c>
      <c r="J852" s="34" t="s">
        <v>0</v>
      </c>
      <c r="L852" s="221" t="s">
        <v>41</v>
      </c>
      <c r="M852" s="34" t="s">
        <v>478</v>
      </c>
      <c r="N852" s="67" t="s">
        <v>479</v>
      </c>
    </row>
    <row r="853" spans="2:14" ht="23" x14ac:dyDescent="0.3">
      <c r="B853" s="148" t="s">
        <v>144</v>
      </c>
      <c r="C853" s="19"/>
    </row>
    <row r="854" spans="2:14" ht="17" x14ac:dyDescent="0.2">
      <c r="B854" s="168" t="s">
        <v>145</v>
      </c>
      <c r="C854" s="19" t="s">
        <v>40</v>
      </c>
      <c r="J854" s="34" t="s">
        <v>0</v>
      </c>
      <c r="L854" s="221" t="s">
        <v>41</v>
      </c>
      <c r="M854" s="34" t="s">
        <v>478</v>
      </c>
      <c r="N854" s="67" t="s">
        <v>479</v>
      </c>
    </row>
    <row r="855" spans="2:14" ht="17" x14ac:dyDescent="0.2">
      <c r="B855" s="168" t="s">
        <v>146</v>
      </c>
      <c r="C855" s="19" t="s">
        <v>40</v>
      </c>
      <c r="J855" s="34" t="s">
        <v>0</v>
      </c>
      <c r="L855" s="221" t="s">
        <v>41</v>
      </c>
      <c r="M855" s="34" t="s">
        <v>478</v>
      </c>
      <c r="N855" s="67" t="s">
        <v>479</v>
      </c>
    </row>
    <row r="856" spans="2:14" ht="17" x14ac:dyDescent="0.2">
      <c r="B856" s="168" t="s">
        <v>147</v>
      </c>
      <c r="C856" s="19" t="s">
        <v>40</v>
      </c>
      <c r="J856" s="34" t="s">
        <v>0</v>
      </c>
      <c r="L856" s="221" t="s">
        <v>41</v>
      </c>
      <c r="M856" s="34" t="s">
        <v>478</v>
      </c>
      <c r="N856" s="67" t="s">
        <v>479</v>
      </c>
    </row>
    <row r="857" spans="2:14" ht="17" x14ac:dyDescent="0.2">
      <c r="B857" s="168" t="s">
        <v>148</v>
      </c>
      <c r="C857" s="19" t="s">
        <v>40</v>
      </c>
      <c r="J857" s="34" t="s">
        <v>0</v>
      </c>
      <c r="L857" s="221" t="s">
        <v>41</v>
      </c>
      <c r="M857" s="34" t="s">
        <v>478</v>
      </c>
      <c r="N857" s="67" t="s">
        <v>479</v>
      </c>
    </row>
    <row r="858" spans="2:14" ht="17" x14ac:dyDescent="0.2">
      <c r="B858" s="168" t="s">
        <v>149</v>
      </c>
      <c r="C858" s="19" t="s">
        <v>40</v>
      </c>
      <c r="J858" s="34" t="s">
        <v>0</v>
      </c>
      <c r="L858" s="221" t="s">
        <v>41</v>
      </c>
      <c r="M858" s="34" t="s">
        <v>478</v>
      </c>
      <c r="N858" s="67" t="s">
        <v>479</v>
      </c>
    </row>
    <row r="859" spans="2:14" ht="20" x14ac:dyDescent="0.2">
      <c r="B859" s="177" t="s">
        <v>51</v>
      </c>
      <c r="C859" s="19"/>
    </row>
    <row r="860" spans="2:14" ht="17" x14ac:dyDescent="0.2">
      <c r="B860" s="176" t="s">
        <v>523</v>
      </c>
    </row>
    <row r="861" spans="2:14" x14ac:dyDescent="0.2">
      <c r="B861" s="231" t="s">
        <v>229</v>
      </c>
      <c r="C861" s="232"/>
    </row>
    <row r="862" spans="2:14" ht="17" x14ac:dyDescent="0.2">
      <c r="B862" s="233" t="s">
        <v>230</v>
      </c>
      <c r="C862" s="232" t="s">
        <v>40</v>
      </c>
      <c r="J862" s="34" t="s">
        <v>0</v>
      </c>
      <c r="L862" s="221" t="s">
        <v>41</v>
      </c>
      <c r="M862" s="34" t="s">
        <v>478</v>
      </c>
      <c r="N862" s="67" t="s">
        <v>479</v>
      </c>
    </row>
    <row r="863" spans="2:14" ht="17" x14ac:dyDescent="0.2">
      <c r="B863" s="233" t="s">
        <v>231</v>
      </c>
      <c r="C863" s="232" t="s">
        <v>40</v>
      </c>
      <c r="J863" s="34" t="s">
        <v>0</v>
      </c>
      <c r="L863" s="221" t="s">
        <v>41</v>
      </c>
      <c r="M863" s="34" t="s">
        <v>478</v>
      </c>
      <c r="N863" s="67" t="s">
        <v>479</v>
      </c>
    </row>
    <row r="864" spans="2:14" ht="17" x14ac:dyDescent="0.2">
      <c r="B864" s="233" t="s">
        <v>232</v>
      </c>
      <c r="C864" s="232" t="s">
        <v>40</v>
      </c>
      <c r="J864" s="34" t="s">
        <v>0</v>
      </c>
      <c r="L864" s="221" t="s">
        <v>41</v>
      </c>
      <c r="M864" s="34" t="s">
        <v>478</v>
      </c>
      <c r="N864" s="67" t="s">
        <v>479</v>
      </c>
    </row>
    <row r="865" spans="2:14" ht="17" x14ac:dyDescent="0.2">
      <c r="B865" s="233" t="s">
        <v>233</v>
      </c>
      <c r="C865" s="232" t="s">
        <v>40</v>
      </c>
      <c r="J865" s="34" t="s">
        <v>0</v>
      </c>
      <c r="L865" s="221" t="s">
        <v>41</v>
      </c>
      <c r="M865" s="34" t="s">
        <v>478</v>
      </c>
      <c r="N865" s="67" t="s">
        <v>479</v>
      </c>
    </row>
    <row r="866" spans="2:14" ht="17" x14ac:dyDescent="0.2">
      <c r="B866" s="233" t="s">
        <v>236</v>
      </c>
      <c r="C866" s="232" t="s">
        <v>40</v>
      </c>
      <c r="J866" s="34" t="s">
        <v>0</v>
      </c>
      <c r="L866" s="221" t="s">
        <v>41</v>
      </c>
      <c r="M866" s="34" t="s">
        <v>478</v>
      </c>
      <c r="N866" s="67" t="s">
        <v>479</v>
      </c>
    </row>
    <row r="867" spans="2:14" ht="20" x14ac:dyDescent="0.25">
      <c r="B867" s="149" t="s">
        <v>150</v>
      </c>
      <c r="C867" s="19"/>
    </row>
    <row r="868" spans="2:14" x14ac:dyDescent="0.2">
      <c r="B868" s="150" t="s">
        <v>151</v>
      </c>
      <c r="C868" s="19"/>
    </row>
    <row r="869" spans="2:14" ht="17" x14ac:dyDescent="0.2">
      <c r="B869" s="151" t="s">
        <v>152</v>
      </c>
      <c r="C869" s="19" t="s">
        <v>40</v>
      </c>
      <c r="J869" s="34" t="s">
        <v>0</v>
      </c>
      <c r="L869" s="221" t="s">
        <v>41</v>
      </c>
      <c r="M869" s="34" t="s">
        <v>478</v>
      </c>
      <c r="N869" s="67" t="s">
        <v>479</v>
      </c>
    </row>
    <row r="870" spans="2:14" ht="17" x14ac:dyDescent="0.2">
      <c r="B870" s="151" t="s">
        <v>153</v>
      </c>
      <c r="C870" s="19" t="s">
        <v>40</v>
      </c>
      <c r="J870" s="34" t="s">
        <v>0</v>
      </c>
      <c r="L870" s="221" t="s">
        <v>41</v>
      </c>
      <c r="M870" s="34" t="s">
        <v>478</v>
      </c>
      <c r="N870" s="67" t="s">
        <v>479</v>
      </c>
    </row>
    <row r="871" spans="2:14" ht="17" x14ac:dyDescent="0.2">
      <c r="B871" s="152" t="s">
        <v>154</v>
      </c>
      <c r="C871" s="19" t="s">
        <v>40</v>
      </c>
      <c r="J871" s="34" t="s">
        <v>0</v>
      </c>
      <c r="L871" s="221" t="s">
        <v>41</v>
      </c>
      <c r="M871" s="34" t="s">
        <v>478</v>
      </c>
      <c r="N871" s="67" t="s">
        <v>479</v>
      </c>
    </row>
    <row r="872" spans="2:14" ht="17" x14ac:dyDescent="0.2">
      <c r="B872" s="143" t="s">
        <v>155</v>
      </c>
      <c r="C872" s="19" t="s">
        <v>40</v>
      </c>
      <c r="J872" s="34" t="s">
        <v>0</v>
      </c>
      <c r="L872" s="221" t="s">
        <v>41</v>
      </c>
      <c r="M872" s="34" t="s">
        <v>478</v>
      </c>
      <c r="N872" s="67" t="s">
        <v>479</v>
      </c>
    </row>
    <row r="873" spans="2:14" x14ac:dyDescent="0.2">
      <c r="B873" s="153" t="s">
        <v>156</v>
      </c>
    </row>
    <row r="874" spans="2:14" x14ac:dyDescent="0.2">
      <c r="B874" s="153" t="s">
        <v>157</v>
      </c>
      <c r="C874" s="19"/>
    </row>
    <row r="875" spans="2:14" ht="17" x14ac:dyDescent="0.2">
      <c r="B875" s="154" t="s">
        <v>158</v>
      </c>
      <c r="C875" s="19" t="s">
        <v>40</v>
      </c>
      <c r="J875" s="34" t="s">
        <v>0</v>
      </c>
      <c r="L875" s="221" t="s">
        <v>41</v>
      </c>
      <c r="M875" s="34" t="s">
        <v>478</v>
      </c>
      <c r="N875" s="67" t="s">
        <v>479</v>
      </c>
    </row>
    <row r="876" spans="2:14" ht="17" x14ac:dyDescent="0.2">
      <c r="B876" s="155" t="s">
        <v>159</v>
      </c>
      <c r="C876" s="19" t="s">
        <v>40</v>
      </c>
      <c r="J876" s="34" t="s">
        <v>0</v>
      </c>
      <c r="L876" s="221" t="s">
        <v>41</v>
      </c>
      <c r="M876" s="34" t="s">
        <v>478</v>
      </c>
      <c r="N876" s="67" t="s">
        <v>479</v>
      </c>
    </row>
    <row r="877" spans="2:14" ht="17" x14ac:dyDescent="0.2">
      <c r="B877" s="151" t="s">
        <v>160</v>
      </c>
      <c r="C877" s="19" t="s">
        <v>40</v>
      </c>
      <c r="J877" s="34" t="s">
        <v>0</v>
      </c>
      <c r="L877" s="221" t="s">
        <v>41</v>
      </c>
      <c r="M877" s="34" t="s">
        <v>478</v>
      </c>
      <c r="N877" s="67" t="s">
        <v>479</v>
      </c>
    </row>
    <row r="878" spans="2:14" x14ac:dyDescent="0.2">
      <c r="B878" s="153" t="s">
        <v>161</v>
      </c>
      <c r="C878" s="19"/>
    </row>
    <row r="879" spans="2:14" x14ac:dyDescent="0.2">
      <c r="B879" s="156" t="s">
        <v>162</v>
      </c>
      <c r="C879" s="19"/>
    </row>
    <row r="880" spans="2:14" ht="48" x14ac:dyDescent="0.2">
      <c r="B880" s="151" t="s">
        <v>163</v>
      </c>
      <c r="C880" s="19" t="s">
        <v>40</v>
      </c>
      <c r="J880" s="34" t="s">
        <v>0</v>
      </c>
      <c r="L880" s="221" t="s">
        <v>41</v>
      </c>
      <c r="M880" s="34" t="s">
        <v>478</v>
      </c>
      <c r="N880" s="67" t="s">
        <v>479</v>
      </c>
    </row>
    <row r="881" spans="2:14" ht="17" x14ac:dyDescent="0.2">
      <c r="B881" s="138" t="s">
        <v>164</v>
      </c>
      <c r="C881" s="19" t="s">
        <v>40</v>
      </c>
      <c r="J881" s="34" t="s">
        <v>0</v>
      </c>
      <c r="L881" s="221" t="s">
        <v>41</v>
      </c>
      <c r="M881" s="34" t="s">
        <v>478</v>
      </c>
      <c r="N881" s="67" t="s">
        <v>479</v>
      </c>
    </row>
    <row r="882" spans="2:14" x14ac:dyDescent="0.2">
      <c r="B882" s="156" t="s">
        <v>165</v>
      </c>
      <c r="C882" s="19"/>
    </row>
    <row r="883" spans="2:14" ht="48" x14ac:dyDescent="0.2">
      <c r="B883" s="151" t="s">
        <v>166</v>
      </c>
      <c r="C883" s="19" t="s">
        <v>40</v>
      </c>
      <c r="J883" s="34" t="s">
        <v>0</v>
      </c>
      <c r="L883" s="221" t="s">
        <v>41</v>
      </c>
      <c r="M883" s="34" t="s">
        <v>478</v>
      </c>
      <c r="N883" s="67" t="s">
        <v>479</v>
      </c>
    </row>
    <row r="884" spans="2:14" ht="17" x14ac:dyDescent="0.2">
      <c r="B884" s="138" t="s">
        <v>167</v>
      </c>
      <c r="C884" s="19" t="s">
        <v>40</v>
      </c>
      <c r="J884" s="34" t="s">
        <v>0</v>
      </c>
      <c r="L884" s="221" t="s">
        <v>41</v>
      </c>
      <c r="M884" s="34" t="s">
        <v>478</v>
      </c>
      <c r="N884" s="67" t="s">
        <v>479</v>
      </c>
    </row>
    <row r="885" spans="2:14" x14ac:dyDescent="0.2">
      <c r="B885" s="157" t="s">
        <v>168</v>
      </c>
    </row>
    <row r="886" spans="2:14" ht="51" x14ac:dyDescent="0.2">
      <c r="B886" s="158" t="s">
        <v>169</v>
      </c>
      <c r="C886" s="19" t="s">
        <v>40</v>
      </c>
      <c r="J886" s="34" t="s">
        <v>0</v>
      </c>
      <c r="L886" s="221" t="s">
        <v>41</v>
      </c>
      <c r="M886" s="34" t="s">
        <v>478</v>
      </c>
      <c r="N886" s="67" t="s">
        <v>479</v>
      </c>
    </row>
    <row r="887" spans="2:14" ht="17" x14ac:dyDescent="0.2">
      <c r="B887" s="159" t="s">
        <v>170</v>
      </c>
      <c r="C887" s="19" t="s">
        <v>40</v>
      </c>
      <c r="J887" s="34" t="s">
        <v>0</v>
      </c>
      <c r="L887" s="221" t="s">
        <v>41</v>
      </c>
      <c r="M887" s="34" t="s">
        <v>478</v>
      </c>
      <c r="N887" s="67" t="s">
        <v>479</v>
      </c>
    </row>
    <row r="888" spans="2:14" x14ac:dyDescent="0.2">
      <c r="B888" s="157" t="s">
        <v>171</v>
      </c>
      <c r="C888" s="19"/>
    </row>
    <row r="889" spans="2:14" ht="48" x14ac:dyDescent="0.2">
      <c r="B889" s="144" t="s">
        <v>172</v>
      </c>
      <c r="C889" s="19" t="s">
        <v>40</v>
      </c>
      <c r="J889" s="34" t="s">
        <v>0</v>
      </c>
      <c r="L889" s="221" t="s">
        <v>41</v>
      </c>
      <c r="M889" s="34" t="s">
        <v>478</v>
      </c>
      <c r="N889" s="67" t="s">
        <v>479</v>
      </c>
    </row>
    <row r="890" spans="2:14" ht="17" x14ac:dyDescent="0.2">
      <c r="B890" s="160" t="s">
        <v>173</v>
      </c>
      <c r="C890" s="19" t="s">
        <v>40</v>
      </c>
      <c r="J890" s="34" t="s">
        <v>0</v>
      </c>
      <c r="L890" s="221" t="s">
        <v>41</v>
      </c>
      <c r="M890" s="34" t="s">
        <v>478</v>
      </c>
      <c r="N890" s="67" t="s">
        <v>479</v>
      </c>
    </row>
    <row r="891" spans="2:14" ht="17" x14ac:dyDescent="0.2">
      <c r="B891" s="128" t="s">
        <v>524</v>
      </c>
    </row>
    <row r="892" spans="2:14" ht="51" x14ac:dyDescent="0.2">
      <c r="B892" s="127" t="s">
        <v>525</v>
      </c>
      <c r="C892" s="19"/>
    </row>
    <row r="893" spans="2:14" ht="17" x14ac:dyDescent="0.2">
      <c r="B893" s="166" t="s">
        <v>526</v>
      </c>
      <c r="C893" s="19" t="s">
        <v>40</v>
      </c>
    </row>
    <row r="894" spans="2:14" ht="17" x14ac:dyDescent="0.2">
      <c r="B894" s="161" t="s">
        <v>174</v>
      </c>
    </row>
    <row r="895" spans="2:14" ht="51" x14ac:dyDescent="0.2">
      <c r="B895" s="161" t="s">
        <v>175</v>
      </c>
      <c r="C895" s="19"/>
    </row>
    <row r="896" spans="2:14" ht="17" x14ac:dyDescent="0.2">
      <c r="B896" s="131" t="s">
        <v>176</v>
      </c>
      <c r="C896" s="19" t="s">
        <v>40</v>
      </c>
      <c r="J896" s="34" t="s">
        <v>0</v>
      </c>
      <c r="L896" s="221" t="s">
        <v>41</v>
      </c>
      <c r="M896" s="34" t="s">
        <v>478</v>
      </c>
      <c r="N896" s="67" t="s">
        <v>479</v>
      </c>
    </row>
    <row r="897" spans="2:14" ht="17" x14ac:dyDescent="0.2">
      <c r="B897" s="160" t="s">
        <v>177</v>
      </c>
      <c r="C897" s="19" t="s">
        <v>40</v>
      </c>
      <c r="J897" s="34" t="s">
        <v>0</v>
      </c>
      <c r="L897" s="221" t="s">
        <v>41</v>
      </c>
      <c r="M897" s="34" t="s">
        <v>478</v>
      </c>
      <c r="N897" s="67" t="s">
        <v>479</v>
      </c>
    </row>
    <row r="898" spans="2:14" ht="17" x14ac:dyDescent="0.2">
      <c r="B898" s="131" t="s">
        <v>178</v>
      </c>
      <c r="C898" s="19" t="s">
        <v>40</v>
      </c>
      <c r="J898" s="34" t="s">
        <v>0</v>
      </c>
      <c r="L898" s="221" t="s">
        <v>41</v>
      </c>
      <c r="M898" s="34" t="s">
        <v>478</v>
      </c>
      <c r="N898" s="67" t="s">
        <v>479</v>
      </c>
    </row>
    <row r="899" spans="2:14" ht="68" x14ac:dyDescent="0.2">
      <c r="B899" s="165" t="s">
        <v>289</v>
      </c>
      <c r="C899" s="19" t="s">
        <v>40</v>
      </c>
      <c r="J899" s="34" t="s">
        <v>0</v>
      </c>
      <c r="L899" s="221" t="s">
        <v>41</v>
      </c>
      <c r="M899" s="34" t="s">
        <v>478</v>
      </c>
      <c r="N899" s="67" t="s">
        <v>479</v>
      </c>
    </row>
    <row r="900" spans="2:14" ht="17" x14ac:dyDescent="0.2">
      <c r="B900" s="131" t="s">
        <v>180</v>
      </c>
      <c r="C900" s="19" t="s">
        <v>40</v>
      </c>
      <c r="J900" s="34" t="s">
        <v>0</v>
      </c>
      <c r="L900" s="221" t="s">
        <v>41</v>
      </c>
      <c r="M900" s="34" t="s">
        <v>478</v>
      </c>
      <c r="N900" s="67" t="s">
        <v>479</v>
      </c>
    </row>
    <row r="901" spans="2:14" ht="68" x14ac:dyDescent="0.2">
      <c r="B901" s="165" t="s">
        <v>503</v>
      </c>
      <c r="C901" s="19" t="s">
        <v>40</v>
      </c>
      <c r="J901" s="34" t="s">
        <v>0</v>
      </c>
      <c r="L901" s="221" t="s">
        <v>41</v>
      </c>
      <c r="M901" s="34" t="s">
        <v>478</v>
      </c>
      <c r="N901" s="67" t="s">
        <v>479</v>
      </c>
    </row>
    <row r="902" spans="2:14" ht="17" x14ac:dyDescent="0.2">
      <c r="B902" s="160" t="s">
        <v>182</v>
      </c>
      <c r="C902" s="19" t="s">
        <v>40</v>
      </c>
      <c r="J902" s="34" t="s">
        <v>0</v>
      </c>
      <c r="L902" s="221" t="s">
        <v>41</v>
      </c>
      <c r="M902" s="34" t="s">
        <v>478</v>
      </c>
      <c r="N902" s="67" t="s">
        <v>479</v>
      </c>
    </row>
    <row r="903" spans="2:14" ht="68" x14ac:dyDescent="0.2">
      <c r="B903" s="160" t="s">
        <v>504</v>
      </c>
      <c r="C903" s="19" t="s">
        <v>40</v>
      </c>
      <c r="J903" s="34" t="s">
        <v>0</v>
      </c>
      <c r="L903" s="221" t="s">
        <v>41</v>
      </c>
      <c r="M903" s="34" t="s">
        <v>478</v>
      </c>
      <c r="N903" s="67" t="s">
        <v>479</v>
      </c>
    </row>
    <row r="904" spans="2:14" ht="17" x14ac:dyDescent="0.2">
      <c r="B904" s="162" t="s">
        <v>184</v>
      </c>
      <c r="C904" s="19" t="s">
        <v>40</v>
      </c>
      <c r="J904" s="34" t="s">
        <v>0</v>
      </c>
      <c r="L904" s="221" t="s">
        <v>41</v>
      </c>
      <c r="M904" s="34" t="s">
        <v>478</v>
      </c>
      <c r="N904" s="67" t="s">
        <v>479</v>
      </c>
    </row>
    <row r="905" spans="2:14" ht="17" x14ac:dyDescent="0.2">
      <c r="B905" s="162" t="s">
        <v>185</v>
      </c>
      <c r="C905" s="19" t="s">
        <v>40</v>
      </c>
      <c r="J905" s="34" t="s">
        <v>0</v>
      </c>
      <c r="L905" s="221" t="s">
        <v>41</v>
      </c>
      <c r="M905" s="34" t="s">
        <v>478</v>
      </c>
      <c r="N905" s="67" t="s">
        <v>479</v>
      </c>
    </row>
    <row r="910" spans="2:14" ht="69" x14ac:dyDescent="0.2">
      <c r="B910" s="170" t="s">
        <v>527</v>
      </c>
      <c r="C910" s="19"/>
    </row>
    <row r="911" spans="2:14" ht="17" x14ac:dyDescent="0.2">
      <c r="B911" s="127" t="s">
        <v>31</v>
      </c>
      <c r="C911" s="19"/>
    </row>
    <row r="912" spans="2:14" ht="17" x14ac:dyDescent="0.2">
      <c r="B912" s="127" t="s">
        <v>32</v>
      </c>
    </row>
    <row r="913" spans="2:14" ht="17" x14ac:dyDescent="0.2">
      <c r="B913" s="128" t="s">
        <v>33</v>
      </c>
    </row>
    <row r="914" spans="2:14" ht="17" x14ac:dyDescent="0.2">
      <c r="B914" s="127" t="s">
        <v>34</v>
      </c>
      <c r="C914" s="19"/>
    </row>
    <row r="915" spans="2:14" ht="34" x14ac:dyDescent="0.2">
      <c r="B915" s="229" t="s">
        <v>514</v>
      </c>
      <c r="C915" s="19"/>
    </row>
    <row r="916" spans="2:14" ht="34" x14ac:dyDescent="0.2">
      <c r="B916" s="163" t="s">
        <v>476</v>
      </c>
      <c r="C916" s="19"/>
    </row>
    <row r="917" spans="2:14" ht="17" x14ac:dyDescent="0.2">
      <c r="B917" s="129" t="s">
        <v>36</v>
      </c>
      <c r="C917" s="19"/>
    </row>
    <row r="918" spans="2:14" ht="17" x14ac:dyDescent="0.2">
      <c r="B918" s="129" t="s">
        <v>37</v>
      </c>
      <c r="C918" s="19"/>
    </row>
    <row r="919" spans="2:14" ht="17" x14ac:dyDescent="0.2">
      <c r="B919" s="128" t="s">
        <v>38</v>
      </c>
      <c r="C919" s="19"/>
    </row>
    <row r="920" spans="2:14" ht="49" x14ac:dyDescent="0.2">
      <c r="B920" s="164" t="s">
        <v>515</v>
      </c>
      <c r="C920" s="19" t="s">
        <v>40</v>
      </c>
      <c r="J920" s="34" t="s">
        <v>0</v>
      </c>
      <c r="L920" s="221" t="s">
        <v>41</v>
      </c>
      <c r="M920" s="34" t="s">
        <v>478</v>
      </c>
      <c r="N920" s="67" t="s">
        <v>479</v>
      </c>
    </row>
    <row r="921" spans="2:14" ht="48" x14ac:dyDescent="0.2">
      <c r="B921" s="164" t="s">
        <v>516</v>
      </c>
      <c r="C921" s="19" t="s">
        <v>40</v>
      </c>
      <c r="J921" s="34" t="s">
        <v>0</v>
      </c>
      <c r="L921" s="221" t="s">
        <v>41</v>
      </c>
      <c r="M921" s="34" t="s">
        <v>478</v>
      </c>
      <c r="N921" s="67" t="s">
        <v>479</v>
      </c>
    </row>
    <row r="922" spans="2:14" ht="17" x14ac:dyDescent="0.2">
      <c r="B922" s="128" t="s">
        <v>44</v>
      </c>
      <c r="C922" s="19"/>
    </row>
    <row r="923" spans="2:14" ht="17" x14ac:dyDescent="0.2">
      <c r="B923" s="164" t="s">
        <v>517</v>
      </c>
      <c r="C923" s="19" t="s">
        <v>40</v>
      </c>
      <c r="J923" s="34" t="s">
        <v>0</v>
      </c>
      <c r="L923" s="221" t="s">
        <v>41</v>
      </c>
      <c r="M923" s="34" t="s">
        <v>478</v>
      </c>
      <c r="N923" s="67" t="s">
        <v>479</v>
      </c>
    </row>
    <row r="924" spans="2:14" ht="17" x14ac:dyDescent="0.2">
      <c r="B924" s="128" t="s">
        <v>47</v>
      </c>
    </row>
    <row r="925" spans="2:14" ht="17" x14ac:dyDescent="0.2">
      <c r="B925" s="165" t="s">
        <v>481</v>
      </c>
      <c r="C925" s="19" t="s">
        <v>40</v>
      </c>
      <c r="J925" s="34" t="s">
        <v>0</v>
      </c>
      <c r="L925" s="221" t="s">
        <v>41</v>
      </c>
      <c r="M925" s="34" t="s">
        <v>478</v>
      </c>
      <c r="N925" s="67" t="s">
        <v>479</v>
      </c>
    </row>
    <row r="926" spans="2:14" ht="17" x14ac:dyDescent="0.2">
      <c r="B926" s="131" t="s">
        <v>49</v>
      </c>
      <c r="C926" s="19" t="s">
        <v>40</v>
      </c>
      <c r="J926" s="34" t="s">
        <v>0</v>
      </c>
      <c r="L926" s="221" t="s">
        <v>41</v>
      </c>
      <c r="M926" s="34" t="s">
        <v>478</v>
      </c>
      <c r="N926" s="67" t="s">
        <v>479</v>
      </c>
    </row>
    <row r="927" spans="2:14" ht="17" x14ac:dyDescent="0.2">
      <c r="B927" s="128" t="s">
        <v>482</v>
      </c>
    </row>
    <row r="928" spans="2:14" ht="17" x14ac:dyDescent="0.2">
      <c r="B928" s="165" t="s">
        <v>66</v>
      </c>
      <c r="C928" s="19" t="s">
        <v>40</v>
      </c>
      <c r="J928" s="34" t="s">
        <v>0</v>
      </c>
      <c r="L928" s="221" t="s">
        <v>41</v>
      </c>
      <c r="M928" s="34" t="s">
        <v>478</v>
      </c>
      <c r="N928" s="67" t="s">
        <v>479</v>
      </c>
    </row>
    <row r="929" spans="2:14" ht="17" x14ac:dyDescent="0.2">
      <c r="B929" s="138" t="s">
        <v>67</v>
      </c>
      <c r="C929" s="19" t="s">
        <v>40</v>
      </c>
      <c r="J929" s="34" t="s">
        <v>0</v>
      </c>
      <c r="L929" s="221" t="s">
        <v>41</v>
      </c>
      <c r="M929" s="34" t="s">
        <v>478</v>
      </c>
      <c r="N929" s="67" t="s">
        <v>479</v>
      </c>
    </row>
    <row r="930" spans="2:14" ht="17" x14ac:dyDescent="0.2">
      <c r="B930" s="166" t="s">
        <v>68</v>
      </c>
      <c r="C930" s="19" t="s">
        <v>40</v>
      </c>
      <c r="J930" s="34" t="s">
        <v>0</v>
      </c>
      <c r="L930" s="221" t="s">
        <v>41</v>
      </c>
      <c r="M930" s="34" t="s">
        <v>478</v>
      </c>
      <c r="N930" s="67" t="s">
        <v>479</v>
      </c>
    </row>
    <row r="931" spans="2:14" ht="17" x14ac:dyDescent="0.2">
      <c r="B931" s="166" t="s">
        <v>69</v>
      </c>
      <c r="C931" s="19" t="s">
        <v>40</v>
      </c>
      <c r="J931" s="34" t="s">
        <v>0</v>
      </c>
      <c r="L931" s="221" t="s">
        <v>41</v>
      </c>
      <c r="M931" s="34" t="s">
        <v>478</v>
      </c>
      <c r="N931" s="67" t="s">
        <v>479</v>
      </c>
    </row>
    <row r="932" spans="2:14" ht="17" x14ac:dyDescent="0.2">
      <c r="B932" s="166" t="s">
        <v>70</v>
      </c>
      <c r="C932" s="19" t="s">
        <v>40</v>
      </c>
      <c r="J932" s="34" t="s">
        <v>0</v>
      </c>
      <c r="L932" s="221" t="s">
        <v>41</v>
      </c>
      <c r="M932" s="34" t="s">
        <v>478</v>
      </c>
      <c r="N932" s="67" t="s">
        <v>479</v>
      </c>
    </row>
    <row r="933" spans="2:14" ht="17" x14ac:dyDescent="0.2">
      <c r="B933" s="166" t="s">
        <v>528</v>
      </c>
      <c r="C933" s="19" t="s">
        <v>40</v>
      </c>
      <c r="J933" s="34" t="s">
        <v>0</v>
      </c>
      <c r="L933" s="221" t="s">
        <v>41</v>
      </c>
      <c r="M933" s="34" t="s">
        <v>478</v>
      </c>
      <c r="N933" s="67" t="s">
        <v>479</v>
      </c>
    </row>
    <row r="934" spans="2:14" ht="17" x14ac:dyDescent="0.2">
      <c r="B934" s="139" t="s">
        <v>72</v>
      </c>
      <c r="C934" s="19" t="s">
        <v>40</v>
      </c>
      <c r="J934" s="34" t="s">
        <v>0</v>
      </c>
      <c r="L934" s="221" t="s">
        <v>41</v>
      </c>
      <c r="M934" s="34" t="s">
        <v>478</v>
      </c>
      <c r="N934" s="67" t="s">
        <v>479</v>
      </c>
    </row>
    <row r="935" spans="2:14" ht="17" x14ac:dyDescent="0.2">
      <c r="B935" s="166" t="s">
        <v>483</v>
      </c>
      <c r="C935" s="19" t="s">
        <v>40</v>
      </c>
      <c r="J935" s="34" t="s">
        <v>0</v>
      </c>
      <c r="L935" s="221" t="s">
        <v>41</v>
      </c>
      <c r="M935" s="34" t="s">
        <v>478</v>
      </c>
      <c r="N935" s="67" t="s">
        <v>479</v>
      </c>
    </row>
    <row r="936" spans="2:14" ht="17" x14ac:dyDescent="0.2">
      <c r="B936" s="166" t="s">
        <v>484</v>
      </c>
      <c r="C936" s="19" t="s">
        <v>40</v>
      </c>
      <c r="J936" s="34" t="s">
        <v>0</v>
      </c>
      <c r="L936" s="221" t="s">
        <v>41</v>
      </c>
      <c r="M936" s="34" t="s">
        <v>478</v>
      </c>
      <c r="N936" s="67" t="s">
        <v>479</v>
      </c>
    </row>
    <row r="937" spans="2:14" ht="17" x14ac:dyDescent="0.2">
      <c r="B937" s="167" t="s">
        <v>485</v>
      </c>
      <c r="C937" s="19" t="s">
        <v>40</v>
      </c>
      <c r="J937" s="34" t="s">
        <v>0</v>
      </c>
      <c r="L937" s="221" t="s">
        <v>41</v>
      </c>
      <c r="M937" s="34" t="s">
        <v>478</v>
      </c>
      <c r="N937" s="67" t="s">
        <v>479</v>
      </c>
    </row>
    <row r="938" spans="2:14" ht="17" x14ac:dyDescent="0.2">
      <c r="B938" s="169" t="s">
        <v>486</v>
      </c>
      <c r="C938" s="19" t="s">
        <v>40</v>
      </c>
    </row>
    <row r="939" spans="2:14" ht="17" x14ac:dyDescent="0.2">
      <c r="B939" s="166" t="s">
        <v>518</v>
      </c>
      <c r="C939" s="19" t="s">
        <v>40</v>
      </c>
      <c r="J939" s="34" t="s">
        <v>0</v>
      </c>
      <c r="L939" s="221" t="s">
        <v>41</v>
      </c>
      <c r="M939" s="34" t="s">
        <v>478</v>
      </c>
      <c r="N939" s="67" t="s">
        <v>479</v>
      </c>
    </row>
    <row r="940" spans="2:14" ht="17" x14ac:dyDescent="0.2">
      <c r="B940" s="168" t="s">
        <v>134</v>
      </c>
      <c r="C940" s="19" t="s">
        <v>40</v>
      </c>
      <c r="J940" s="34" t="s">
        <v>0</v>
      </c>
      <c r="L940" s="221" t="s">
        <v>41</v>
      </c>
      <c r="M940" s="34" t="s">
        <v>478</v>
      </c>
      <c r="N940" s="67" t="s">
        <v>479</v>
      </c>
    </row>
    <row r="941" spans="2:14" ht="17" x14ac:dyDescent="0.2">
      <c r="B941" s="167" t="s">
        <v>519</v>
      </c>
      <c r="C941" s="19" t="s">
        <v>40</v>
      </c>
      <c r="J941" s="34" t="s">
        <v>0</v>
      </c>
      <c r="L941" s="221" t="s">
        <v>41</v>
      </c>
      <c r="M941" s="34" t="s">
        <v>478</v>
      </c>
      <c r="N941" s="67" t="s">
        <v>479</v>
      </c>
    </row>
    <row r="942" spans="2:14" ht="17" x14ac:dyDescent="0.2">
      <c r="B942" s="167" t="s">
        <v>492</v>
      </c>
      <c r="C942" s="19" t="s">
        <v>40</v>
      </c>
      <c r="J942" s="34" t="s">
        <v>0</v>
      </c>
      <c r="L942" s="221" t="s">
        <v>41</v>
      </c>
      <c r="M942" s="34" t="s">
        <v>478</v>
      </c>
      <c r="N942" s="67" t="s">
        <v>479</v>
      </c>
    </row>
    <row r="943" spans="2:14" ht="17" x14ac:dyDescent="0.2">
      <c r="B943" s="167" t="s">
        <v>493</v>
      </c>
      <c r="C943" s="19" t="s">
        <v>40</v>
      </c>
      <c r="J943" s="34" t="s">
        <v>0</v>
      </c>
      <c r="L943" s="221" t="s">
        <v>41</v>
      </c>
      <c r="M943" s="34" t="s">
        <v>478</v>
      </c>
      <c r="N943" s="67" t="s">
        <v>479</v>
      </c>
    </row>
    <row r="944" spans="2:14" ht="17" x14ac:dyDescent="0.2">
      <c r="B944" s="166" t="s">
        <v>246</v>
      </c>
      <c r="C944" s="19" t="s">
        <v>40</v>
      </c>
      <c r="J944" s="34" t="s">
        <v>0</v>
      </c>
      <c r="L944" s="221" t="s">
        <v>41</v>
      </c>
      <c r="M944" s="34" t="s">
        <v>478</v>
      </c>
      <c r="N944" s="67" t="s">
        <v>479</v>
      </c>
    </row>
    <row r="945" spans="2:14" ht="17" x14ac:dyDescent="0.2">
      <c r="B945" s="166" t="s">
        <v>79</v>
      </c>
      <c r="C945" s="19" t="s">
        <v>40</v>
      </c>
      <c r="J945" s="34" t="s">
        <v>0</v>
      </c>
      <c r="L945" s="221" t="s">
        <v>41</v>
      </c>
      <c r="M945" s="34" t="s">
        <v>478</v>
      </c>
      <c r="N945" s="67" t="s">
        <v>479</v>
      </c>
    </row>
    <row r="946" spans="2:14" ht="17" x14ac:dyDescent="0.2">
      <c r="B946" s="166" t="s">
        <v>80</v>
      </c>
      <c r="C946" s="19" t="s">
        <v>40</v>
      </c>
      <c r="J946" s="34" t="s">
        <v>0</v>
      </c>
      <c r="L946" s="221" t="s">
        <v>41</v>
      </c>
      <c r="M946" s="34" t="s">
        <v>478</v>
      </c>
      <c r="N946" s="67" t="s">
        <v>479</v>
      </c>
    </row>
    <row r="947" spans="2:14" ht="17" x14ac:dyDescent="0.2">
      <c r="B947" s="138" t="s">
        <v>81</v>
      </c>
      <c r="C947" s="19" t="s">
        <v>40</v>
      </c>
      <c r="J947" s="34" t="s">
        <v>0</v>
      </c>
      <c r="L947" s="221" t="s">
        <v>41</v>
      </c>
      <c r="M947" s="34" t="s">
        <v>478</v>
      </c>
      <c r="N947" s="67" t="s">
        <v>479</v>
      </c>
    </row>
    <row r="948" spans="2:14" ht="17" x14ac:dyDescent="0.2">
      <c r="B948" s="166" t="s">
        <v>82</v>
      </c>
      <c r="C948" s="19" t="s">
        <v>40</v>
      </c>
      <c r="J948" s="34" t="s">
        <v>0</v>
      </c>
      <c r="L948" s="221" t="s">
        <v>41</v>
      </c>
      <c r="M948" s="34" t="s">
        <v>478</v>
      </c>
      <c r="N948" s="67" t="s">
        <v>479</v>
      </c>
    </row>
    <row r="949" spans="2:14" ht="17" x14ac:dyDescent="0.2">
      <c r="B949" s="166" t="s">
        <v>494</v>
      </c>
      <c r="C949" s="19" t="s">
        <v>40</v>
      </c>
      <c r="J949" s="34" t="s">
        <v>0</v>
      </c>
      <c r="L949" s="221" t="s">
        <v>41</v>
      </c>
      <c r="M949" s="34" t="s">
        <v>478</v>
      </c>
      <c r="N949" s="67" t="s">
        <v>479</v>
      </c>
    </row>
    <row r="950" spans="2:14" ht="17" x14ac:dyDescent="0.2">
      <c r="B950" s="166" t="s">
        <v>495</v>
      </c>
      <c r="C950" s="19" t="s">
        <v>40</v>
      </c>
      <c r="J950" s="34" t="s">
        <v>0</v>
      </c>
      <c r="L950" s="221" t="s">
        <v>41</v>
      </c>
      <c r="M950" s="34" t="s">
        <v>478</v>
      </c>
      <c r="N950" s="67" t="s">
        <v>479</v>
      </c>
    </row>
    <row r="951" spans="2:14" ht="17" x14ac:dyDescent="0.2">
      <c r="B951" s="169" t="s">
        <v>496</v>
      </c>
      <c r="C951" s="19"/>
    </row>
    <row r="952" spans="2:14" ht="17" x14ac:dyDescent="0.2">
      <c r="B952" s="168" t="s">
        <v>134</v>
      </c>
      <c r="C952" s="19" t="s">
        <v>40</v>
      </c>
      <c r="J952" s="34" t="s">
        <v>0</v>
      </c>
      <c r="L952" s="221" t="s">
        <v>41</v>
      </c>
      <c r="M952" s="34" t="s">
        <v>478</v>
      </c>
      <c r="N952" s="67" t="s">
        <v>479</v>
      </c>
    </row>
    <row r="953" spans="2:14" ht="17" x14ac:dyDescent="0.2">
      <c r="B953" s="167" t="s">
        <v>497</v>
      </c>
      <c r="C953" s="19" t="s">
        <v>40</v>
      </c>
      <c r="J953" s="34" t="s">
        <v>0</v>
      </c>
      <c r="L953" s="221" t="s">
        <v>41</v>
      </c>
      <c r="M953" s="34" t="s">
        <v>478</v>
      </c>
      <c r="N953" s="67" t="s">
        <v>479</v>
      </c>
    </row>
    <row r="954" spans="2:14" ht="34" x14ac:dyDescent="0.2">
      <c r="B954" s="166" t="s">
        <v>520</v>
      </c>
      <c r="C954" s="19" t="s">
        <v>40</v>
      </c>
      <c r="J954" s="34" t="s">
        <v>0</v>
      </c>
      <c r="L954" s="221" t="s">
        <v>41</v>
      </c>
      <c r="M954" s="34" t="s">
        <v>478</v>
      </c>
      <c r="N954" s="67" t="s">
        <v>479</v>
      </c>
    </row>
    <row r="955" spans="2:14" ht="34" x14ac:dyDescent="0.2">
      <c r="B955" s="167" t="s">
        <v>521</v>
      </c>
      <c r="C955" s="19" t="s">
        <v>40</v>
      </c>
      <c r="J955" s="34" t="s">
        <v>0</v>
      </c>
      <c r="L955" s="221" t="s">
        <v>41</v>
      </c>
      <c r="M955" s="34" t="s">
        <v>478</v>
      </c>
      <c r="N955" s="67" t="s">
        <v>479</v>
      </c>
    </row>
    <row r="956" spans="2:14" x14ac:dyDescent="0.2">
      <c r="B956" s="140" t="s">
        <v>86</v>
      </c>
    </row>
    <row r="957" spans="2:14" x14ac:dyDescent="0.2">
      <c r="B957" s="140" t="s">
        <v>500</v>
      </c>
    </row>
    <row r="958" spans="2:14" ht="17" x14ac:dyDescent="0.2">
      <c r="B958" s="141" t="s">
        <v>87</v>
      </c>
      <c r="C958" s="19" t="s">
        <v>40</v>
      </c>
      <c r="J958" s="34" t="s">
        <v>0</v>
      </c>
      <c r="L958" s="221" t="s">
        <v>41</v>
      </c>
      <c r="M958" s="34" t="s">
        <v>478</v>
      </c>
      <c r="N958" s="67" t="s">
        <v>479</v>
      </c>
    </row>
    <row r="959" spans="2:14" ht="32" x14ac:dyDescent="0.2">
      <c r="B959" s="142" t="s">
        <v>102</v>
      </c>
      <c r="C959" s="19" t="s">
        <v>40</v>
      </c>
      <c r="J959" s="34" t="s">
        <v>0</v>
      </c>
      <c r="L959" s="221" t="s">
        <v>41</v>
      </c>
      <c r="M959" s="34" t="s">
        <v>478</v>
      </c>
      <c r="N959" s="67" t="s">
        <v>479</v>
      </c>
    </row>
    <row r="960" spans="2:14" ht="48" x14ac:dyDescent="0.2">
      <c r="B960" s="143" t="s">
        <v>103</v>
      </c>
      <c r="C960" s="19" t="s">
        <v>40</v>
      </c>
      <c r="J960" s="34" t="s">
        <v>0</v>
      </c>
      <c r="L960" s="221" t="s">
        <v>41</v>
      </c>
      <c r="M960" s="34" t="s">
        <v>478</v>
      </c>
      <c r="N960" s="67" t="s">
        <v>479</v>
      </c>
    </row>
    <row r="961" spans="2:14" ht="17" x14ac:dyDescent="0.2">
      <c r="B961" s="144" t="s">
        <v>96</v>
      </c>
      <c r="C961" s="19" t="s">
        <v>40</v>
      </c>
      <c r="J961" s="34" t="s">
        <v>0</v>
      </c>
      <c r="L961" s="221" t="s">
        <v>41</v>
      </c>
      <c r="M961" s="34" t="s">
        <v>478</v>
      </c>
      <c r="N961" s="67" t="s">
        <v>479</v>
      </c>
    </row>
    <row r="962" spans="2:14" ht="32" x14ac:dyDescent="0.2">
      <c r="B962" s="143" t="s">
        <v>104</v>
      </c>
      <c r="C962" s="19" t="s">
        <v>40</v>
      </c>
      <c r="J962" s="34" t="s">
        <v>0</v>
      </c>
      <c r="L962" s="221" t="s">
        <v>41</v>
      </c>
      <c r="M962" s="34" t="s">
        <v>478</v>
      </c>
      <c r="N962" s="67" t="s">
        <v>479</v>
      </c>
    </row>
    <row r="963" spans="2:14" ht="32" x14ac:dyDescent="0.2">
      <c r="B963" s="142" t="s">
        <v>105</v>
      </c>
      <c r="C963" s="19" t="s">
        <v>40</v>
      </c>
      <c r="J963" s="34" t="s">
        <v>0</v>
      </c>
      <c r="L963" s="221" t="s">
        <v>41</v>
      </c>
      <c r="M963" s="34" t="s">
        <v>478</v>
      </c>
      <c r="N963" s="67" t="s">
        <v>479</v>
      </c>
    </row>
    <row r="964" spans="2:14" ht="17" x14ac:dyDescent="0.2">
      <c r="B964" s="144" t="s">
        <v>99</v>
      </c>
      <c r="C964" s="19" t="s">
        <v>40</v>
      </c>
      <c r="J964" s="34" t="s">
        <v>0</v>
      </c>
      <c r="L964" s="221" t="s">
        <v>41</v>
      </c>
      <c r="M964" s="34" t="s">
        <v>478</v>
      </c>
      <c r="N964" s="67" t="s">
        <v>479</v>
      </c>
    </row>
    <row r="965" spans="2:14" ht="17" x14ac:dyDescent="0.2">
      <c r="B965" s="143" t="s">
        <v>106</v>
      </c>
      <c r="C965" s="19" t="s">
        <v>40</v>
      </c>
      <c r="J965" s="34" t="s">
        <v>0</v>
      </c>
      <c r="L965" s="221" t="s">
        <v>41</v>
      </c>
      <c r="M965" s="34" t="s">
        <v>478</v>
      </c>
      <c r="N965" s="67" t="s">
        <v>479</v>
      </c>
    </row>
    <row r="966" spans="2:14" x14ac:dyDescent="0.2">
      <c r="B966" s="140" t="s">
        <v>101</v>
      </c>
    </row>
    <row r="967" spans="2:14" ht="17" x14ac:dyDescent="0.2">
      <c r="B967" s="141" t="s">
        <v>87</v>
      </c>
      <c r="C967" s="19" t="s">
        <v>40</v>
      </c>
      <c r="J967" s="34" t="s">
        <v>0</v>
      </c>
      <c r="L967" s="221" t="s">
        <v>41</v>
      </c>
      <c r="M967" s="34" t="s">
        <v>478</v>
      </c>
      <c r="N967" s="67" t="s">
        <v>479</v>
      </c>
    </row>
    <row r="968" spans="2:14" ht="32" x14ac:dyDescent="0.2">
      <c r="B968" s="142" t="s">
        <v>102</v>
      </c>
      <c r="C968" s="19" t="s">
        <v>40</v>
      </c>
      <c r="J968" s="34" t="s">
        <v>0</v>
      </c>
      <c r="L968" s="221" t="s">
        <v>41</v>
      </c>
      <c r="M968" s="34" t="s">
        <v>478</v>
      </c>
      <c r="N968" s="67" t="s">
        <v>479</v>
      </c>
    </row>
    <row r="969" spans="2:14" ht="48" x14ac:dyDescent="0.2">
      <c r="B969" s="143" t="s">
        <v>108</v>
      </c>
      <c r="C969" s="19" t="s">
        <v>40</v>
      </c>
      <c r="J969" s="34" t="s">
        <v>0</v>
      </c>
      <c r="L969" s="221" t="s">
        <v>41</v>
      </c>
      <c r="M969" s="34" t="s">
        <v>478</v>
      </c>
      <c r="N969" s="67" t="s">
        <v>479</v>
      </c>
    </row>
    <row r="970" spans="2:14" ht="17" x14ac:dyDescent="0.2">
      <c r="B970" s="144" t="s">
        <v>96</v>
      </c>
      <c r="C970" s="19" t="s">
        <v>40</v>
      </c>
      <c r="J970" s="34" t="s">
        <v>0</v>
      </c>
      <c r="L970" s="221" t="s">
        <v>41</v>
      </c>
      <c r="M970" s="34" t="s">
        <v>478</v>
      </c>
      <c r="N970" s="67" t="s">
        <v>479</v>
      </c>
    </row>
    <row r="971" spans="2:14" ht="32" x14ac:dyDescent="0.2">
      <c r="B971" s="143" t="s">
        <v>109</v>
      </c>
      <c r="C971" s="19" t="s">
        <v>40</v>
      </c>
      <c r="J971" s="34" t="s">
        <v>0</v>
      </c>
      <c r="L971" s="221" t="s">
        <v>41</v>
      </c>
      <c r="M971" s="34" t="s">
        <v>478</v>
      </c>
      <c r="N971" s="67" t="s">
        <v>479</v>
      </c>
    </row>
    <row r="972" spans="2:14" ht="32" x14ac:dyDescent="0.2">
      <c r="B972" s="142" t="s">
        <v>110</v>
      </c>
      <c r="C972" s="19" t="s">
        <v>40</v>
      </c>
      <c r="J972" s="34" t="s">
        <v>0</v>
      </c>
      <c r="L972" s="221" t="s">
        <v>41</v>
      </c>
      <c r="M972" s="34" t="s">
        <v>478</v>
      </c>
      <c r="N972" s="67" t="s">
        <v>479</v>
      </c>
    </row>
    <row r="973" spans="2:14" ht="17" x14ac:dyDescent="0.2">
      <c r="B973" s="144" t="s">
        <v>99</v>
      </c>
      <c r="C973" s="19" t="s">
        <v>40</v>
      </c>
      <c r="J973" s="34" t="s">
        <v>0</v>
      </c>
      <c r="L973" s="221" t="s">
        <v>41</v>
      </c>
      <c r="M973" s="34" t="s">
        <v>478</v>
      </c>
      <c r="N973" s="67" t="s">
        <v>479</v>
      </c>
    </row>
    <row r="974" spans="2:14" ht="17" x14ac:dyDescent="0.2">
      <c r="B974" s="143" t="s">
        <v>111</v>
      </c>
      <c r="C974" s="19" t="s">
        <v>40</v>
      </c>
      <c r="J974" s="34" t="s">
        <v>0</v>
      </c>
      <c r="L974" s="221" t="s">
        <v>41</v>
      </c>
      <c r="M974" s="34" t="s">
        <v>478</v>
      </c>
      <c r="N974" s="67" t="s">
        <v>479</v>
      </c>
    </row>
    <row r="975" spans="2:14" x14ac:dyDescent="0.2">
      <c r="B975" s="140" t="s">
        <v>107</v>
      </c>
    </row>
    <row r="976" spans="2:14" ht="17" x14ac:dyDescent="0.2">
      <c r="B976" s="141" t="s">
        <v>87</v>
      </c>
      <c r="C976" s="19" t="s">
        <v>40</v>
      </c>
      <c r="J976" s="34" t="s">
        <v>0</v>
      </c>
      <c r="L976" s="221" t="s">
        <v>41</v>
      </c>
      <c r="M976" s="34" t="s">
        <v>478</v>
      </c>
      <c r="N976" s="67" t="s">
        <v>479</v>
      </c>
    </row>
    <row r="977" spans="1:14" ht="32" x14ac:dyDescent="0.2">
      <c r="B977" s="142" t="s">
        <v>102</v>
      </c>
      <c r="C977" s="19" t="s">
        <v>40</v>
      </c>
      <c r="J977" s="34" t="s">
        <v>0</v>
      </c>
      <c r="L977" s="221" t="s">
        <v>41</v>
      </c>
      <c r="M977" s="34" t="s">
        <v>478</v>
      </c>
      <c r="N977" s="67" t="s">
        <v>479</v>
      </c>
    </row>
    <row r="978" spans="1:14" ht="48" x14ac:dyDescent="0.2">
      <c r="A978" s="123"/>
      <c r="B978" s="143" t="s">
        <v>113</v>
      </c>
      <c r="C978" s="19" t="s">
        <v>40</v>
      </c>
      <c r="J978" s="34" t="s">
        <v>0</v>
      </c>
      <c r="L978" s="221" t="s">
        <v>41</v>
      </c>
      <c r="M978" s="34" t="s">
        <v>478</v>
      </c>
      <c r="N978" s="67" t="s">
        <v>479</v>
      </c>
    </row>
    <row r="979" spans="1:14" ht="17" x14ac:dyDescent="0.2">
      <c r="B979" s="144" t="s">
        <v>96</v>
      </c>
      <c r="C979" s="19" t="s">
        <v>40</v>
      </c>
      <c r="J979" s="34" t="s">
        <v>0</v>
      </c>
      <c r="L979" s="221" t="s">
        <v>41</v>
      </c>
      <c r="M979" s="34" t="s">
        <v>478</v>
      </c>
      <c r="N979" s="67" t="s">
        <v>479</v>
      </c>
    </row>
    <row r="980" spans="1:14" ht="32" x14ac:dyDescent="0.2">
      <c r="B980" s="143" t="s">
        <v>97</v>
      </c>
      <c r="C980" s="19" t="s">
        <v>40</v>
      </c>
      <c r="J980" s="34" t="s">
        <v>0</v>
      </c>
      <c r="L980" s="221" t="s">
        <v>41</v>
      </c>
      <c r="M980" s="34" t="s">
        <v>478</v>
      </c>
      <c r="N980" s="67" t="s">
        <v>479</v>
      </c>
    </row>
    <row r="981" spans="1:14" ht="32" x14ac:dyDescent="0.2">
      <c r="B981" s="142" t="s">
        <v>114</v>
      </c>
      <c r="C981" s="19" t="s">
        <v>40</v>
      </c>
      <c r="J981" s="34" t="s">
        <v>0</v>
      </c>
      <c r="L981" s="221" t="s">
        <v>41</v>
      </c>
      <c r="M981" s="34" t="s">
        <v>478</v>
      </c>
      <c r="N981" s="67" t="s">
        <v>479</v>
      </c>
    </row>
    <row r="982" spans="1:14" ht="17" x14ac:dyDescent="0.2">
      <c r="B982" s="144" t="s">
        <v>99</v>
      </c>
      <c r="C982" s="19" t="s">
        <v>40</v>
      </c>
      <c r="J982" s="34" t="s">
        <v>0</v>
      </c>
      <c r="L982" s="221" t="s">
        <v>41</v>
      </c>
      <c r="M982" s="34" t="s">
        <v>478</v>
      </c>
      <c r="N982" s="67" t="s">
        <v>479</v>
      </c>
    </row>
    <row r="983" spans="1:14" ht="17" x14ac:dyDescent="0.2">
      <c r="B983" s="143" t="s">
        <v>115</v>
      </c>
      <c r="C983" s="19" t="s">
        <v>40</v>
      </c>
      <c r="J983" s="34" t="s">
        <v>0</v>
      </c>
      <c r="L983" s="221" t="s">
        <v>41</v>
      </c>
      <c r="M983" s="34" t="s">
        <v>478</v>
      </c>
      <c r="N983" s="67" t="s">
        <v>479</v>
      </c>
    </row>
    <row r="984" spans="1:14" x14ac:dyDescent="0.2">
      <c r="B984" s="140" t="s">
        <v>206</v>
      </c>
      <c r="C984" s="19"/>
    </row>
    <row r="985" spans="1:14" ht="17" x14ac:dyDescent="0.2">
      <c r="B985" s="213" t="s">
        <v>87</v>
      </c>
      <c r="C985" s="19" t="s">
        <v>40</v>
      </c>
      <c r="J985" s="34" t="s">
        <v>0</v>
      </c>
      <c r="L985" s="221" t="s">
        <v>41</v>
      </c>
      <c r="M985" s="34" t="s">
        <v>478</v>
      </c>
      <c r="N985" s="67" t="s">
        <v>479</v>
      </c>
    </row>
    <row r="986" spans="1:14" ht="32" x14ac:dyDescent="0.2">
      <c r="B986" s="214" t="s">
        <v>207</v>
      </c>
      <c r="C986" s="19" t="s">
        <v>40</v>
      </c>
      <c r="J986" s="34" t="s">
        <v>0</v>
      </c>
      <c r="L986" s="221" t="s">
        <v>41</v>
      </c>
      <c r="M986" s="34" t="s">
        <v>478</v>
      </c>
      <c r="N986" s="67" t="s">
        <v>479</v>
      </c>
    </row>
    <row r="987" spans="1:14" ht="48" x14ac:dyDescent="0.2">
      <c r="B987" s="215" t="s">
        <v>208</v>
      </c>
      <c r="C987" s="19" t="s">
        <v>40</v>
      </c>
      <c r="J987" s="34" t="s">
        <v>0</v>
      </c>
      <c r="L987" s="221" t="s">
        <v>41</v>
      </c>
      <c r="M987" s="34" t="s">
        <v>478</v>
      </c>
      <c r="N987" s="67" t="s">
        <v>479</v>
      </c>
    </row>
    <row r="988" spans="1:14" ht="17" x14ac:dyDescent="0.2">
      <c r="B988" s="216" t="s">
        <v>96</v>
      </c>
      <c r="C988" s="19" t="s">
        <v>40</v>
      </c>
      <c r="J988" s="34" t="s">
        <v>0</v>
      </c>
      <c r="L988" s="221" t="s">
        <v>41</v>
      </c>
      <c r="M988" s="34" t="s">
        <v>478</v>
      </c>
      <c r="N988" s="67" t="s">
        <v>479</v>
      </c>
    </row>
    <row r="989" spans="1:14" ht="32" x14ac:dyDescent="0.2">
      <c r="B989" s="215" t="s">
        <v>209</v>
      </c>
      <c r="C989" s="19" t="s">
        <v>40</v>
      </c>
      <c r="J989" s="34" t="s">
        <v>0</v>
      </c>
      <c r="L989" s="221" t="s">
        <v>41</v>
      </c>
      <c r="M989" s="34" t="s">
        <v>478</v>
      </c>
      <c r="N989" s="67" t="s">
        <v>479</v>
      </c>
    </row>
    <row r="990" spans="1:14" ht="32" x14ac:dyDescent="0.2">
      <c r="B990" s="217" t="s">
        <v>210</v>
      </c>
      <c r="C990" s="19" t="s">
        <v>40</v>
      </c>
      <c r="J990" s="34" t="s">
        <v>0</v>
      </c>
      <c r="L990" s="221" t="s">
        <v>41</v>
      </c>
      <c r="M990" s="34" t="s">
        <v>478</v>
      </c>
      <c r="N990" s="67" t="s">
        <v>479</v>
      </c>
    </row>
    <row r="991" spans="1:14" ht="17" x14ac:dyDescent="0.2">
      <c r="B991" s="215" t="s">
        <v>99</v>
      </c>
      <c r="C991" s="19" t="s">
        <v>40</v>
      </c>
      <c r="J991" s="34" t="s">
        <v>0</v>
      </c>
      <c r="L991" s="221" t="s">
        <v>41</v>
      </c>
      <c r="M991" s="34" t="s">
        <v>478</v>
      </c>
      <c r="N991" s="67" t="s">
        <v>479</v>
      </c>
    </row>
    <row r="992" spans="1:14" ht="17" x14ac:dyDescent="0.2">
      <c r="B992" s="218" t="s">
        <v>247</v>
      </c>
      <c r="C992" s="19" t="s">
        <v>40</v>
      </c>
      <c r="J992" s="34" t="s">
        <v>0</v>
      </c>
      <c r="L992" s="221" t="s">
        <v>41</v>
      </c>
      <c r="M992" s="34" t="s">
        <v>478</v>
      </c>
      <c r="N992" s="67" t="s">
        <v>479</v>
      </c>
    </row>
    <row r="993" spans="2:14" ht="17" x14ac:dyDescent="0.2">
      <c r="B993" s="128" t="s">
        <v>121</v>
      </c>
      <c r="C993" s="19"/>
    </row>
    <row r="994" spans="2:14" ht="17" x14ac:dyDescent="0.2">
      <c r="B994" s="145" t="s">
        <v>122</v>
      </c>
      <c r="C994" s="19" t="s">
        <v>40</v>
      </c>
      <c r="J994" s="34" t="s">
        <v>0</v>
      </c>
      <c r="L994" s="221" t="s">
        <v>41</v>
      </c>
      <c r="M994" s="34" t="s">
        <v>478</v>
      </c>
      <c r="N994" s="67" t="s">
        <v>479</v>
      </c>
    </row>
    <row r="995" spans="2:14" ht="17" x14ac:dyDescent="0.2">
      <c r="B995" s="167" t="s">
        <v>123</v>
      </c>
      <c r="C995" s="19" t="s">
        <v>40</v>
      </c>
      <c r="J995" s="34" t="s">
        <v>0</v>
      </c>
      <c r="L995" s="221" t="s">
        <v>41</v>
      </c>
      <c r="M995" s="34" t="s">
        <v>478</v>
      </c>
      <c r="N995" s="67" t="s">
        <v>479</v>
      </c>
    </row>
    <row r="996" spans="2:14" ht="17" x14ac:dyDescent="0.2">
      <c r="B996" s="167" t="s">
        <v>124</v>
      </c>
      <c r="C996" s="19" t="s">
        <v>40</v>
      </c>
      <c r="J996" s="34" t="s">
        <v>0</v>
      </c>
      <c r="L996" s="221" t="s">
        <v>41</v>
      </c>
      <c r="M996" s="34" t="s">
        <v>478</v>
      </c>
      <c r="N996" s="67" t="s">
        <v>479</v>
      </c>
    </row>
    <row r="997" spans="2:14" ht="17" x14ac:dyDescent="0.2">
      <c r="B997" s="139" t="s">
        <v>125</v>
      </c>
      <c r="C997" s="19" t="s">
        <v>40</v>
      </c>
      <c r="J997" s="34" t="s">
        <v>0</v>
      </c>
      <c r="L997" s="221" t="s">
        <v>41</v>
      </c>
      <c r="M997" s="34" t="s">
        <v>478</v>
      </c>
      <c r="N997" s="67" t="s">
        <v>479</v>
      </c>
    </row>
    <row r="998" spans="2:14" ht="17" x14ac:dyDescent="0.2">
      <c r="B998" s="145" t="s">
        <v>126</v>
      </c>
      <c r="C998" s="19" t="s">
        <v>40</v>
      </c>
      <c r="J998" s="34" t="s">
        <v>0</v>
      </c>
      <c r="L998" s="221" t="s">
        <v>41</v>
      </c>
      <c r="M998" s="34" t="s">
        <v>478</v>
      </c>
      <c r="N998" s="67" t="s">
        <v>479</v>
      </c>
    </row>
    <row r="999" spans="2:14" ht="17" x14ac:dyDescent="0.2">
      <c r="B999" s="138" t="s">
        <v>127</v>
      </c>
      <c r="C999" s="19" t="s">
        <v>40</v>
      </c>
      <c r="J999" s="34" t="s">
        <v>0</v>
      </c>
      <c r="L999" s="221" t="s">
        <v>41</v>
      </c>
      <c r="M999" s="34" t="s">
        <v>478</v>
      </c>
      <c r="N999" s="67" t="s">
        <v>479</v>
      </c>
    </row>
    <row r="1000" spans="2:14" ht="17" x14ac:dyDescent="0.2">
      <c r="B1000" s="138" t="s">
        <v>128</v>
      </c>
      <c r="C1000" s="19" t="s">
        <v>40</v>
      </c>
      <c r="J1000" s="34" t="s">
        <v>0</v>
      </c>
      <c r="L1000" s="221" t="s">
        <v>41</v>
      </c>
      <c r="M1000" s="34" t="s">
        <v>478</v>
      </c>
      <c r="N1000" s="67" t="s">
        <v>479</v>
      </c>
    </row>
    <row r="1001" spans="2:14" ht="17" x14ac:dyDescent="0.2">
      <c r="B1001" s="220" t="s">
        <v>248</v>
      </c>
      <c r="C1001" s="19" t="s">
        <v>40</v>
      </c>
      <c r="J1001" s="34" t="s">
        <v>0</v>
      </c>
      <c r="L1001" s="221" t="s">
        <v>41</v>
      </c>
      <c r="M1001" s="34" t="s">
        <v>478</v>
      </c>
      <c r="N1001" s="67" t="s">
        <v>479</v>
      </c>
    </row>
    <row r="1002" spans="2:14" ht="17" x14ac:dyDescent="0.2">
      <c r="B1002" s="138" t="s">
        <v>130</v>
      </c>
      <c r="C1002" s="19" t="s">
        <v>40</v>
      </c>
      <c r="J1002" s="34" t="s">
        <v>0</v>
      </c>
      <c r="L1002" s="221" t="s">
        <v>41</v>
      </c>
      <c r="M1002" s="34" t="s">
        <v>478</v>
      </c>
      <c r="N1002" s="67" t="s">
        <v>479</v>
      </c>
    </row>
    <row r="1003" spans="2:14" ht="17" x14ac:dyDescent="0.2">
      <c r="B1003" s="168" t="s">
        <v>501</v>
      </c>
      <c r="C1003" s="19" t="s">
        <v>40</v>
      </c>
      <c r="J1003" s="34" t="s">
        <v>0</v>
      </c>
      <c r="L1003" s="221" t="s">
        <v>41</v>
      </c>
      <c r="M1003" s="34" t="s">
        <v>478</v>
      </c>
      <c r="N1003" s="67" t="s">
        <v>479</v>
      </c>
    </row>
    <row r="1004" spans="2:14" ht="17" x14ac:dyDescent="0.2">
      <c r="B1004" s="147" t="s">
        <v>132</v>
      </c>
      <c r="C1004" s="19" t="s">
        <v>40</v>
      </c>
      <c r="J1004" s="34" t="s">
        <v>0</v>
      </c>
      <c r="L1004" s="221" t="s">
        <v>41</v>
      </c>
      <c r="M1004" s="34" t="s">
        <v>478</v>
      </c>
      <c r="N1004" s="67" t="s">
        <v>479</v>
      </c>
    </row>
    <row r="1005" spans="2:14" ht="17" x14ac:dyDescent="0.2">
      <c r="B1005" s="147" t="s">
        <v>134</v>
      </c>
      <c r="C1005" s="19" t="s">
        <v>40</v>
      </c>
      <c r="J1005" s="34" t="s">
        <v>0</v>
      </c>
      <c r="L1005" s="221" t="s">
        <v>41</v>
      </c>
      <c r="M1005" s="34" t="s">
        <v>478</v>
      </c>
      <c r="N1005" s="67" t="s">
        <v>479</v>
      </c>
    </row>
    <row r="1006" spans="2:14" ht="17" x14ac:dyDescent="0.2">
      <c r="B1006" s="147" t="s">
        <v>136</v>
      </c>
      <c r="C1006" s="19" t="s">
        <v>40</v>
      </c>
      <c r="J1006" s="34" t="s">
        <v>0</v>
      </c>
      <c r="L1006" s="221" t="s">
        <v>41</v>
      </c>
      <c r="M1006" s="34" t="s">
        <v>478</v>
      </c>
      <c r="N1006" s="67" t="s">
        <v>479</v>
      </c>
    </row>
    <row r="1007" spans="2:14" ht="24" customHeight="1" x14ac:dyDescent="0.2">
      <c r="B1007" s="234" t="s">
        <v>238</v>
      </c>
      <c r="C1007" s="19"/>
    </row>
    <row r="1008" spans="2:14" ht="17" x14ac:dyDescent="0.2">
      <c r="B1008" s="147" t="s">
        <v>239</v>
      </c>
      <c r="C1008" s="19" t="s">
        <v>40</v>
      </c>
      <c r="J1008" s="34" t="s">
        <v>0</v>
      </c>
      <c r="L1008" s="221" t="s">
        <v>41</v>
      </c>
      <c r="M1008" s="34" t="s">
        <v>478</v>
      </c>
      <c r="N1008" s="67" t="s">
        <v>479</v>
      </c>
    </row>
    <row r="1009" spans="2:14" ht="23" x14ac:dyDescent="0.3">
      <c r="B1009" s="148" t="s">
        <v>137</v>
      </c>
      <c r="C1009" s="19"/>
    </row>
    <row r="1010" spans="2:14" ht="23" x14ac:dyDescent="0.3">
      <c r="B1010" s="148" t="s">
        <v>138</v>
      </c>
      <c r="C1010" s="19"/>
    </row>
    <row r="1011" spans="2:14" ht="17" x14ac:dyDescent="0.2">
      <c r="B1011" s="168" t="s">
        <v>139</v>
      </c>
      <c r="C1011" s="19" t="s">
        <v>40</v>
      </c>
      <c r="J1011" s="34" t="s">
        <v>0</v>
      </c>
      <c r="L1011" s="221" t="s">
        <v>41</v>
      </c>
      <c r="M1011" s="34" t="s">
        <v>478</v>
      </c>
      <c r="N1011" s="67" t="s">
        <v>479</v>
      </c>
    </row>
    <row r="1012" spans="2:14" ht="17" x14ac:dyDescent="0.2">
      <c r="B1012" s="147" t="s">
        <v>140</v>
      </c>
      <c r="C1012" s="19" t="s">
        <v>40</v>
      </c>
      <c r="J1012" s="34" t="s">
        <v>0</v>
      </c>
      <c r="L1012" s="221" t="s">
        <v>41</v>
      </c>
      <c r="M1012" s="34" t="s">
        <v>478</v>
      </c>
      <c r="N1012" s="67" t="s">
        <v>479</v>
      </c>
    </row>
    <row r="1013" spans="2:14" ht="17" x14ac:dyDescent="0.2">
      <c r="B1013" s="147" t="s">
        <v>141</v>
      </c>
      <c r="C1013" s="19" t="s">
        <v>40</v>
      </c>
      <c r="J1013" s="34" t="s">
        <v>0</v>
      </c>
      <c r="L1013" s="221" t="s">
        <v>41</v>
      </c>
      <c r="M1013" s="34" t="s">
        <v>478</v>
      </c>
      <c r="N1013" s="67" t="s">
        <v>479</v>
      </c>
    </row>
    <row r="1014" spans="2:14" ht="17" x14ac:dyDescent="0.2">
      <c r="B1014" s="147" t="s">
        <v>142</v>
      </c>
      <c r="C1014" s="19" t="s">
        <v>40</v>
      </c>
      <c r="J1014" s="34" t="s">
        <v>0</v>
      </c>
      <c r="L1014" s="221" t="s">
        <v>41</v>
      </c>
      <c r="M1014" s="34" t="s">
        <v>478</v>
      </c>
      <c r="N1014" s="67" t="s">
        <v>479</v>
      </c>
    </row>
    <row r="1015" spans="2:14" ht="17" x14ac:dyDescent="0.2">
      <c r="B1015" s="147" t="s">
        <v>143</v>
      </c>
      <c r="C1015" s="19" t="s">
        <v>40</v>
      </c>
      <c r="J1015" s="34" t="s">
        <v>0</v>
      </c>
      <c r="L1015" s="221" t="s">
        <v>41</v>
      </c>
      <c r="M1015" s="34" t="s">
        <v>478</v>
      </c>
      <c r="N1015" s="67" t="s">
        <v>479</v>
      </c>
    </row>
    <row r="1016" spans="2:14" ht="17" x14ac:dyDescent="0.2">
      <c r="B1016" s="168" t="s">
        <v>240</v>
      </c>
      <c r="C1016" s="19" t="s">
        <v>40</v>
      </c>
      <c r="J1016" s="34" t="s">
        <v>0</v>
      </c>
      <c r="L1016" s="221" t="s">
        <v>41</v>
      </c>
      <c r="M1016" s="34" t="s">
        <v>478</v>
      </c>
      <c r="N1016" s="67" t="s">
        <v>479</v>
      </c>
    </row>
    <row r="1017" spans="2:14" ht="23" x14ac:dyDescent="0.3">
      <c r="B1017" s="148" t="s">
        <v>144</v>
      </c>
      <c r="C1017" s="19"/>
    </row>
    <row r="1018" spans="2:14" ht="17" x14ac:dyDescent="0.2">
      <c r="B1018" s="168" t="s">
        <v>145</v>
      </c>
      <c r="C1018" s="19" t="s">
        <v>40</v>
      </c>
      <c r="J1018" s="34" t="s">
        <v>0</v>
      </c>
      <c r="L1018" s="221" t="s">
        <v>41</v>
      </c>
      <c r="M1018" s="34" t="s">
        <v>478</v>
      </c>
      <c r="N1018" s="67" t="s">
        <v>479</v>
      </c>
    </row>
    <row r="1019" spans="2:14" ht="17" x14ac:dyDescent="0.2">
      <c r="B1019" s="168" t="s">
        <v>146</v>
      </c>
      <c r="C1019" s="19" t="s">
        <v>40</v>
      </c>
      <c r="J1019" s="34" t="s">
        <v>0</v>
      </c>
      <c r="L1019" s="221" t="s">
        <v>41</v>
      </c>
      <c r="M1019" s="34" t="s">
        <v>478</v>
      </c>
      <c r="N1019" s="67" t="s">
        <v>479</v>
      </c>
    </row>
    <row r="1020" spans="2:14" ht="17" x14ac:dyDescent="0.2">
      <c r="B1020" s="168" t="s">
        <v>147</v>
      </c>
      <c r="C1020" s="19" t="s">
        <v>40</v>
      </c>
      <c r="J1020" s="34" t="s">
        <v>0</v>
      </c>
      <c r="L1020" s="221" t="s">
        <v>41</v>
      </c>
      <c r="M1020" s="34" t="s">
        <v>478</v>
      </c>
      <c r="N1020" s="67" t="s">
        <v>479</v>
      </c>
    </row>
    <row r="1021" spans="2:14" ht="17" x14ac:dyDescent="0.2">
      <c r="B1021" s="168" t="s">
        <v>249</v>
      </c>
      <c r="C1021" s="19" t="s">
        <v>40</v>
      </c>
      <c r="J1021" s="34" t="s">
        <v>0</v>
      </c>
      <c r="L1021" s="221" t="s">
        <v>41</v>
      </c>
      <c r="M1021" s="34" t="s">
        <v>478</v>
      </c>
      <c r="N1021" s="67" t="s">
        <v>479</v>
      </c>
    </row>
    <row r="1022" spans="2:14" ht="17" x14ac:dyDescent="0.2">
      <c r="B1022" s="168" t="s">
        <v>149</v>
      </c>
      <c r="C1022" s="19" t="s">
        <v>40</v>
      </c>
      <c r="J1022" s="34" t="s">
        <v>0</v>
      </c>
      <c r="L1022" s="221" t="s">
        <v>41</v>
      </c>
      <c r="M1022" s="34" t="s">
        <v>478</v>
      </c>
      <c r="N1022" s="67" t="s">
        <v>479</v>
      </c>
    </row>
    <row r="1023" spans="2:14" ht="20" x14ac:dyDescent="0.2">
      <c r="B1023" s="177" t="s">
        <v>51</v>
      </c>
      <c r="C1023" s="19"/>
    </row>
    <row r="1024" spans="2:14" ht="17" x14ac:dyDescent="0.2">
      <c r="B1024" s="176" t="s">
        <v>523</v>
      </c>
    </row>
    <row r="1025" spans="2:14" x14ac:dyDescent="0.2">
      <c r="B1025" s="231" t="s">
        <v>229</v>
      </c>
      <c r="C1025" s="232"/>
    </row>
    <row r="1026" spans="2:14" ht="17" x14ac:dyDescent="0.2">
      <c r="B1026" s="233" t="s">
        <v>230</v>
      </c>
      <c r="C1026" s="232" t="s">
        <v>40</v>
      </c>
      <c r="J1026" s="34" t="s">
        <v>0</v>
      </c>
      <c r="L1026" s="221" t="s">
        <v>41</v>
      </c>
      <c r="M1026" s="34" t="s">
        <v>478</v>
      </c>
      <c r="N1026" s="67" t="s">
        <v>479</v>
      </c>
    </row>
    <row r="1027" spans="2:14" ht="17" x14ac:dyDescent="0.2">
      <c r="B1027" s="233" t="s">
        <v>231</v>
      </c>
      <c r="C1027" s="232" t="s">
        <v>40</v>
      </c>
      <c r="J1027" s="34" t="s">
        <v>0</v>
      </c>
      <c r="L1027" s="221" t="s">
        <v>41</v>
      </c>
      <c r="M1027" s="34" t="s">
        <v>478</v>
      </c>
      <c r="N1027" s="67" t="s">
        <v>479</v>
      </c>
    </row>
    <row r="1028" spans="2:14" ht="17" x14ac:dyDescent="0.2">
      <c r="B1028" s="233" t="s">
        <v>232</v>
      </c>
      <c r="C1028" s="232" t="s">
        <v>40</v>
      </c>
      <c r="J1028" s="34" t="s">
        <v>0</v>
      </c>
      <c r="L1028" s="221" t="s">
        <v>41</v>
      </c>
      <c r="M1028" s="34" t="s">
        <v>478</v>
      </c>
      <c r="N1028" s="67" t="s">
        <v>479</v>
      </c>
    </row>
    <row r="1029" spans="2:14" ht="17" x14ac:dyDescent="0.2">
      <c r="B1029" s="233" t="s">
        <v>233</v>
      </c>
      <c r="C1029" s="232" t="s">
        <v>40</v>
      </c>
      <c r="J1029" s="34" t="s">
        <v>0</v>
      </c>
      <c r="L1029" s="221" t="s">
        <v>41</v>
      </c>
      <c r="M1029" s="34" t="s">
        <v>478</v>
      </c>
      <c r="N1029" s="67" t="s">
        <v>479</v>
      </c>
    </row>
    <row r="1030" spans="2:14" ht="17" x14ac:dyDescent="0.2">
      <c r="B1030" s="233" t="s">
        <v>236</v>
      </c>
      <c r="C1030" s="232" t="s">
        <v>40</v>
      </c>
      <c r="J1030" s="34" t="s">
        <v>0</v>
      </c>
      <c r="L1030" s="221" t="s">
        <v>41</v>
      </c>
      <c r="M1030" s="34" t="s">
        <v>478</v>
      </c>
      <c r="N1030" s="67" t="s">
        <v>479</v>
      </c>
    </row>
    <row r="1031" spans="2:14" ht="20" x14ac:dyDescent="0.25">
      <c r="B1031" s="149" t="s">
        <v>150</v>
      </c>
      <c r="C1031" s="19"/>
    </row>
    <row r="1032" spans="2:14" x14ac:dyDescent="0.2">
      <c r="B1032" s="150" t="s">
        <v>151</v>
      </c>
      <c r="C1032" s="19"/>
    </row>
    <row r="1033" spans="2:14" ht="17" x14ac:dyDescent="0.2">
      <c r="B1033" s="151" t="s">
        <v>152</v>
      </c>
      <c r="C1033" s="19" t="s">
        <v>40</v>
      </c>
      <c r="J1033" s="34" t="s">
        <v>0</v>
      </c>
      <c r="L1033" s="221" t="s">
        <v>41</v>
      </c>
      <c r="M1033" s="34" t="s">
        <v>478</v>
      </c>
      <c r="N1033" s="67" t="s">
        <v>479</v>
      </c>
    </row>
    <row r="1034" spans="2:14" ht="17" x14ac:dyDescent="0.2">
      <c r="B1034" s="151" t="s">
        <v>153</v>
      </c>
      <c r="C1034" s="19" t="s">
        <v>40</v>
      </c>
      <c r="J1034" s="34" t="s">
        <v>0</v>
      </c>
      <c r="L1034" s="221" t="s">
        <v>41</v>
      </c>
      <c r="M1034" s="34" t="s">
        <v>478</v>
      </c>
      <c r="N1034" s="67" t="s">
        <v>479</v>
      </c>
    </row>
    <row r="1035" spans="2:14" ht="17" x14ac:dyDescent="0.2">
      <c r="B1035" s="152" t="s">
        <v>154</v>
      </c>
      <c r="C1035" s="19" t="s">
        <v>40</v>
      </c>
      <c r="J1035" s="34" t="s">
        <v>0</v>
      </c>
      <c r="L1035" s="221" t="s">
        <v>41</v>
      </c>
      <c r="M1035" s="34" t="s">
        <v>478</v>
      </c>
      <c r="N1035" s="67" t="s">
        <v>479</v>
      </c>
    </row>
    <row r="1036" spans="2:14" ht="17" x14ac:dyDescent="0.2">
      <c r="B1036" s="143" t="s">
        <v>155</v>
      </c>
      <c r="C1036" s="19" t="s">
        <v>40</v>
      </c>
      <c r="J1036" s="34" t="s">
        <v>0</v>
      </c>
      <c r="L1036" s="221" t="s">
        <v>41</v>
      </c>
      <c r="M1036" s="34" t="s">
        <v>478</v>
      </c>
      <c r="N1036" s="67" t="s">
        <v>479</v>
      </c>
    </row>
    <row r="1037" spans="2:14" x14ac:dyDescent="0.2">
      <c r="B1037" s="153" t="s">
        <v>156</v>
      </c>
    </row>
    <row r="1038" spans="2:14" x14ac:dyDescent="0.2">
      <c r="B1038" s="153" t="s">
        <v>157</v>
      </c>
      <c r="C1038" s="19"/>
    </row>
    <row r="1039" spans="2:14" ht="17" x14ac:dyDescent="0.2">
      <c r="B1039" s="154" t="s">
        <v>158</v>
      </c>
      <c r="C1039" s="19" t="s">
        <v>40</v>
      </c>
      <c r="J1039" s="34" t="s">
        <v>0</v>
      </c>
      <c r="L1039" s="221" t="s">
        <v>41</v>
      </c>
      <c r="M1039" s="34" t="s">
        <v>478</v>
      </c>
      <c r="N1039" s="67" t="s">
        <v>479</v>
      </c>
    </row>
    <row r="1040" spans="2:14" ht="17" x14ac:dyDescent="0.2">
      <c r="B1040" s="155" t="s">
        <v>159</v>
      </c>
      <c r="C1040" s="19" t="s">
        <v>40</v>
      </c>
      <c r="J1040" s="34" t="s">
        <v>0</v>
      </c>
      <c r="L1040" s="221" t="s">
        <v>41</v>
      </c>
      <c r="M1040" s="34" t="s">
        <v>478</v>
      </c>
      <c r="N1040" s="67" t="s">
        <v>479</v>
      </c>
    </row>
    <row r="1041" spans="2:14" ht="17" x14ac:dyDescent="0.2">
      <c r="B1041" s="151" t="s">
        <v>160</v>
      </c>
      <c r="C1041" s="19" t="s">
        <v>40</v>
      </c>
      <c r="J1041" s="34" t="s">
        <v>0</v>
      </c>
      <c r="L1041" s="221" t="s">
        <v>41</v>
      </c>
      <c r="M1041" s="34" t="s">
        <v>478</v>
      </c>
      <c r="N1041" s="67" t="s">
        <v>479</v>
      </c>
    </row>
    <row r="1042" spans="2:14" x14ac:dyDescent="0.2">
      <c r="B1042" s="153" t="s">
        <v>161</v>
      </c>
      <c r="C1042" s="19"/>
    </row>
    <row r="1043" spans="2:14" x14ac:dyDescent="0.2">
      <c r="B1043" s="156" t="s">
        <v>162</v>
      </c>
      <c r="C1043" s="19"/>
    </row>
    <row r="1044" spans="2:14" ht="48" x14ac:dyDescent="0.2">
      <c r="B1044" s="151" t="s">
        <v>163</v>
      </c>
      <c r="C1044" s="19" t="s">
        <v>40</v>
      </c>
      <c r="J1044" s="34" t="s">
        <v>0</v>
      </c>
      <c r="L1044" s="221" t="s">
        <v>41</v>
      </c>
      <c r="M1044" s="34" t="s">
        <v>478</v>
      </c>
      <c r="N1044" s="67" t="s">
        <v>479</v>
      </c>
    </row>
    <row r="1045" spans="2:14" ht="17" x14ac:dyDescent="0.2">
      <c r="B1045" s="138" t="s">
        <v>164</v>
      </c>
      <c r="C1045" s="19" t="s">
        <v>40</v>
      </c>
      <c r="J1045" s="34" t="s">
        <v>0</v>
      </c>
      <c r="L1045" s="221" t="s">
        <v>41</v>
      </c>
      <c r="M1045" s="34" t="s">
        <v>478</v>
      </c>
      <c r="N1045" s="67" t="s">
        <v>479</v>
      </c>
    </row>
    <row r="1046" spans="2:14" x14ac:dyDescent="0.2">
      <c r="B1046" s="156" t="s">
        <v>165</v>
      </c>
      <c r="C1046" s="19"/>
    </row>
    <row r="1047" spans="2:14" ht="48" x14ac:dyDescent="0.2">
      <c r="B1047" s="151" t="s">
        <v>166</v>
      </c>
      <c r="C1047" s="19" t="s">
        <v>40</v>
      </c>
      <c r="J1047" s="34" t="s">
        <v>0</v>
      </c>
      <c r="L1047" s="221" t="s">
        <v>41</v>
      </c>
      <c r="M1047" s="34" t="s">
        <v>478</v>
      </c>
      <c r="N1047" s="67" t="s">
        <v>479</v>
      </c>
    </row>
    <row r="1048" spans="2:14" ht="17" x14ac:dyDescent="0.2">
      <c r="B1048" s="138" t="s">
        <v>167</v>
      </c>
      <c r="C1048" s="19" t="s">
        <v>40</v>
      </c>
      <c r="J1048" s="34" t="s">
        <v>0</v>
      </c>
      <c r="L1048" s="221" t="s">
        <v>41</v>
      </c>
      <c r="M1048" s="34" t="s">
        <v>478</v>
      </c>
      <c r="N1048" s="67" t="s">
        <v>479</v>
      </c>
    </row>
    <row r="1049" spans="2:14" x14ac:dyDescent="0.2">
      <c r="B1049" s="157" t="s">
        <v>168</v>
      </c>
    </row>
    <row r="1050" spans="2:14" ht="51" x14ac:dyDescent="0.2">
      <c r="B1050" s="158" t="s">
        <v>169</v>
      </c>
      <c r="C1050" s="19" t="s">
        <v>40</v>
      </c>
      <c r="J1050" s="34" t="s">
        <v>0</v>
      </c>
      <c r="L1050" s="221" t="s">
        <v>41</v>
      </c>
      <c r="M1050" s="34" t="s">
        <v>478</v>
      </c>
      <c r="N1050" s="67" t="s">
        <v>479</v>
      </c>
    </row>
    <row r="1051" spans="2:14" ht="17" x14ac:dyDescent="0.2">
      <c r="B1051" s="159" t="s">
        <v>170</v>
      </c>
      <c r="C1051" s="19" t="s">
        <v>40</v>
      </c>
      <c r="J1051" s="34" t="s">
        <v>0</v>
      </c>
      <c r="L1051" s="221" t="s">
        <v>41</v>
      </c>
      <c r="M1051" s="34" t="s">
        <v>478</v>
      </c>
      <c r="N1051" s="67" t="s">
        <v>479</v>
      </c>
    </row>
    <row r="1052" spans="2:14" x14ac:dyDescent="0.2">
      <c r="B1052" s="157" t="s">
        <v>215</v>
      </c>
      <c r="C1052" s="19"/>
    </row>
    <row r="1053" spans="2:14" ht="51" x14ac:dyDescent="0.2">
      <c r="B1053" s="158" t="s">
        <v>216</v>
      </c>
      <c r="C1053" s="19" t="s">
        <v>40</v>
      </c>
      <c r="J1053" s="34" t="s">
        <v>0</v>
      </c>
      <c r="L1053" s="221" t="s">
        <v>41</v>
      </c>
      <c r="M1053" s="34" t="s">
        <v>478</v>
      </c>
      <c r="N1053" s="67" t="s">
        <v>479</v>
      </c>
    </row>
    <row r="1054" spans="2:14" ht="17" x14ac:dyDescent="0.2">
      <c r="B1054" s="144" t="s">
        <v>217</v>
      </c>
      <c r="C1054" s="19" t="s">
        <v>40</v>
      </c>
      <c r="J1054" s="34" t="s">
        <v>0</v>
      </c>
      <c r="L1054" s="221" t="s">
        <v>41</v>
      </c>
      <c r="M1054" s="34" t="s">
        <v>478</v>
      </c>
      <c r="N1054" s="67" t="s">
        <v>479</v>
      </c>
    </row>
    <row r="1055" spans="2:14" x14ac:dyDescent="0.2">
      <c r="B1055" s="157" t="s">
        <v>171</v>
      </c>
      <c r="C1055" s="19"/>
    </row>
    <row r="1056" spans="2:14" ht="48" x14ac:dyDescent="0.2">
      <c r="B1056" s="144" t="s">
        <v>172</v>
      </c>
      <c r="C1056" s="19" t="s">
        <v>40</v>
      </c>
      <c r="J1056" s="34" t="s">
        <v>0</v>
      </c>
      <c r="L1056" s="221" t="s">
        <v>41</v>
      </c>
      <c r="M1056" s="34" t="s">
        <v>478</v>
      </c>
      <c r="N1056" s="67" t="s">
        <v>479</v>
      </c>
    </row>
    <row r="1057" spans="2:14" ht="17" x14ac:dyDescent="0.2">
      <c r="B1057" s="160" t="s">
        <v>173</v>
      </c>
      <c r="C1057" s="19" t="s">
        <v>40</v>
      </c>
      <c r="J1057" s="34" t="s">
        <v>0</v>
      </c>
      <c r="L1057" s="221" t="s">
        <v>41</v>
      </c>
      <c r="M1057" s="34" t="s">
        <v>478</v>
      </c>
      <c r="N1057" s="67" t="s">
        <v>479</v>
      </c>
    </row>
    <row r="1058" spans="2:14" ht="17" x14ac:dyDescent="0.2">
      <c r="B1058" s="128" t="s">
        <v>524</v>
      </c>
    </row>
    <row r="1059" spans="2:14" ht="51" x14ac:dyDescent="0.2">
      <c r="B1059" s="127" t="s">
        <v>525</v>
      </c>
      <c r="C1059" s="19"/>
    </row>
    <row r="1060" spans="2:14" ht="17" x14ac:dyDescent="0.2">
      <c r="B1060" s="165" t="s">
        <v>526</v>
      </c>
      <c r="C1060" s="19" t="s">
        <v>40</v>
      </c>
    </row>
    <row r="1061" spans="2:14" ht="17" x14ac:dyDescent="0.2">
      <c r="B1061" s="161" t="s">
        <v>174</v>
      </c>
    </row>
    <row r="1062" spans="2:14" ht="51" x14ac:dyDescent="0.2">
      <c r="B1062" s="161" t="s">
        <v>175</v>
      </c>
      <c r="C1062" s="19"/>
    </row>
    <row r="1063" spans="2:14" ht="17" x14ac:dyDescent="0.2">
      <c r="B1063" s="131" t="s">
        <v>176</v>
      </c>
      <c r="C1063" s="19" t="s">
        <v>40</v>
      </c>
      <c r="J1063" s="34" t="s">
        <v>0</v>
      </c>
      <c r="L1063" s="221" t="s">
        <v>41</v>
      </c>
      <c r="M1063" s="34" t="s">
        <v>478</v>
      </c>
      <c r="N1063" s="67" t="s">
        <v>479</v>
      </c>
    </row>
    <row r="1064" spans="2:14" ht="17" x14ac:dyDescent="0.2">
      <c r="B1064" s="160" t="s">
        <v>177</v>
      </c>
      <c r="C1064" s="19" t="s">
        <v>40</v>
      </c>
      <c r="J1064" s="34" t="s">
        <v>0</v>
      </c>
      <c r="L1064" s="221" t="s">
        <v>41</v>
      </c>
      <c r="M1064" s="34" t="s">
        <v>478</v>
      </c>
      <c r="N1064" s="67" t="s">
        <v>479</v>
      </c>
    </row>
    <row r="1065" spans="2:14" ht="17" x14ac:dyDescent="0.2">
      <c r="B1065" s="160" t="s">
        <v>250</v>
      </c>
      <c r="C1065" s="19" t="s">
        <v>40</v>
      </c>
      <c r="J1065" s="34" t="s">
        <v>0</v>
      </c>
      <c r="L1065" s="221" t="s">
        <v>41</v>
      </c>
      <c r="M1065" s="34" t="s">
        <v>478</v>
      </c>
      <c r="N1065" s="67" t="s">
        <v>479</v>
      </c>
    </row>
    <row r="1066" spans="2:14" ht="68" x14ac:dyDescent="0.2">
      <c r="B1066" s="160" t="s">
        <v>251</v>
      </c>
      <c r="C1066" s="19" t="s">
        <v>40</v>
      </c>
      <c r="J1066" s="34" t="s">
        <v>0</v>
      </c>
      <c r="L1066" s="221" t="s">
        <v>41</v>
      </c>
      <c r="M1066" s="34" t="s">
        <v>478</v>
      </c>
      <c r="N1066" s="67" t="s">
        <v>479</v>
      </c>
    </row>
    <row r="1067" spans="2:14" ht="17" x14ac:dyDescent="0.2">
      <c r="B1067" s="131" t="s">
        <v>178</v>
      </c>
      <c r="C1067" s="19" t="s">
        <v>40</v>
      </c>
      <c r="J1067" s="34" t="s">
        <v>0</v>
      </c>
      <c r="L1067" s="221" t="s">
        <v>41</v>
      </c>
      <c r="M1067" s="34" t="s">
        <v>478</v>
      </c>
      <c r="N1067" s="67" t="s">
        <v>479</v>
      </c>
    </row>
    <row r="1068" spans="2:14" ht="68" x14ac:dyDescent="0.2">
      <c r="B1068" s="165" t="s">
        <v>289</v>
      </c>
      <c r="C1068" s="19" t="s">
        <v>40</v>
      </c>
      <c r="J1068" s="34" t="s">
        <v>0</v>
      </c>
      <c r="L1068" s="221" t="s">
        <v>41</v>
      </c>
      <c r="M1068" s="34" t="s">
        <v>478</v>
      </c>
      <c r="N1068" s="67" t="s">
        <v>479</v>
      </c>
    </row>
    <row r="1069" spans="2:14" ht="17" x14ac:dyDescent="0.2">
      <c r="B1069" s="131" t="s">
        <v>180</v>
      </c>
      <c r="C1069" s="19" t="s">
        <v>40</v>
      </c>
      <c r="J1069" s="34" t="s">
        <v>0</v>
      </c>
      <c r="L1069" s="221" t="s">
        <v>41</v>
      </c>
      <c r="M1069" s="34" t="s">
        <v>478</v>
      </c>
      <c r="N1069" s="67" t="s">
        <v>479</v>
      </c>
    </row>
    <row r="1070" spans="2:14" ht="68" x14ac:dyDescent="0.2">
      <c r="B1070" s="165" t="s">
        <v>503</v>
      </c>
      <c r="C1070" s="19" t="s">
        <v>40</v>
      </c>
      <c r="J1070" s="34" t="s">
        <v>0</v>
      </c>
      <c r="L1070" s="221" t="s">
        <v>41</v>
      </c>
      <c r="M1070" s="34" t="s">
        <v>478</v>
      </c>
      <c r="N1070" s="67" t="s">
        <v>479</v>
      </c>
    </row>
    <row r="1071" spans="2:14" ht="17" x14ac:dyDescent="0.2">
      <c r="B1071" s="160" t="s">
        <v>182</v>
      </c>
      <c r="C1071" s="19" t="s">
        <v>40</v>
      </c>
      <c r="J1071" s="34" t="s">
        <v>0</v>
      </c>
      <c r="L1071" s="221" t="s">
        <v>41</v>
      </c>
      <c r="M1071" s="34" t="s">
        <v>478</v>
      </c>
      <c r="N1071" s="67" t="s">
        <v>479</v>
      </c>
    </row>
    <row r="1072" spans="2:14" ht="68" x14ac:dyDescent="0.2">
      <c r="B1072" s="160" t="s">
        <v>504</v>
      </c>
      <c r="C1072" s="19" t="s">
        <v>40</v>
      </c>
      <c r="J1072" s="34" t="s">
        <v>0</v>
      </c>
      <c r="L1072" s="221" t="s">
        <v>41</v>
      </c>
      <c r="M1072" s="34" t="s">
        <v>478</v>
      </c>
      <c r="N1072" s="67" t="s">
        <v>479</v>
      </c>
    </row>
    <row r="1073" spans="2:14" ht="17" x14ac:dyDescent="0.2">
      <c r="B1073" s="162" t="s">
        <v>184</v>
      </c>
      <c r="C1073" s="19" t="s">
        <v>40</v>
      </c>
      <c r="J1073" s="34" t="s">
        <v>0</v>
      </c>
      <c r="L1073" s="221" t="s">
        <v>41</v>
      </c>
      <c r="M1073" s="34" t="s">
        <v>478</v>
      </c>
      <c r="N1073" s="67" t="s">
        <v>479</v>
      </c>
    </row>
    <row r="1074" spans="2:14" ht="17" x14ac:dyDescent="0.2">
      <c r="B1074" s="162" t="s">
        <v>185</v>
      </c>
      <c r="C1074" s="19" t="s">
        <v>40</v>
      </c>
      <c r="J1074" s="34" t="s">
        <v>0</v>
      </c>
      <c r="L1074" s="221" t="s">
        <v>41</v>
      </c>
      <c r="M1074" s="34" t="s">
        <v>478</v>
      </c>
      <c r="N1074" s="67" t="s">
        <v>479</v>
      </c>
    </row>
    <row r="1077" spans="2:14" ht="72" customHeight="1" x14ac:dyDescent="0.3">
      <c r="B1077" s="125" t="s">
        <v>473</v>
      </c>
      <c r="C1077" s="59"/>
    </row>
    <row r="1078" spans="2:14" ht="69" x14ac:dyDescent="0.2">
      <c r="B1078" s="170" t="s">
        <v>529</v>
      </c>
      <c r="C1078" s="19"/>
    </row>
    <row r="1079" spans="2:14" ht="17" x14ac:dyDescent="0.2">
      <c r="B1079" s="127" t="s">
        <v>31</v>
      </c>
      <c r="C1079" s="19"/>
    </row>
    <row r="1080" spans="2:14" ht="17" x14ac:dyDescent="0.2">
      <c r="B1080" s="127" t="s">
        <v>32</v>
      </c>
    </row>
    <row r="1081" spans="2:14" ht="17" x14ac:dyDescent="0.2">
      <c r="B1081" s="128" t="s">
        <v>33</v>
      </c>
    </row>
    <row r="1082" spans="2:14" ht="17" x14ac:dyDescent="0.2">
      <c r="B1082" s="127" t="s">
        <v>34</v>
      </c>
      <c r="C1082" s="19"/>
    </row>
    <row r="1083" spans="2:14" ht="40" x14ac:dyDescent="0.2">
      <c r="B1083" s="240" t="s">
        <v>254</v>
      </c>
      <c r="C1083" s="19"/>
    </row>
    <row r="1084" spans="2:14" ht="17" x14ac:dyDescent="0.2">
      <c r="B1084" s="163" t="s">
        <v>475</v>
      </c>
      <c r="C1084" s="19"/>
    </row>
    <row r="1085" spans="2:14" ht="34" x14ac:dyDescent="0.2">
      <c r="B1085" s="163" t="s">
        <v>476</v>
      </c>
      <c r="C1085" s="19"/>
    </row>
    <row r="1086" spans="2:14" ht="17" x14ac:dyDescent="0.2">
      <c r="B1086" s="129" t="s">
        <v>36</v>
      </c>
      <c r="C1086" s="19"/>
    </row>
    <row r="1087" spans="2:14" ht="27.75" customHeight="1" x14ac:dyDescent="0.2">
      <c r="B1087" s="129" t="s">
        <v>37</v>
      </c>
      <c r="C1087" s="19"/>
    </row>
    <row r="1088" spans="2:14" ht="17" x14ac:dyDescent="0.2">
      <c r="B1088" s="128" t="s">
        <v>38</v>
      </c>
      <c r="C1088" s="19"/>
    </row>
    <row r="1089" spans="2:14" ht="48" x14ac:dyDescent="0.2">
      <c r="B1089" s="164" t="s">
        <v>477</v>
      </c>
      <c r="C1089" s="19" t="s">
        <v>40</v>
      </c>
      <c r="J1089" s="34" t="s">
        <v>0</v>
      </c>
      <c r="L1089" s="221" t="s">
        <v>41</v>
      </c>
      <c r="M1089" s="34" t="s">
        <v>478</v>
      </c>
      <c r="N1089" s="67" t="s">
        <v>479</v>
      </c>
    </row>
    <row r="1090" spans="2:14" ht="48" x14ac:dyDescent="0.2">
      <c r="B1090" s="164" t="s">
        <v>480</v>
      </c>
      <c r="C1090" s="19" t="s">
        <v>40</v>
      </c>
      <c r="J1090" s="34" t="s">
        <v>0</v>
      </c>
      <c r="L1090" s="221" t="s">
        <v>41</v>
      </c>
      <c r="M1090" s="34" t="s">
        <v>478</v>
      </c>
      <c r="N1090" s="67" t="s">
        <v>479</v>
      </c>
    </row>
    <row r="1091" spans="2:14" ht="17" x14ac:dyDescent="0.2">
      <c r="B1091" s="128" t="s">
        <v>44</v>
      </c>
      <c r="C1091" s="19"/>
    </row>
    <row r="1092" spans="2:14" ht="17" x14ac:dyDescent="0.2">
      <c r="B1092" s="130" t="s">
        <v>46</v>
      </c>
      <c r="C1092" s="19" t="s">
        <v>40</v>
      </c>
      <c r="J1092" s="34" t="s">
        <v>0</v>
      </c>
      <c r="L1092" s="221" t="s">
        <v>41</v>
      </c>
      <c r="M1092" s="34" t="s">
        <v>478</v>
      </c>
      <c r="N1092" s="67" t="s">
        <v>479</v>
      </c>
    </row>
    <row r="1093" spans="2:14" ht="17" x14ac:dyDescent="0.2">
      <c r="B1093" s="128" t="s">
        <v>47</v>
      </c>
    </row>
    <row r="1094" spans="2:14" ht="17" x14ac:dyDescent="0.2">
      <c r="B1094" s="165" t="s">
        <v>481</v>
      </c>
      <c r="C1094" s="19" t="s">
        <v>40</v>
      </c>
      <c r="J1094" s="34" t="s">
        <v>0</v>
      </c>
      <c r="L1094" s="221" t="s">
        <v>41</v>
      </c>
      <c r="M1094" s="34" t="s">
        <v>478</v>
      </c>
      <c r="N1094" s="67" t="s">
        <v>479</v>
      </c>
    </row>
    <row r="1095" spans="2:14" ht="17" x14ac:dyDescent="0.2">
      <c r="B1095" s="131" t="s">
        <v>49</v>
      </c>
      <c r="C1095" s="19" t="s">
        <v>40</v>
      </c>
      <c r="J1095" s="34" t="s">
        <v>0</v>
      </c>
      <c r="L1095" s="221" t="s">
        <v>41</v>
      </c>
      <c r="M1095" s="34" t="s">
        <v>478</v>
      </c>
      <c r="N1095" s="67" t="s">
        <v>479</v>
      </c>
    </row>
    <row r="1096" spans="2:14" ht="17" x14ac:dyDescent="0.2">
      <c r="B1096" s="128" t="s">
        <v>482</v>
      </c>
    </row>
    <row r="1097" spans="2:14" ht="17" x14ac:dyDescent="0.2">
      <c r="B1097" s="165" t="s">
        <v>66</v>
      </c>
      <c r="C1097" s="19" t="s">
        <v>40</v>
      </c>
      <c r="J1097" s="34" t="s">
        <v>0</v>
      </c>
      <c r="L1097" s="221" t="s">
        <v>41</v>
      </c>
      <c r="M1097" s="34" t="s">
        <v>478</v>
      </c>
      <c r="N1097" s="67" t="s">
        <v>479</v>
      </c>
    </row>
    <row r="1098" spans="2:14" ht="17" x14ac:dyDescent="0.2">
      <c r="B1098" s="138" t="s">
        <v>67</v>
      </c>
      <c r="C1098" s="19" t="s">
        <v>40</v>
      </c>
      <c r="J1098" s="34" t="s">
        <v>0</v>
      </c>
      <c r="L1098" s="221" t="s">
        <v>41</v>
      </c>
      <c r="M1098" s="34" t="s">
        <v>478</v>
      </c>
      <c r="N1098" s="67" t="s">
        <v>479</v>
      </c>
    </row>
    <row r="1099" spans="2:14" ht="17" x14ac:dyDescent="0.2">
      <c r="B1099" s="166" t="s">
        <v>255</v>
      </c>
      <c r="C1099" s="19" t="s">
        <v>40</v>
      </c>
      <c r="J1099" s="34" t="s">
        <v>0</v>
      </c>
      <c r="L1099" s="221" t="s">
        <v>41</v>
      </c>
      <c r="M1099" s="34" t="s">
        <v>478</v>
      </c>
      <c r="N1099" s="67" t="s">
        <v>479</v>
      </c>
    </row>
    <row r="1100" spans="2:14" ht="17" x14ac:dyDescent="0.2">
      <c r="B1100" s="166" t="s">
        <v>69</v>
      </c>
      <c r="C1100" s="19" t="s">
        <v>40</v>
      </c>
      <c r="J1100" s="34" t="s">
        <v>0</v>
      </c>
      <c r="L1100" s="221" t="s">
        <v>41</v>
      </c>
      <c r="M1100" s="34" t="s">
        <v>478</v>
      </c>
      <c r="N1100" s="67" t="s">
        <v>479</v>
      </c>
    </row>
    <row r="1101" spans="2:14" ht="17" x14ac:dyDescent="0.2">
      <c r="B1101" s="166" t="s">
        <v>70</v>
      </c>
      <c r="C1101" s="19" t="s">
        <v>40</v>
      </c>
      <c r="J1101" s="34" t="s">
        <v>0</v>
      </c>
      <c r="L1101" s="221" t="s">
        <v>41</v>
      </c>
      <c r="M1101" s="34" t="s">
        <v>478</v>
      </c>
      <c r="N1101" s="67" t="s">
        <v>479</v>
      </c>
    </row>
    <row r="1102" spans="2:14" ht="17" x14ac:dyDescent="0.2">
      <c r="B1102" s="138" t="s">
        <v>71</v>
      </c>
      <c r="C1102" s="19" t="s">
        <v>40</v>
      </c>
      <c r="J1102" s="34" t="s">
        <v>0</v>
      </c>
      <c r="L1102" s="221" t="s">
        <v>41</v>
      </c>
      <c r="M1102" s="34" t="s">
        <v>478</v>
      </c>
      <c r="N1102" s="67" t="s">
        <v>479</v>
      </c>
    </row>
    <row r="1103" spans="2:14" ht="17" x14ac:dyDescent="0.2">
      <c r="B1103" s="139" t="s">
        <v>72</v>
      </c>
      <c r="C1103" s="19" t="s">
        <v>40</v>
      </c>
      <c r="J1103" s="34" t="s">
        <v>0</v>
      </c>
      <c r="L1103" s="221" t="s">
        <v>41</v>
      </c>
      <c r="M1103" s="34" t="s">
        <v>478</v>
      </c>
      <c r="N1103" s="67" t="s">
        <v>479</v>
      </c>
    </row>
    <row r="1104" spans="2:14" ht="17" x14ac:dyDescent="0.2">
      <c r="B1104" s="166" t="s">
        <v>483</v>
      </c>
      <c r="C1104" s="19" t="s">
        <v>40</v>
      </c>
      <c r="J1104" s="34" t="s">
        <v>0</v>
      </c>
      <c r="L1104" s="221" t="s">
        <v>41</v>
      </c>
      <c r="M1104" s="34" t="s">
        <v>478</v>
      </c>
      <c r="N1104" s="67" t="s">
        <v>479</v>
      </c>
    </row>
    <row r="1105" spans="2:14" ht="17" x14ac:dyDescent="0.2">
      <c r="B1105" s="166" t="s">
        <v>484</v>
      </c>
      <c r="C1105" s="19" t="s">
        <v>40</v>
      </c>
      <c r="J1105" s="34" t="s">
        <v>0</v>
      </c>
      <c r="L1105" s="221" t="s">
        <v>41</v>
      </c>
      <c r="M1105" s="34" t="s">
        <v>478</v>
      </c>
      <c r="N1105" s="67" t="s">
        <v>479</v>
      </c>
    </row>
    <row r="1106" spans="2:14" ht="17" x14ac:dyDescent="0.2">
      <c r="B1106" s="167" t="s">
        <v>485</v>
      </c>
      <c r="C1106" s="19" t="s">
        <v>40</v>
      </c>
      <c r="J1106" s="34" t="s">
        <v>0</v>
      </c>
      <c r="L1106" s="221" t="s">
        <v>41</v>
      </c>
      <c r="M1106" s="34" t="s">
        <v>478</v>
      </c>
      <c r="N1106" s="67" t="s">
        <v>479</v>
      </c>
    </row>
    <row r="1107" spans="2:14" ht="17" x14ac:dyDescent="0.2">
      <c r="B1107" s="169" t="s">
        <v>486</v>
      </c>
      <c r="C1107" s="19" t="s">
        <v>40</v>
      </c>
    </row>
    <row r="1108" spans="2:14" ht="17" x14ac:dyDescent="0.2">
      <c r="B1108" s="167" t="s">
        <v>530</v>
      </c>
      <c r="C1108" s="19" t="s">
        <v>40</v>
      </c>
      <c r="J1108" s="34" t="s">
        <v>0</v>
      </c>
      <c r="L1108" s="221" t="s">
        <v>41</v>
      </c>
      <c r="M1108" s="34" t="s">
        <v>478</v>
      </c>
      <c r="N1108" s="67" t="s">
        <v>479</v>
      </c>
    </row>
    <row r="1109" spans="2:14" ht="17" x14ac:dyDescent="0.2">
      <c r="B1109" s="167" t="s">
        <v>488</v>
      </c>
      <c r="C1109" s="19" t="s">
        <v>40</v>
      </c>
      <c r="J1109" s="34" t="s">
        <v>0</v>
      </c>
      <c r="L1109" s="221" t="s">
        <v>41</v>
      </c>
      <c r="M1109" s="34" t="s">
        <v>478</v>
      </c>
      <c r="N1109" s="67" t="s">
        <v>479</v>
      </c>
    </row>
    <row r="1110" spans="2:14" ht="17" x14ac:dyDescent="0.2">
      <c r="B1110" s="167" t="s">
        <v>489</v>
      </c>
      <c r="C1110" s="19" t="s">
        <v>40</v>
      </c>
      <c r="J1110" s="34" t="s">
        <v>0</v>
      </c>
      <c r="L1110" s="221" t="s">
        <v>41</v>
      </c>
      <c r="M1110" s="34" t="s">
        <v>478</v>
      </c>
      <c r="N1110" s="67" t="s">
        <v>479</v>
      </c>
    </row>
    <row r="1111" spans="2:14" ht="17" x14ac:dyDescent="0.2">
      <c r="B1111" s="167" t="s">
        <v>490</v>
      </c>
      <c r="C1111" s="19" t="s">
        <v>40</v>
      </c>
      <c r="J1111" s="34" t="s">
        <v>0</v>
      </c>
      <c r="L1111" s="221" t="s">
        <v>41</v>
      </c>
      <c r="M1111" s="34" t="s">
        <v>478</v>
      </c>
      <c r="N1111" s="67" t="s">
        <v>479</v>
      </c>
    </row>
    <row r="1112" spans="2:14" ht="17" x14ac:dyDescent="0.2">
      <c r="B1112" s="147" t="s">
        <v>134</v>
      </c>
      <c r="C1112" s="19" t="s">
        <v>40</v>
      </c>
      <c r="J1112" s="34" t="s">
        <v>0</v>
      </c>
      <c r="L1112" s="221" t="s">
        <v>41</v>
      </c>
      <c r="M1112" s="34" t="s">
        <v>478</v>
      </c>
      <c r="N1112" s="67" t="s">
        <v>479</v>
      </c>
    </row>
    <row r="1113" spans="2:14" ht="17" x14ac:dyDescent="0.2">
      <c r="B1113" s="167" t="s">
        <v>491</v>
      </c>
      <c r="C1113" s="19" t="s">
        <v>40</v>
      </c>
      <c r="J1113" s="34" t="s">
        <v>0</v>
      </c>
      <c r="L1113" s="221" t="s">
        <v>41</v>
      </c>
      <c r="M1113" s="34" t="s">
        <v>478</v>
      </c>
      <c r="N1113" s="67" t="s">
        <v>479</v>
      </c>
    </row>
    <row r="1114" spans="2:14" ht="17" x14ac:dyDescent="0.2">
      <c r="B1114" s="167" t="s">
        <v>492</v>
      </c>
      <c r="C1114" s="19" t="s">
        <v>40</v>
      </c>
      <c r="J1114" s="34" t="s">
        <v>0</v>
      </c>
      <c r="L1114" s="221" t="s">
        <v>41</v>
      </c>
      <c r="M1114" s="34" t="s">
        <v>478</v>
      </c>
      <c r="N1114" s="67" t="s">
        <v>479</v>
      </c>
    </row>
    <row r="1115" spans="2:14" ht="17" x14ac:dyDescent="0.2">
      <c r="B1115" s="167" t="s">
        <v>493</v>
      </c>
      <c r="C1115" s="19" t="s">
        <v>40</v>
      </c>
      <c r="J1115" s="34" t="s">
        <v>0</v>
      </c>
      <c r="L1115" s="221" t="s">
        <v>41</v>
      </c>
      <c r="M1115" s="34" t="s">
        <v>478</v>
      </c>
      <c r="N1115" s="67" t="s">
        <v>479</v>
      </c>
    </row>
    <row r="1116" spans="2:14" ht="17" x14ac:dyDescent="0.2">
      <c r="B1116" s="166" t="s">
        <v>78</v>
      </c>
      <c r="C1116" s="19" t="s">
        <v>40</v>
      </c>
      <c r="J1116" s="34" t="s">
        <v>0</v>
      </c>
      <c r="L1116" s="221" t="s">
        <v>41</v>
      </c>
      <c r="M1116" s="34" t="s">
        <v>478</v>
      </c>
      <c r="N1116" s="67" t="s">
        <v>479</v>
      </c>
    </row>
    <row r="1117" spans="2:14" ht="17" x14ac:dyDescent="0.2">
      <c r="B1117" s="138" t="s">
        <v>79</v>
      </c>
      <c r="C1117" s="19" t="s">
        <v>40</v>
      </c>
      <c r="J1117" s="34" t="s">
        <v>0</v>
      </c>
      <c r="L1117" s="221" t="s">
        <v>41</v>
      </c>
      <c r="M1117" s="34" t="s">
        <v>478</v>
      </c>
      <c r="N1117" s="67" t="s">
        <v>479</v>
      </c>
    </row>
    <row r="1118" spans="2:14" ht="17" x14ac:dyDescent="0.2">
      <c r="B1118" s="138" t="s">
        <v>80</v>
      </c>
      <c r="C1118" s="19" t="s">
        <v>40</v>
      </c>
      <c r="J1118" s="34" t="s">
        <v>0</v>
      </c>
      <c r="L1118" s="221" t="s">
        <v>41</v>
      </c>
      <c r="M1118" s="34" t="s">
        <v>478</v>
      </c>
      <c r="N1118" s="67" t="s">
        <v>479</v>
      </c>
    </row>
    <row r="1119" spans="2:14" ht="17" x14ac:dyDescent="0.2">
      <c r="B1119" s="138" t="s">
        <v>81</v>
      </c>
      <c r="C1119" s="19" t="s">
        <v>40</v>
      </c>
      <c r="J1119" s="34" t="s">
        <v>0</v>
      </c>
      <c r="L1119" s="221" t="s">
        <v>41</v>
      </c>
      <c r="M1119" s="34" t="s">
        <v>478</v>
      </c>
      <c r="N1119" s="67" t="s">
        <v>479</v>
      </c>
    </row>
    <row r="1120" spans="2:14" ht="17" x14ac:dyDescent="0.2">
      <c r="B1120" s="166" t="s">
        <v>256</v>
      </c>
      <c r="C1120" s="19" t="s">
        <v>40</v>
      </c>
      <c r="J1120" s="34" t="s">
        <v>0</v>
      </c>
      <c r="L1120" s="221" t="s">
        <v>41</v>
      </c>
      <c r="M1120" s="34" t="s">
        <v>478</v>
      </c>
      <c r="N1120" s="67" t="s">
        <v>479</v>
      </c>
    </row>
    <row r="1121" spans="2:14" ht="17" x14ac:dyDescent="0.2">
      <c r="B1121" s="166" t="s">
        <v>494</v>
      </c>
      <c r="C1121" s="19" t="s">
        <v>40</v>
      </c>
      <c r="J1121" s="34" t="s">
        <v>0</v>
      </c>
      <c r="L1121" s="221" t="s">
        <v>41</v>
      </c>
      <c r="M1121" s="34" t="s">
        <v>478</v>
      </c>
      <c r="N1121" s="67" t="s">
        <v>479</v>
      </c>
    </row>
    <row r="1122" spans="2:14" ht="17" x14ac:dyDescent="0.2">
      <c r="B1122" s="166" t="s">
        <v>495</v>
      </c>
      <c r="C1122" s="19" t="s">
        <v>40</v>
      </c>
      <c r="J1122" s="34" t="s">
        <v>0</v>
      </c>
      <c r="L1122" s="221" t="s">
        <v>41</v>
      </c>
      <c r="M1122" s="34" t="s">
        <v>478</v>
      </c>
      <c r="N1122" s="67" t="s">
        <v>479</v>
      </c>
    </row>
    <row r="1123" spans="2:14" ht="17" x14ac:dyDescent="0.2">
      <c r="B1123" s="169" t="s">
        <v>496</v>
      </c>
      <c r="C1123" s="19"/>
    </row>
    <row r="1124" spans="2:14" ht="17" x14ac:dyDescent="0.2">
      <c r="B1124" s="168" t="s">
        <v>134</v>
      </c>
      <c r="C1124" s="19" t="s">
        <v>40</v>
      </c>
      <c r="J1124" s="34" t="s">
        <v>0</v>
      </c>
      <c r="L1124" s="221" t="s">
        <v>41</v>
      </c>
      <c r="M1124" s="34" t="s">
        <v>478</v>
      </c>
      <c r="N1124" s="67" t="s">
        <v>479</v>
      </c>
    </row>
    <row r="1125" spans="2:14" ht="17" x14ac:dyDescent="0.2">
      <c r="B1125" s="167" t="s">
        <v>497</v>
      </c>
      <c r="C1125" s="19" t="s">
        <v>40</v>
      </c>
      <c r="J1125" s="34" t="s">
        <v>0</v>
      </c>
      <c r="L1125" s="221" t="s">
        <v>41</v>
      </c>
      <c r="M1125" s="34" t="s">
        <v>478</v>
      </c>
      <c r="N1125" s="67" t="s">
        <v>479</v>
      </c>
    </row>
    <row r="1126" spans="2:14" ht="17" x14ac:dyDescent="0.2">
      <c r="B1126" s="166" t="s">
        <v>498</v>
      </c>
      <c r="C1126" s="19" t="s">
        <v>40</v>
      </c>
      <c r="J1126" s="34" t="s">
        <v>0</v>
      </c>
      <c r="L1126" s="221" t="s">
        <v>41</v>
      </c>
      <c r="M1126" s="34" t="s">
        <v>478</v>
      </c>
      <c r="N1126" s="67" t="s">
        <v>479</v>
      </c>
    </row>
    <row r="1127" spans="2:14" ht="17" x14ac:dyDescent="0.2">
      <c r="B1127" s="167" t="s">
        <v>499</v>
      </c>
      <c r="C1127" s="19" t="s">
        <v>40</v>
      </c>
      <c r="J1127" s="34" t="s">
        <v>0</v>
      </c>
      <c r="L1127" s="221" t="s">
        <v>41</v>
      </c>
      <c r="M1127" s="34" t="s">
        <v>478</v>
      </c>
      <c r="N1127" s="67" t="s">
        <v>479</v>
      </c>
    </row>
    <row r="1128" spans="2:14" x14ac:dyDescent="0.2">
      <c r="B1128" s="140" t="s">
        <v>86</v>
      </c>
    </row>
    <row r="1129" spans="2:14" x14ac:dyDescent="0.2">
      <c r="B1129" s="140" t="s">
        <v>500</v>
      </c>
    </row>
    <row r="1130" spans="2:14" ht="17" x14ac:dyDescent="0.2">
      <c r="B1130" s="141" t="s">
        <v>87</v>
      </c>
      <c r="C1130" s="19" t="s">
        <v>40</v>
      </c>
      <c r="J1130" s="34" t="s">
        <v>0</v>
      </c>
      <c r="L1130" s="221" t="s">
        <v>41</v>
      </c>
      <c r="M1130" s="34" t="s">
        <v>478</v>
      </c>
      <c r="N1130" s="67" t="s">
        <v>479</v>
      </c>
    </row>
    <row r="1131" spans="2:14" ht="32" x14ac:dyDescent="0.2">
      <c r="B1131" s="142" t="s">
        <v>102</v>
      </c>
      <c r="C1131" s="19" t="s">
        <v>40</v>
      </c>
      <c r="J1131" s="34" t="s">
        <v>0</v>
      </c>
      <c r="L1131" s="221" t="s">
        <v>41</v>
      </c>
      <c r="M1131" s="34" t="s">
        <v>478</v>
      </c>
      <c r="N1131" s="67" t="s">
        <v>479</v>
      </c>
    </row>
    <row r="1132" spans="2:14" ht="48" x14ac:dyDescent="0.2">
      <c r="B1132" s="143" t="s">
        <v>108</v>
      </c>
      <c r="C1132" s="19" t="s">
        <v>40</v>
      </c>
      <c r="J1132" s="34" t="s">
        <v>0</v>
      </c>
      <c r="L1132" s="221" t="s">
        <v>41</v>
      </c>
      <c r="M1132" s="34" t="s">
        <v>478</v>
      </c>
      <c r="N1132" s="67" t="s">
        <v>479</v>
      </c>
    </row>
    <row r="1133" spans="2:14" ht="17" x14ac:dyDescent="0.2">
      <c r="B1133" s="144" t="s">
        <v>96</v>
      </c>
      <c r="C1133" s="19" t="s">
        <v>40</v>
      </c>
      <c r="J1133" s="34" t="s">
        <v>0</v>
      </c>
      <c r="L1133" s="221" t="s">
        <v>41</v>
      </c>
      <c r="M1133" s="34" t="s">
        <v>478</v>
      </c>
      <c r="N1133" s="67" t="s">
        <v>479</v>
      </c>
    </row>
    <row r="1134" spans="2:14" ht="32" x14ac:dyDescent="0.2">
      <c r="B1134" s="143" t="s">
        <v>109</v>
      </c>
      <c r="C1134" s="19" t="s">
        <v>40</v>
      </c>
      <c r="J1134" s="34" t="s">
        <v>0</v>
      </c>
      <c r="L1134" s="221" t="s">
        <v>41</v>
      </c>
      <c r="M1134" s="34" t="s">
        <v>478</v>
      </c>
      <c r="N1134" s="67" t="s">
        <v>479</v>
      </c>
    </row>
    <row r="1135" spans="2:14" ht="32" x14ac:dyDescent="0.2">
      <c r="B1135" s="142" t="s">
        <v>110</v>
      </c>
      <c r="C1135" s="19" t="s">
        <v>40</v>
      </c>
      <c r="J1135" s="34" t="s">
        <v>0</v>
      </c>
      <c r="L1135" s="221" t="s">
        <v>41</v>
      </c>
      <c r="M1135" s="34" t="s">
        <v>478</v>
      </c>
      <c r="N1135" s="67" t="s">
        <v>479</v>
      </c>
    </row>
    <row r="1136" spans="2:14" ht="17" x14ac:dyDescent="0.2">
      <c r="B1136" s="144" t="s">
        <v>99</v>
      </c>
      <c r="C1136" s="19" t="s">
        <v>40</v>
      </c>
      <c r="J1136" s="34" t="s">
        <v>0</v>
      </c>
      <c r="L1136" s="221" t="s">
        <v>41</v>
      </c>
      <c r="M1136" s="34" t="s">
        <v>478</v>
      </c>
      <c r="N1136" s="67" t="s">
        <v>479</v>
      </c>
    </row>
    <row r="1137" spans="2:14" ht="17" x14ac:dyDescent="0.2">
      <c r="B1137" s="143" t="s">
        <v>111</v>
      </c>
      <c r="C1137" s="19" t="s">
        <v>40</v>
      </c>
      <c r="J1137" s="34" t="s">
        <v>0</v>
      </c>
      <c r="L1137" s="221" t="s">
        <v>41</v>
      </c>
      <c r="M1137" s="34" t="s">
        <v>478</v>
      </c>
      <c r="N1137" s="67" t="s">
        <v>479</v>
      </c>
    </row>
    <row r="1138" spans="2:14" x14ac:dyDescent="0.2">
      <c r="B1138" s="140" t="s">
        <v>101</v>
      </c>
    </row>
    <row r="1139" spans="2:14" ht="17" x14ac:dyDescent="0.2">
      <c r="B1139" s="141" t="s">
        <v>87</v>
      </c>
      <c r="C1139" s="19" t="s">
        <v>40</v>
      </c>
      <c r="J1139" s="34" t="s">
        <v>0</v>
      </c>
      <c r="L1139" s="221" t="s">
        <v>41</v>
      </c>
      <c r="M1139" s="34" t="s">
        <v>478</v>
      </c>
      <c r="N1139" s="67" t="s">
        <v>479</v>
      </c>
    </row>
    <row r="1140" spans="2:14" ht="32" x14ac:dyDescent="0.2">
      <c r="B1140" s="142" t="s">
        <v>102</v>
      </c>
      <c r="C1140" s="19" t="s">
        <v>40</v>
      </c>
      <c r="J1140" s="34" t="s">
        <v>0</v>
      </c>
      <c r="L1140" s="221" t="s">
        <v>41</v>
      </c>
      <c r="M1140" s="34" t="s">
        <v>478</v>
      </c>
      <c r="N1140" s="67" t="s">
        <v>479</v>
      </c>
    </row>
    <row r="1141" spans="2:14" ht="48" x14ac:dyDescent="0.2">
      <c r="B1141" s="143" t="s">
        <v>113</v>
      </c>
      <c r="C1141" s="19" t="s">
        <v>40</v>
      </c>
      <c r="J1141" s="34" t="s">
        <v>0</v>
      </c>
      <c r="L1141" s="221" t="s">
        <v>41</v>
      </c>
      <c r="M1141" s="34" t="s">
        <v>478</v>
      </c>
      <c r="N1141" s="67" t="s">
        <v>479</v>
      </c>
    </row>
    <row r="1142" spans="2:14" ht="17" x14ac:dyDescent="0.2">
      <c r="B1142" s="144" t="s">
        <v>96</v>
      </c>
      <c r="C1142" s="19" t="s">
        <v>40</v>
      </c>
      <c r="J1142" s="34" t="s">
        <v>0</v>
      </c>
      <c r="L1142" s="221" t="s">
        <v>41</v>
      </c>
      <c r="M1142" s="34" t="s">
        <v>478</v>
      </c>
      <c r="N1142" s="67" t="s">
        <v>479</v>
      </c>
    </row>
    <row r="1143" spans="2:14" ht="32" x14ac:dyDescent="0.2">
      <c r="B1143" s="143" t="s">
        <v>97</v>
      </c>
      <c r="C1143" s="19" t="s">
        <v>40</v>
      </c>
      <c r="J1143" s="34" t="s">
        <v>0</v>
      </c>
      <c r="L1143" s="221" t="s">
        <v>41</v>
      </c>
      <c r="M1143" s="34" t="s">
        <v>478</v>
      </c>
      <c r="N1143" s="67" t="s">
        <v>479</v>
      </c>
    </row>
    <row r="1144" spans="2:14" ht="32" x14ac:dyDescent="0.2">
      <c r="B1144" s="142" t="s">
        <v>114</v>
      </c>
      <c r="C1144" s="19" t="s">
        <v>40</v>
      </c>
      <c r="J1144" s="34" t="s">
        <v>0</v>
      </c>
      <c r="L1144" s="221" t="s">
        <v>41</v>
      </c>
      <c r="M1144" s="34" t="s">
        <v>478</v>
      </c>
      <c r="N1144" s="67" t="s">
        <v>479</v>
      </c>
    </row>
    <row r="1145" spans="2:14" ht="17" x14ac:dyDescent="0.2">
      <c r="B1145" s="144" t="s">
        <v>99</v>
      </c>
      <c r="C1145" s="19" t="s">
        <v>40</v>
      </c>
      <c r="J1145" s="34" t="s">
        <v>0</v>
      </c>
      <c r="L1145" s="221" t="s">
        <v>41</v>
      </c>
      <c r="M1145" s="34" t="s">
        <v>478</v>
      </c>
      <c r="N1145" s="67" t="s">
        <v>479</v>
      </c>
    </row>
    <row r="1146" spans="2:14" ht="17" x14ac:dyDescent="0.2">
      <c r="B1146" s="143" t="s">
        <v>115</v>
      </c>
      <c r="C1146" s="19" t="s">
        <v>40</v>
      </c>
      <c r="J1146" s="34" t="s">
        <v>0</v>
      </c>
      <c r="L1146" s="221" t="s">
        <v>41</v>
      </c>
      <c r="M1146" s="34" t="s">
        <v>478</v>
      </c>
      <c r="N1146" s="67" t="s">
        <v>479</v>
      </c>
    </row>
    <row r="1147" spans="2:14" ht="17" x14ac:dyDescent="0.2">
      <c r="B1147" s="128" t="s">
        <v>121</v>
      </c>
      <c r="C1147" s="19"/>
    </row>
    <row r="1148" spans="2:14" ht="17" x14ac:dyDescent="0.2">
      <c r="B1148" s="145" t="s">
        <v>122</v>
      </c>
      <c r="C1148" s="19" t="s">
        <v>40</v>
      </c>
      <c r="J1148" s="34" t="s">
        <v>0</v>
      </c>
      <c r="L1148" s="221" t="s">
        <v>41</v>
      </c>
      <c r="M1148" s="34" t="s">
        <v>478</v>
      </c>
      <c r="N1148" s="67" t="s">
        <v>479</v>
      </c>
    </row>
    <row r="1149" spans="2:14" ht="17" x14ac:dyDescent="0.2">
      <c r="B1149" s="167" t="s">
        <v>123</v>
      </c>
      <c r="C1149" s="19" t="s">
        <v>40</v>
      </c>
      <c r="J1149" s="34" t="s">
        <v>0</v>
      </c>
      <c r="L1149" s="221" t="s">
        <v>41</v>
      </c>
      <c r="M1149" s="34" t="s">
        <v>478</v>
      </c>
      <c r="N1149" s="67" t="s">
        <v>479</v>
      </c>
    </row>
    <row r="1150" spans="2:14" ht="17" x14ac:dyDescent="0.2">
      <c r="B1150" s="167" t="s">
        <v>124</v>
      </c>
      <c r="C1150" s="19" t="s">
        <v>40</v>
      </c>
      <c r="J1150" s="34" t="s">
        <v>0</v>
      </c>
      <c r="L1150" s="221" t="s">
        <v>41</v>
      </c>
      <c r="M1150" s="34" t="s">
        <v>478</v>
      </c>
      <c r="N1150" s="67" t="s">
        <v>479</v>
      </c>
    </row>
    <row r="1151" spans="2:14" ht="17" x14ac:dyDescent="0.2">
      <c r="B1151" s="139" t="s">
        <v>125</v>
      </c>
      <c r="C1151" s="19" t="s">
        <v>40</v>
      </c>
      <c r="J1151" s="34" t="s">
        <v>0</v>
      </c>
      <c r="L1151" s="221" t="s">
        <v>41</v>
      </c>
      <c r="M1151" s="34" t="s">
        <v>478</v>
      </c>
      <c r="N1151" s="67" t="s">
        <v>479</v>
      </c>
    </row>
    <row r="1152" spans="2:14" ht="17" x14ac:dyDescent="0.2">
      <c r="B1152" s="145" t="s">
        <v>126</v>
      </c>
      <c r="C1152" s="19" t="s">
        <v>40</v>
      </c>
      <c r="J1152" s="34" t="s">
        <v>0</v>
      </c>
      <c r="L1152" s="221" t="s">
        <v>41</v>
      </c>
      <c r="M1152" s="34" t="s">
        <v>478</v>
      </c>
      <c r="N1152" s="67" t="s">
        <v>479</v>
      </c>
    </row>
    <row r="1153" spans="2:14" ht="17" x14ac:dyDescent="0.2">
      <c r="B1153" s="138" t="s">
        <v>127</v>
      </c>
      <c r="C1153" s="19" t="s">
        <v>40</v>
      </c>
      <c r="J1153" s="34" t="s">
        <v>0</v>
      </c>
      <c r="L1153" s="221" t="s">
        <v>41</v>
      </c>
      <c r="M1153" s="34" t="s">
        <v>478</v>
      </c>
      <c r="N1153" s="67" t="s">
        <v>479</v>
      </c>
    </row>
    <row r="1154" spans="2:14" ht="17" x14ac:dyDescent="0.2">
      <c r="B1154" s="138" t="s">
        <v>128</v>
      </c>
      <c r="C1154" s="19" t="s">
        <v>40</v>
      </c>
      <c r="J1154" s="34" t="s">
        <v>0</v>
      </c>
      <c r="L1154" s="221" t="s">
        <v>41</v>
      </c>
      <c r="M1154" s="34" t="s">
        <v>478</v>
      </c>
      <c r="N1154" s="67" t="s">
        <v>479</v>
      </c>
    </row>
    <row r="1155" spans="2:14" ht="17" x14ac:dyDescent="0.2">
      <c r="B1155" s="146" t="s">
        <v>129</v>
      </c>
      <c r="C1155" s="19" t="s">
        <v>40</v>
      </c>
      <c r="J1155" s="34" t="s">
        <v>0</v>
      </c>
      <c r="L1155" s="221" t="s">
        <v>41</v>
      </c>
      <c r="M1155" s="34" t="s">
        <v>478</v>
      </c>
      <c r="N1155" s="67" t="s">
        <v>479</v>
      </c>
    </row>
    <row r="1156" spans="2:14" ht="17" x14ac:dyDescent="0.2">
      <c r="B1156" s="166" t="s">
        <v>257</v>
      </c>
      <c r="C1156" s="19" t="s">
        <v>40</v>
      </c>
      <c r="J1156" s="34" t="s">
        <v>0</v>
      </c>
      <c r="L1156" s="221" t="s">
        <v>41</v>
      </c>
      <c r="M1156" s="34" t="s">
        <v>478</v>
      </c>
      <c r="N1156" s="67" t="s">
        <v>479</v>
      </c>
    </row>
    <row r="1157" spans="2:14" ht="17" x14ac:dyDescent="0.2">
      <c r="B1157" s="168" t="s">
        <v>501</v>
      </c>
      <c r="C1157" s="19" t="s">
        <v>40</v>
      </c>
      <c r="J1157" s="34" t="s">
        <v>0</v>
      </c>
      <c r="L1157" s="221" t="s">
        <v>41</v>
      </c>
      <c r="M1157" s="34" t="s">
        <v>478</v>
      </c>
      <c r="N1157" s="67" t="s">
        <v>479</v>
      </c>
    </row>
    <row r="1158" spans="2:14" ht="17" x14ac:dyDescent="0.2">
      <c r="B1158" s="147" t="s">
        <v>132</v>
      </c>
      <c r="C1158" s="19" t="s">
        <v>40</v>
      </c>
      <c r="J1158" s="34" t="s">
        <v>0</v>
      </c>
      <c r="L1158" s="221" t="s">
        <v>41</v>
      </c>
      <c r="M1158" s="34" t="s">
        <v>478</v>
      </c>
      <c r="N1158" s="67" t="s">
        <v>479</v>
      </c>
    </row>
    <row r="1159" spans="2:14" ht="17" x14ac:dyDescent="0.2">
      <c r="B1159" s="147" t="s">
        <v>134</v>
      </c>
      <c r="C1159" s="19" t="s">
        <v>40</v>
      </c>
      <c r="J1159" s="34" t="s">
        <v>0</v>
      </c>
      <c r="L1159" s="221" t="s">
        <v>41</v>
      </c>
      <c r="M1159" s="34" t="s">
        <v>478</v>
      </c>
      <c r="N1159" s="67" t="s">
        <v>479</v>
      </c>
    </row>
    <row r="1160" spans="2:14" ht="17" x14ac:dyDescent="0.2">
      <c r="B1160" s="147" t="s">
        <v>136</v>
      </c>
      <c r="C1160" s="19" t="s">
        <v>40</v>
      </c>
      <c r="J1160" s="34" t="s">
        <v>0</v>
      </c>
      <c r="L1160" s="221" t="s">
        <v>41</v>
      </c>
      <c r="M1160" s="34" t="s">
        <v>478</v>
      </c>
      <c r="N1160" s="67" t="s">
        <v>479</v>
      </c>
    </row>
    <row r="1161" spans="2:14" ht="23" x14ac:dyDescent="0.3">
      <c r="B1161" s="148" t="s">
        <v>137</v>
      </c>
      <c r="C1161" s="19"/>
    </row>
    <row r="1162" spans="2:14" ht="23" x14ac:dyDescent="0.3">
      <c r="B1162" s="148" t="s">
        <v>138</v>
      </c>
      <c r="C1162" s="19"/>
    </row>
    <row r="1163" spans="2:14" ht="17" x14ac:dyDescent="0.2">
      <c r="B1163" s="168" t="s">
        <v>139</v>
      </c>
      <c r="C1163" s="19" t="s">
        <v>40</v>
      </c>
      <c r="J1163" s="34" t="s">
        <v>0</v>
      </c>
      <c r="L1163" s="221" t="s">
        <v>41</v>
      </c>
      <c r="M1163" s="34" t="s">
        <v>478</v>
      </c>
      <c r="N1163" s="67" t="s">
        <v>479</v>
      </c>
    </row>
    <row r="1164" spans="2:14" ht="17" x14ac:dyDescent="0.2">
      <c r="B1164" s="147" t="s">
        <v>140</v>
      </c>
      <c r="C1164" s="19" t="s">
        <v>40</v>
      </c>
      <c r="J1164" s="34" t="s">
        <v>0</v>
      </c>
      <c r="L1164" s="221" t="s">
        <v>41</v>
      </c>
      <c r="M1164" s="34" t="s">
        <v>478</v>
      </c>
      <c r="N1164" s="67" t="s">
        <v>479</v>
      </c>
    </row>
    <row r="1165" spans="2:14" ht="17" x14ac:dyDescent="0.2">
      <c r="B1165" s="147" t="s">
        <v>141</v>
      </c>
      <c r="C1165" s="19" t="s">
        <v>40</v>
      </c>
      <c r="J1165" s="34" t="s">
        <v>0</v>
      </c>
      <c r="L1165" s="221" t="s">
        <v>41</v>
      </c>
      <c r="M1165" s="34" t="s">
        <v>478</v>
      </c>
      <c r="N1165" s="67" t="s">
        <v>479</v>
      </c>
    </row>
    <row r="1166" spans="2:14" ht="17" x14ac:dyDescent="0.2">
      <c r="B1166" s="147" t="s">
        <v>142</v>
      </c>
      <c r="C1166" s="19" t="s">
        <v>40</v>
      </c>
      <c r="J1166" s="34" t="s">
        <v>0</v>
      </c>
      <c r="L1166" s="221" t="s">
        <v>41</v>
      </c>
      <c r="M1166" s="34" t="s">
        <v>478</v>
      </c>
      <c r="N1166" s="67" t="s">
        <v>479</v>
      </c>
    </row>
    <row r="1167" spans="2:14" ht="34.5" customHeight="1" x14ac:dyDescent="0.2">
      <c r="B1167" s="168" t="s">
        <v>258</v>
      </c>
      <c r="C1167" s="19" t="s">
        <v>40</v>
      </c>
      <c r="J1167" s="34" t="s">
        <v>0</v>
      </c>
      <c r="L1167" s="221" t="s">
        <v>41</v>
      </c>
      <c r="M1167" s="34" t="s">
        <v>478</v>
      </c>
      <c r="N1167" s="67" t="s">
        <v>479</v>
      </c>
    </row>
    <row r="1168" spans="2:14" ht="23" x14ac:dyDescent="0.3">
      <c r="B1168" s="148" t="s">
        <v>144</v>
      </c>
      <c r="C1168" s="19"/>
    </row>
    <row r="1169" spans="2:14" ht="17" x14ac:dyDescent="0.2">
      <c r="B1169" s="168" t="s">
        <v>145</v>
      </c>
      <c r="C1169" s="19" t="s">
        <v>40</v>
      </c>
      <c r="J1169" s="34" t="s">
        <v>0</v>
      </c>
      <c r="L1169" s="221" t="s">
        <v>41</v>
      </c>
      <c r="M1169" s="34" t="s">
        <v>478</v>
      </c>
      <c r="N1169" s="67" t="s">
        <v>479</v>
      </c>
    </row>
    <row r="1170" spans="2:14" ht="17" x14ac:dyDescent="0.2">
      <c r="B1170" s="168" t="s">
        <v>146</v>
      </c>
      <c r="C1170" s="19" t="s">
        <v>40</v>
      </c>
      <c r="J1170" s="34" t="s">
        <v>0</v>
      </c>
      <c r="L1170" s="221" t="s">
        <v>41</v>
      </c>
      <c r="M1170" s="34" t="s">
        <v>478</v>
      </c>
      <c r="N1170" s="67" t="s">
        <v>479</v>
      </c>
    </row>
    <row r="1171" spans="2:14" ht="17" x14ac:dyDescent="0.2">
      <c r="B1171" s="168" t="s">
        <v>147</v>
      </c>
      <c r="C1171" s="19" t="s">
        <v>40</v>
      </c>
      <c r="J1171" s="34" t="s">
        <v>0</v>
      </c>
      <c r="L1171" s="221" t="s">
        <v>41</v>
      </c>
      <c r="M1171" s="34" t="s">
        <v>478</v>
      </c>
      <c r="N1171" s="67" t="s">
        <v>479</v>
      </c>
    </row>
    <row r="1172" spans="2:14" ht="17" x14ac:dyDescent="0.2">
      <c r="B1172" s="168" t="s">
        <v>148</v>
      </c>
      <c r="C1172" s="19" t="s">
        <v>40</v>
      </c>
      <c r="J1172" s="34" t="s">
        <v>0</v>
      </c>
      <c r="L1172" s="221" t="s">
        <v>41</v>
      </c>
      <c r="M1172" s="34" t="s">
        <v>478</v>
      </c>
      <c r="N1172" s="67" t="s">
        <v>479</v>
      </c>
    </row>
    <row r="1173" spans="2:14" ht="34" x14ac:dyDescent="0.2">
      <c r="B1173" s="168" t="s">
        <v>259</v>
      </c>
      <c r="C1173" s="19" t="s">
        <v>40</v>
      </c>
      <c r="J1173" s="34" t="s">
        <v>0</v>
      </c>
      <c r="L1173" s="221" t="s">
        <v>41</v>
      </c>
      <c r="M1173" s="34" t="s">
        <v>478</v>
      </c>
      <c r="N1173" s="67" t="s">
        <v>479</v>
      </c>
    </row>
    <row r="1174" spans="2:14" ht="20" x14ac:dyDescent="0.2">
      <c r="B1174" s="177" t="s">
        <v>51</v>
      </c>
      <c r="C1174" s="19"/>
    </row>
    <row r="1175" spans="2:14" ht="17" x14ac:dyDescent="0.2">
      <c r="B1175" s="176" t="s">
        <v>502</v>
      </c>
    </row>
    <row r="1176" spans="2:14" ht="17" x14ac:dyDescent="0.2">
      <c r="B1176" s="132" t="s">
        <v>60</v>
      </c>
      <c r="C1176" s="19"/>
    </row>
    <row r="1177" spans="2:14" ht="17" x14ac:dyDescent="0.2">
      <c r="B1177" s="135" t="s">
        <v>61</v>
      </c>
      <c r="C1177" s="19" t="s">
        <v>40</v>
      </c>
      <c r="J1177" s="34" t="s">
        <v>0</v>
      </c>
      <c r="L1177" s="221" t="s">
        <v>41</v>
      </c>
      <c r="M1177" s="34" t="s">
        <v>478</v>
      </c>
      <c r="N1177" s="67" t="s">
        <v>479</v>
      </c>
    </row>
    <row r="1178" spans="2:14" ht="17" x14ac:dyDescent="0.2">
      <c r="B1178" s="136" t="s">
        <v>62</v>
      </c>
      <c r="C1178" s="19" t="s">
        <v>40</v>
      </c>
      <c r="J1178" s="34" t="s">
        <v>0</v>
      </c>
      <c r="L1178" s="221" t="s">
        <v>41</v>
      </c>
      <c r="M1178" s="34" t="s">
        <v>478</v>
      </c>
      <c r="N1178" s="67" t="s">
        <v>479</v>
      </c>
    </row>
    <row r="1179" spans="2:14" ht="96" x14ac:dyDescent="0.2">
      <c r="B1179" s="137" t="s">
        <v>63</v>
      </c>
      <c r="C1179" s="19" t="s">
        <v>40</v>
      </c>
      <c r="J1179" s="34" t="s">
        <v>0</v>
      </c>
      <c r="L1179" s="221" t="s">
        <v>41</v>
      </c>
      <c r="M1179" s="34" t="s">
        <v>478</v>
      </c>
      <c r="N1179" s="67" t="s">
        <v>479</v>
      </c>
    </row>
    <row r="1180" spans="2:14" ht="17" x14ac:dyDescent="0.2">
      <c r="B1180" s="136" t="s">
        <v>64</v>
      </c>
      <c r="C1180" s="19" t="s">
        <v>40</v>
      </c>
      <c r="J1180" s="34" t="s">
        <v>0</v>
      </c>
      <c r="L1180" s="221" t="s">
        <v>41</v>
      </c>
      <c r="M1180" s="34" t="s">
        <v>478</v>
      </c>
      <c r="N1180" s="67" t="s">
        <v>479</v>
      </c>
    </row>
    <row r="1181" spans="2:14" ht="20" x14ac:dyDescent="0.25">
      <c r="B1181" s="149" t="s">
        <v>150</v>
      </c>
      <c r="C1181" s="19"/>
    </row>
    <row r="1182" spans="2:14" x14ac:dyDescent="0.2">
      <c r="B1182" s="150" t="s">
        <v>151</v>
      </c>
      <c r="C1182" s="19"/>
    </row>
    <row r="1183" spans="2:14" ht="17" x14ac:dyDescent="0.2">
      <c r="B1183" s="151" t="s">
        <v>152</v>
      </c>
      <c r="C1183" s="19" t="s">
        <v>40</v>
      </c>
      <c r="J1183" s="34" t="s">
        <v>0</v>
      </c>
      <c r="L1183" s="221" t="s">
        <v>41</v>
      </c>
      <c r="M1183" s="34" t="s">
        <v>478</v>
      </c>
      <c r="N1183" s="67" t="s">
        <v>479</v>
      </c>
    </row>
    <row r="1184" spans="2:14" ht="17" x14ac:dyDescent="0.2">
      <c r="B1184" s="151" t="s">
        <v>153</v>
      </c>
      <c r="C1184" s="19" t="s">
        <v>40</v>
      </c>
      <c r="J1184" s="34" t="s">
        <v>0</v>
      </c>
      <c r="L1184" s="221" t="s">
        <v>41</v>
      </c>
      <c r="M1184" s="34" t="s">
        <v>478</v>
      </c>
      <c r="N1184" s="67" t="s">
        <v>479</v>
      </c>
    </row>
    <row r="1185" spans="2:14" ht="17" x14ac:dyDescent="0.2">
      <c r="B1185" s="152" t="s">
        <v>154</v>
      </c>
      <c r="C1185" s="19" t="s">
        <v>40</v>
      </c>
      <c r="J1185" s="34" t="s">
        <v>0</v>
      </c>
      <c r="L1185" s="221" t="s">
        <v>41</v>
      </c>
      <c r="M1185" s="34" t="s">
        <v>478</v>
      </c>
      <c r="N1185" s="67" t="s">
        <v>479</v>
      </c>
    </row>
    <row r="1186" spans="2:14" ht="17" x14ac:dyDescent="0.2">
      <c r="B1186" s="143" t="s">
        <v>155</v>
      </c>
      <c r="C1186" s="19" t="s">
        <v>40</v>
      </c>
      <c r="J1186" s="34" t="s">
        <v>0</v>
      </c>
      <c r="L1186" s="221" t="s">
        <v>41</v>
      </c>
      <c r="M1186" s="34" t="s">
        <v>478</v>
      </c>
      <c r="N1186" s="67" t="s">
        <v>479</v>
      </c>
    </row>
    <row r="1187" spans="2:14" x14ac:dyDescent="0.2">
      <c r="B1187" s="153" t="s">
        <v>156</v>
      </c>
    </row>
    <row r="1188" spans="2:14" x14ac:dyDescent="0.2">
      <c r="B1188" s="153" t="s">
        <v>157</v>
      </c>
      <c r="C1188" s="19"/>
    </row>
    <row r="1189" spans="2:14" ht="17" x14ac:dyDescent="0.2">
      <c r="B1189" s="154" t="s">
        <v>158</v>
      </c>
      <c r="C1189" s="19" t="s">
        <v>40</v>
      </c>
      <c r="J1189" s="34" t="s">
        <v>0</v>
      </c>
      <c r="L1189" s="221" t="s">
        <v>41</v>
      </c>
      <c r="M1189" s="34" t="s">
        <v>478</v>
      </c>
      <c r="N1189" s="67" t="s">
        <v>479</v>
      </c>
    </row>
    <row r="1190" spans="2:14" ht="13.5" customHeight="1" x14ac:dyDescent="0.2">
      <c r="B1190" s="155" t="s">
        <v>159</v>
      </c>
      <c r="C1190" s="19" t="s">
        <v>40</v>
      </c>
      <c r="J1190" s="34" t="s">
        <v>0</v>
      </c>
      <c r="L1190" s="221" t="s">
        <v>41</v>
      </c>
      <c r="M1190" s="34" t="s">
        <v>478</v>
      </c>
      <c r="N1190" s="67" t="s">
        <v>479</v>
      </c>
    </row>
    <row r="1191" spans="2:14" ht="17" x14ac:dyDescent="0.2">
      <c r="B1191" s="151" t="s">
        <v>160</v>
      </c>
      <c r="C1191" s="19" t="s">
        <v>40</v>
      </c>
      <c r="J1191" s="34" t="s">
        <v>0</v>
      </c>
      <c r="L1191" s="221" t="s">
        <v>41</v>
      </c>
      <c r="M1191" s="34" t="s">
        <v>478</v>
      </c>
      <c r="N1191" s="67" t="s">
        <v>479</v>
      </c>
    </row>
    <row r="1192" spans="2:14" x14ac:dyDescent="0.2">
      <c r="B1192" s="153" t="s">
        <v>161</v>
      </c>
      <c r="C1192" s="19"/>
    </row>
    <row r="1193" spans="2:14" x14ac:dyDescent="0.2">
      <c r="B1193" s="156" t="s">
        <v>162</v>
      </c>
      <c r="C1193" s="19"/>
    </row>
    <row r="1194" spans="2:14" ht="48" x14ac:dyDescent="0.2">
      <c r="B1194" s="151" t="s">
        <v>163</v>
      </c>
      <c r="C1194" s="19" t="s">
        <v>40</v>
      </c>
      <c r="J1194" s="34" t="s">
        <v>0</v>
      </c>
      <c r="L1194" s="221" t="s">
        <v>41</v>
      </c>
      <c r="M1194" s="34" t="s">
        <v>478</v>
      </c>
      <c r="N1194" s="67" t="s">
        <v>479</v>
      </c>
    </row>
    <row r="1195" spans="2:14" ht="17" x14ac:dyDescent="0.2">
      <c r="B1195" s="138" t="s">
        <v>164</v>
      </c>
      <c r="C1195" s="19" t="s">
        <v>40</v>
      </c>
      <c r="J1195" s="34" t="s">
        <v>0</v>
      </c>
      <c r="L1195" s="221" t="s">
        <v>41</v>
      </c>
      <c r="M1195" s="34" t="s">
        <v>478</v>
      </c>
      <c r="N1195" s="67" t="s">
        <v>479</v>
      </c>
    </row>
    <row r="1196" spans="2:14" x14ac:dyDescent="0.2">
      <c r="B1196" s="157" t="s">
        <v>168</v>
      </c>
    </row>
    <row r="1197" spans="2:14" ht="51" x14ac:dyDescent="0.2">
      <c r="B1197" s="158" t="s">
        <v>169</v>
      </c>
      <c r="C1197" s="19" t="s">
        <v>40</v>
      </c>
      <c r="J1197" s="34" t="s">
        <v>0</v>
      </c>
      <c r="L1197" s="221" t="s">
        <v>41</v>
      </c>
      <c r="M1197" s="34" t="s">
        <v>478</v>
      </c>
      <c r="N1197" s="67" t="s">
        <v>479</v>
      </c>
    </row>
    <row r="1198" spans="2:14" ht="17" x14ac:dyDescent="0.2">
      <c r="B1198" s="159" t="s">
        <v>170</v>
      </c>
      <c r="C1198" s="19" t="s">
        <v>40</v>
      </c>
      <c r="J1198" s="34" t="s">
        <v>0</v>
      </c>
      <c r="L1198" s="221" t="s">
        <v>41</v>
      </c>
      <c r="M1198" s="34" t="s">
        <v>478</v>
      </c>
      <c r="N1198" s="67" t="s">
        <v>479</v>
      </c>
    </row>
    <row r="1199" spans="2:14" x14ac:dyDescent="0.2">
      <c r="B1199" s="157" t="s">
        <v>171</v>
      </c>
      <c r="C1199" s="19"/>
    </row>
    <row r="1200" spans="2:14" ht="48" x14ac:dyDescent="0.2">
      <c r="B1200" s="144" t="s">
        <v>172</v>
      </c>
      <c r="C1200" s="19" t="s">
        <v>40</v>
      </c>
      <c r="J1200" s="34" t="s">
        <v>0</v>
      </c>
      <c r="L1200" s="221" t="s">
        <v>41</v>
      </c>
      <c r="M1200" s="34" t="s">
        <v>478</v>
      </c>
      <c r="N1200" s="67" t="s">
        <v>479</v>
      </c>
    </row>
    <row r="1201" spans="2:14" ht="17" x14ac:dyDescent="0.2">
      <c r="B1201" s="160" t="s">
        <v>173</v>
      </c>
      <c r="C1201" s="19" t="s">
        <v>40</v>
      </c>
      <c r="J1201" s="34" t="s">
        <v>0</v>
      </c>
      <c r="L1201" s="221" t="s">
        <v>41</v>
      </c>
      <c r="M1201" s="34" t="s">
        <v>478</v>
      </c>
      <c r="N1201" s="67" t="s">
        <v>479</v>
      </c>
    </row>
    <row r="1202" spans="2:14" ht="17" x14ac:dyDescent="0.2">
      <c r="B1202" s="161" t="s">
        <v>174</v>
      </c>
    </row>
    <row r="1203" spans="2:14" ht="51" x14ac:dyDescent="0.2">
      <c r="B1203" s="161" t="s">
        <v>175</v>
      </c>
      <c r="C1203" s="19"/>
    </row>
    <row r="1204" spans="2:14" ht="17" x14ac:dyDescent="0.2">
      <c r="B1204" s="131" t="s">
        <v>176</v>
      </c>
      <c r="C1204" s="19" t="s">
        <v>40</v>
      </c>
      <c r="J1204" s="34" t="s">
        <v>0</v>
      </c>
      <c r="L1204" s="221" t="s">
        <v>41</v>
      </c>
      <c r="M1204" s="34" t="s">
        <v>478</v>
      </c>
      <c r="N1204" s="67" t="s">
        <v>479</v>
      </c>
    </row>
    <row r="1205" spans="2:14" ht="17" x14ac:dyDescent="0.2">
      <c r="B1205" s="160" t="s">
        <v>177</v>
      </c>
      <c r="C1205" s="19" t="s">
        <v>40</v>
      </c>
      <c r="J1205" s="34" t="s">
        <v>0</v>
      </c>
      <c r="L1205" s="221" t="s">
        <v>41</v>
      </c>
      <c r="M1205" s="34" t="s">
        <v>478</v>
      </c>
      <c r="N1205" s="67" t="s">
        <v>479</v>
      </c>
    </row>
    <row r="1206" spans="2:14" ht="17" x14ac:dyDescent="0.2">
      <c r="B1206" s="131" t="s">
        <v>178</v>
      </c>
      <c r="C1206" s="19" t="s">
        <v>40</v>
      </c>
      <c r="J1206" s="34" t="s">
        <v>0</v>
      </c>
      <c r="L1206" s="221" t="s">
        <v>41</v>
      </c>
      <c r="M1206" s="34" t="s">
        <v>478</v>
      </c>
      <c r="N1206" s="67" t="s">
        <v>479</v>
      </c>
    </row>
    <row r="1207" spans="2:14" ht="68" x14ac:dyDescent="0.2">
      <c r="B1207" s="165" t="s">
        <v>289</v>
      </c>
      <c r="C1207" s="19" t="s">
        <v>40</v>
      </c>
      <c r="J1207" s="34" t="s">
        <v>0</v>
      </c>
      <c r="L1207" s="221" t="s">
        <v>41</v>
      </c>
      <c r="M1207" s="34" t="s">
        <v>478</v>
      </c>
      <c r="N1207" s="67" t="s">
        <v>479</v>
      </c>
    </row>
    <row r="1208" spans="2:14" ht="17" x14ac:dyDescent="0.2">
      <c r="B1208" s="160" t="s">
        <v>182</v>
      </c>
      <c r="C1208" s="19" t="s">
        <v>40</v>
      </c>
      <c r="J1208" s="34" t="s">
        <v>0</v>
      </c>
      <c r="L1208" s="221" t="s">
        <v>41</v>
      </c>
      <c r="M1208" s="34" t="s">
        <v>478</v>
      </c>
      <c r="N1208" s="67" t="s">
        <v>479</v>
      </c>
    </row>
    <row r="1209" spans="2:14" ht="68" x14ac:dyDescent="0.2">
      <c r="B1209" s="160" t="s">
        <v>504</v>
      </c>
      <c r="C1209" s="19" t="s">
        <v>40</v>
      </c>
      <c r="J1209" s="34" t="s">
        <v>0</v>
      </c>
      <c r="L1209" s="221" t="s">
        <v>41</v>
      </c>
      <c r="M1209" s="34" t="s">
        <v>478</v>
      </c>
      <c r="N1209" s="67" t="s">
        <v>479</v>
      </c>
    </row>
    <row r="1210" spans="2:14" ht="17" x14ac:dyDescent="0.2">
      <c r="B1210" s="162" t="s">
        <v>184</v>
      </c>
      <c r="C1210" s="19" t="s">
        <v>40</v>
      </c>
      <c r="J1210" s="34" t="s">
        <v>0</v>
      </c>
      <c r="L1210" s="221" t="s">
        <v>41</v>
      </c>
      <c r="M1210" s="34" t="s">
        <v>478</v>
      </c>
      <c r="N1210" s="67" t="s">
        <v>479</v>
      </c>
    </row>
    <row r="1211" spans="2:14" ht="17" x14ac:dyDescent="0.2">
      <c r="B1211" s="162" t="s">
        <v>185</v>
      </c>
      <c r="C1211" s="19" t="s">
        <v>40</v>
      </c>
      <c r="J1211" s="34" t="s">
        <v>0</v>
      </c>
      <c r="L1211" s="221" t="s">
        <v>41</v>
      </c>
      <c r="M1211" s="34" t="s">
        <v>478</v>
      </c>
      <c r="N1211" s="67" t="s">
        <v>479</v>
      </c>
    </row>
    <row r="1216" spans="2:14" ht="69" x14ac:dyDescent="0.2">
      <c r="B1216" s="126" t="s">
        <v>531</v>
      </c>
      <c r="C1216" s="19"/>
    </row>
    <row r="1217" spans="2:14" ht="17" x14ac:dyDescent="0.2">
      <c r="B1217" s="127" t="s">
        <v>31</v>
      </c>
      <c r="C1217" s="19"/>
    </row>
    <row r="1218" spans="2:14" ht="17" x14ac:dyDescent="0.2">
      <c r="B1218" s="127" t="s">
        <v>32</v>
      </c>
    </row>
    <row r="1219" spans="2:14" ht="17" x14ac:dyDescent="0.2">
      <c r="B1219" s="128" t="s">
        <v>33</v>
      </c>
    </row>
    <row r="1220" spans="2:14" ht="17" x14ac:dyDescent="0.2">
      <c r="B1220" s="127" t="s">
        <v>34</v>
      </c>
      <c r="C1220" s="19"/>
    </row>
    <row r="1221" spans="2:14" ht="40" x14ac:dyDescent="0.2">
      <c r="B1221" s="241" t="s">
        <v>532</v>
      </c>
      <c r="C1221" s="19"/>
    </row>
    <row r="1222" spans="2:14" ht="17" x14ac:dyDescent="0.2">
      <c r="B1222" s="127" t="s">
        <v>475</v>
      </c>
      <c r="C1222" s="19"/>
    </row>
    <row r="1223" spans="2:14" ht="34" x14ac:dyDescent="0.2">
      <c r="B1223" s="127" t="s">
        <v>476</v>
      </c>
      <c r="C1223" s="19"/>
    </row>
    <row r="1224" spans="2:14" ht="17" x14ac:dyDescent="0.2">
      <c r="B1224" s="129" t="s">
        <v>36</v>
      </c>
      <c r="C1224" s="19"/>
    </row>
    <row r="1225" spans="2:14" ht="17" x14ac:dyDescent="0.2">
      <c r="B1225" s="129" t="s">
        <v>37</v>
      </c>
      <c r="C1225" s="19"/>
    </row>
    <row r="1226" spans="2:14" ht="17" x14ac:dyDescent="0.2">
      <c r="B1226" s="128" t="s">
        <v>38</v>
      </c>
      <c r="C1226" s="19"/>
    </row>
    <row r="1227" spans="2:14" ht="48" x14ac:dyDescent="0.2">
      <c r="B1227" s="130" t="s">
        <v>477</v>
      </c>
      <c r="C1227" s="19" t="s">
        <v>40</v>
      </c>
      <c r="J1227" s="34" t="s">
        <v>0</v>
      </c>
      <c r="L1227" s="221" t="s">
        <v>41</v>
      </c>
      <c r="M1227" s="34" t="s">
        <v>478</v>
      </c>
      <c r="N1227" s="67" t="s">
        <v>479</v>
      </c>
    </row>
    <row r="1228" spans="2:14" ht="48" x14ac:dyDescent="0.2">
      <c r="B1228" s="130" t="s">
        <v>480</v>
      </c>
      <c r="C1228" s="19" t="s">
        <v>40</v>
      </c>
      <c r="J1228" s="34" t="s">
        <v>0</v>
      </c>
      <c r="L1228" s="221" t="s">
        <v>41</v>
      </c>
      <c r="M1228" s="34" t="s">
        <v>478</v>
      </c>
      <c r="N1228" s="67" t="s">
        <v>479</v>
      </c>
    </row>
    <row r="1229" spans="2:14" ht="17" x14ac:dyDescent="0.2">
      <c r="B1229" s="128" t="s">
        <v>44</v>
      </c>
      <c r="C1229" s="19"/>
    </row>
    <row r="1230" spans="2:14" ht="17" x14ac:dyDescent="0.2">
      <c r="B1230" s="130" t="s">
        <v>46</v>
      </c>
      <c r="C1230" s="19" t="s">
        <v>40</v>
      </c>
      <c r="J1230" s="34" t="s">
        <v>0</v>
      </c>
      <c r="L1230" s="221" t="s">
        <v>41</v>
      </c>
      <c r="M1230" s="34" t="s">
        <v>478</v>
      </c>
      <c r="N1230" s="67" t="s">
        <v>479</v>
      </c>
    </row>
    <row r="1231" spans="2:14" ht="17" x14ac:dyDescent="0.2">
      <c r="B1231" s="128" t="s">
        <v>47</v>
      </c>
    </row>
    <row r="1232" spans="2:14" ht="17" x14ac:dyDescent="0.2">
      <c r="B1232" s="131" t="s">
        <v>481</v>
      </c>
      <c r="C1232" s="19" t="s">
        <v>40</v>
      </c>
      <c r="J1232" s="34" t="s">
        <v>0</v>
      </c>
      <c r="L1232" s="221" t="s">
        <v>41</v>
      </c>
      <c r="M1232" s="34" t="s">
        <v>478</v>
      </c>
      <c r="N1232" s="67" t="s">
        <v>479</v>
      </c>
    </row>
    <row r="1233" spans="2:14" ht="17" x14ac:dyDescent="0.2">
      <c r="B1233" s="131" t="s">
        <v>49</v>
      </c>
      <c r="C1233" s="19" t="s">
        <v>40</v>
      </c>
      <c r="J1233" s="34" t="s">
        <v>0</v>
      </c>
      <c r="L1233" s="221" t="s">
        <v>41</v>
      </c>
      <c r="M1233" s="34" t="s">
        <v>478</v>
      </c>
      <c r="N1233" s="67" t="s">
        <v>479</v>
      </c>
    </row>
    <row r="1234" spans="2:14" ht="17" x14ac:dyDescent="0.2">
      <c r="B1234" s="128" t="s">
        <v>482</v>
      </c>
    </row>
    <row r="1235" spans="2:14" ht="17" x14ac:dyDescent="0.2">
      <c r="B1235" s="165" t="s">
        <v>66</v>
      </c>
      <c r="C1235" s="19" t="s">
        <v>40</v>
      </c>
      <c r="J1235" s="34" t="s">
        <v>0</v>
      </c>
      <c r="L1235" s="221" t="s">
        <v>41</v>
      </c>
      <c r="M1235" s="34" t="s">
        <v>478</v>
      </c>
      <c r="N1235" s="67" t="s">
        <v>479</v>
      </c>
    </row>
    <row r="1236" spans="2:14" ht="17" x14ac:dyDescent="0.2">
      <c r="B1236" s="138" t="s">
        <v>67</v>
      </c>
      <c r="C1236" s="19" t="s">
        <v>40</v>
      </c>
      <c r="J1236" s="34" t="s">
        <v>0</v>
      </c>
      <c r="L1236" s="221" t="s">
        <v>41</v>
      </c>
      <c r="M1236" s="34" t="s">
        <v>478</v>
      </c>
      <c r="N1236" s="67" t="s">
        <v>479</v>
      </c>
    </row>
    <row r="1237" spans="2:14" ht="17" x14ac:dyDescent="0.2">
      <c r="B1237" s="138" t="s">
        <v>255</v>
      </c>
      <c r="C1237" s="19" t="s">
        <v>40</v>
      </c>
      <c r="J1237" s="34" t="s">
        <v>0</v>
      </c>
      <c r="L1237" s="221" t="s">
        <v>41</v>
      </c>
      <c r="M1237" s="34" t="s">
        <v>478</v>
      </c>
      <c r="N1237" s="67" t="s">
        <v>479</v>
      </c>
    </row>
    <row r="1238" spans="2:14" ht="17" x14ac:dyDescent="0.2">
      <c r="B1238" s="138" t="s">
        <v>263</v>
      </c>
      <c r="C1238" s="19" t="s">
        <v>40</v>
      </c>
      <c r="J1238" s="34" t="s">
        <v>0</v>
      </c>
      <c r="L1238" s="221" t="s">
        <v>41</v>
      </c>
      <c r="M1238" s="34" t="s">
        <v>478</v>
      </c>
      <c r="N1238" s="67" t="s">
        <v>479</v>
      </c>
    </row>
    <row r="1239" spans="2:14" ht="17" x14ac:dyDescent="0.2">
      <c r="B1239" s="138" t="s">
        <v>70</v>
      </c>
      <c r="C1239" s="19" t="s">
        <v>40</v>
      </c>
      <c r="J1239" s="34" t="s">
        <v>0</v>
      </c>
      <c r="L1239" s="221" t="s">
        <v>41</v>
      </c>
      <c r="M1239" s="34" t="s">
        <v>478</v>
      </c>
      <c r="N1239" s="67" t="s">
        <v>479</v>
      </c>
    </row>
    <row r="1240" spans="2:14" ht="17" x14ac:dyDescent="0.2">
      <c r="B1240" s="138" t="s">
        <v>71</v>
      </c>
      <c r="C1240" s="19" t="s">
        <v>40</v>
      </c>
      <c r="J1240" s="34" t="s">
        <v>0</v>
      </c>
      <c r="L1240" s="221" t="s">
        <v>41</v>
      </c>
      <c r="M1240" s="34" t="s">
        <v>478</v>
      </c>
      <c r="N1240" s="67" t="s">
        <v>479</v>
      </c>
    </row>
    <row r="1241" spans="2:14" ht="17" x14ac:dyDescent="0.2">
      <c r="B1241" s="139" t="s">
        <v>72</v>
      </c>
      <c r="C1241" s="19" t="s">
        <v>40</v>
      </c>
      <c r="J1241" s="34" t="s">
        <v>0</v>
      </c>
      <c r="L1241" s="221" t="s">
        <v>41</v>
      </c>
      <c r="M1241" s="34" t="s">
        <v>478</v>
      </c>
      <c r="N1241" s="67" t="s">
        <v>479</v>
      </c>
    </row>
    <row r="1242" spans="2:14" ht="17" x14ac:dyDescent="0.2">
      <c r="B1242" s="138" t="s">
        <v>483</v>
      </c>
      <c r="C1242" s="19" t="s">
        <v>40</v>
      </c>
      <c r="J1242" s="34" t="s">
        <v>0</v>
      </c>
      <c r="L1242" s="221" t="s">
        <v>41</v>
      </c>
      <c r="M1242" s="34" t="s">
        <v>478</v>
      </c>
      <c r="N1242" s="67" t="s">
        <v>479</v>
      </c>
    </row>
    <row r="1243" spans="2:14" ht="17" x14ac:dyDescent="0.2">
      <c r="B1243" s="138" t="s">
        <v>484</v>
      </c>
      <c r="C1243" s="19" t="s">
        <v>40</v>
      </c>
      <c r="J1243" s="34" t="s">
        <v>0</v>
      </c>
      <c r="L1243" s="221" t="s">
        <v>41</v>
      </c>
      <c r="M1243" s="34" t="s">
        <v>478</v>
      </c>
      <c r="N1243" s="67" t="s">
        <v>479</v>
      </c>
    </row>
    <row r="1244" spans="2:14" ht="17" x14ac:dyDescent="0.2">
      <c r="B1244" s="139" t="s">
        <v>485</v>
      </c>
      <c r="C1244" s="19" t="s">
        <v>40</v>
      </c>
      <c r="J1244" s="34" t="s">
        <v>0</v>
      </c>
      <c r="L1244" s="221" t="s">
        <v>41</v>
      </c>
      <c r="M1244" s="34" t="s">
        <v>478</v>
      </c>
      <c r="N1244" s="67" t="s">
        <v>479</v>
      </c>
    </row>
    <row r="1245" spans="2:14" ht="17" x14ac:dyDescent="0.2">
      <c r="B1245" s="242" t="s">
        <v>486</v>
      </c>
      <c r="C1245" s="19" t="s">
        <v>40</v>
      </c>
    </row>
    <row r="1246" spans="2:14" ht="17" x14ac:dyDescent="0.2">
      <c r="B1246" s="139" t="s">
        <v>530</v>
      </c>
      <c r="C1246" s="19" t="s">
        <v>40</v>
      </c>
      <c r="J1246" s="34" t="s">
        <v>0</v>
      </c>
      <c r="L1246" s="221" t="s">
        <v>41</v>
      </c>
      <c r="M1246" s="34" t="s">
        <v>478</v>
      </c>
      <c r="N1246" s="67" t="s">
        <v>479</v>
      </c>
    </row>
    <row r="1247" spans="2:14" ht="17" x14ac:dyDescent="0.2">
      <c r="B1247" s="139" t="s">
        <v>533</v>
      </c>
      <c r="C1247" s="19" t="s">
        <v>40</v>
      </c>
      <c r="J1247" s="34" t="s">
        <v>0</v>
      </c>
      <c r="L1247" s="221" t="s">
        <v>41</v>
      </c>
      <c r="M1247" s="34" t="s">
        <v>478</v>
      </c>
      <c r="N1247" s="67" t="s">
        <v>479</v>
      </c>
    </row>
    <row r="1248" spans="2:14" ht="17" x14ac:dyDescent="0.2">
      <c r="B1248" s="139" t="s">
        <v>489</v>
      </c>
      <c r="C1248" s="19" t="s">
        <v>40</v>
      </c>
      <c r="J1248" s="34" t="s">
        <v>0</v>
      </c>
      <c r="L1248" s="221" t="s">
        <v>41</v>
      </c>
      <c r="M1248" s="34" t="s">
        <v>478</v>
      </c>
      <c r="N1248" s="67" t="s">
        <v>479</v>
      </c>
    </row>
    <row r="1249" spans="2:14" ht="17" x14ac:dyDescent="0.2">
      <c r="B1249" s="167" t="s">
        <v>490</v>
      </c>
      <c r="C1249" s="19" t="s">
        <v>40</v>
      </c>
      <c r="J1249" s="34" t="s">
        <v>0</v>
      </c>
      <c r="L1249" s="221" t="s">
        <v>41</v>
      </c>
      <c r="M1249" s="34" t="s">
        <v>478</v>
      </c>
      <c r="N1249" s="67" t="s">
        <v>479</v>
      </c>
    </row>
    <row r="1250" spans="2:14" ht="17" x14ac:dyDescent="0.2">
      <c r="B1250" s="147" t="s">
        <v>134</v>
      </c>
      <c r="C1250" s="19" t="s">
        <v>40</v>
      </c>
      <c r="J1250" s="34" t="s">
        <v>0</v>
      </c>
      <c r="L1250" s="221" t="s">
        <v>41</v>
      </c>
      <c r="M1250" s="34" t="s">
        <v>478</v>
      </c>
      <c r="N1250" s="67" t="s">
        <v>479</v>
      </c>
    </row>
    <row r="1251" spans="2:14" ht="17" x14ac:dyDescent="0.2">
      <c r="B1251" s="139" t="s">
        <v>491</v>
      </c>
      <c r="C1251" s="19" t="s">
        <v>40</v>
      </c>
      <c r="J1251" s="34" t="s">
        <v>0</v>
      </c>
      <c r="L1251" s="221" t="s">
        <v>41</v>
      </c>
      <c r="M1251" s="34" t="s">
        <v>478</v>
      </c>
      <c r="N1251" s="67" t="s">
        <v>479</v>
      </c>
    </row>
    <row r="1252" spans="2:14" ht="17" x14ac:dyDescent="0.2">
      <c r="B1252" s="139" t="s">
        <v>492</v>
      </c>
      <c r="C1252" s="19" t="s">
        <v>40</v>
      </c>
      <c r="J1252" s="34" t="s">
        <v>0</v>
      </c>
      <c r="L1252" s="221" t="s">
        <v>41</v>
      </c>
      <c r="M1252" s="34" t="s">
        <v>478</v>
      </c>
      <c r="N1252" s="67" t="s">
        <v>479</v>
      </c>
    </row>
    <row r="1253" spans="2:14" ht="17" x14ac:dyDescent="0.2">
      <c r="B1253" s="139" t="s">
        <v>493</v>
      </c>
      <c r="C1253" s="19" t="s">
        <v>40</v>
      </c>
      <c r="J1253" s="34" t="s">
        <v>0</v>
      </c>
      <c r="L1253" s="221" t="s">
        <v>41</v>
      </c>
      <c r="M1253" s="34" t="s">
        <v>478</v>
      </c>
      <c r="N1253" s="67" t="s">
        <v>479</v>
      </c>
    </row>
    <row r="1254" spans="2:14" ht="17" x14ac:dyDescent="0.2">
      <c r="B1254" s="138" t="s">
        <v>78</v>
      </c>
      <c r="C1254" s="19" t="s">
        <v>40</v>
      </c>
      <c r="J1254" s="34" t="s">
        <v>0</v>
      </c>
      <c r="L1254" s="221" t="s">
        <v>41</v>
      </c>
      <c r="M1254" s="34" t="s">
        <v>478</v>
      </c>
      <c r="N1254" s="67" t="s">
        <v>479</v>
      </c>
    </row>
    <row r="1255" spans="2:14" ht="17" x14ac:dyDescent="0.2">
      <c r="B1255" s="138" t="s">
        <v>79</v>
      </c>
      <c r="C1255" s="19" t="s">
        <v>40</v>
      </c>
      <c r="J1255" s="34" t="s">
        <v>0</v>
      </c>
      <c r="L1255" s="221" t="s">
        <v>41</v>
      </c>
      <c r="M1255" s="34" t="s">
        <v>478</v>
      </c>
      <c r="N1255" s="67" t="s">
        <v>479</v>
      </c>
    </row>
    <row r="1256" spans="2:14" ht="17" x14ac:dyDescent="0.2">
      <c r="B1256" s="166" t="s">
        <v>264</v>
      </c>
      <c r="C1256" s="19" t="s">
        <v>40</v>
      </c>
      <c r="J1256" s="34" t="s">
        <v>0</v>
      </c>
      <c r="L1256" s="221" t="s">
        <v>41</v>
      </c>
      <c r="M1256" s="34" t="s">
        <v>478</v>
      </c>
      <c r="N1256" s="67" t="s">
        <v>479</v>
      </c>
    </row>
    <row r="1257" spans="2:14" ht="17" x14ac:dyDescent="0.2">
      <c r="B1257" s="138" t="s">
        <v>81</v>
      </c>
      <c r="C1257" s="19" t="s">
        <v>40</v>
      </c>
      <c r="J1257" s="34" t="s">
        <v>0</v>
      </c>
      <c r="L1257" s="221" t="s">
        <v>41</v>
      </c>
      <c r="M1257" s="34" t="s">
        <v>478</v>
      </c>
      <c r="N1257" s="67" t="s">
        <v>479</v>
      </c>
    </row>
    <row r="1258" spans="2:14" ht="17" x14ac:dyDescent="0.2">
      <c r="B1258" s="166" t="s">
        <v>256</v>
      </c>
      <c r="C1258" s="19" t="s">
        <v>40</v>
      </c>
      <c r="J1258" s="34" t="s">
        <v>0</v>
      </c>
      <c r="L1258" s="221" t="s">
        <v>41</v>
      </c>
      <c r="M1258" s="34" t="s">
        <v>478</v>
      </c>
      <c r="N1258" s="67" t="s">
        <v>479</v>
      </c>
    </row>
    <row r="1259" spans="2:14" ht="17" x14ac:dyDescent="0.2">
      <c r="B1259" s="166" t="s">
        <v>494</v>
      </c>
      <c r="C1259" s="19" t="s">
        <v>40</v>
      </c>
      <c r="J1259" s="34" t="s">
        <v>0</v>
      </c>
      <c r="L1259" s="221" t="s">
        <v>41</v>
      </c>
      <c r="M1259" s="34" t="s">
        <v>478</v>
      </c>
      <c r="N1259" s="67" t="s">
        <v>479</v>
      </c>
    </row>
    <row r="1260" spans="2:14" ht="17" x14ac:dyDescent="0.2">
      <c r="B1260" s="166" t="s">
        <v>495</v>
      </c>
      <c r="C1260" s="19" t="s">
        <v>40</v>
      </c>
      <c r="J1260" s="34" t="s">
        <v>0</v>
      </c>
      <c r="L1260" s="221" t="s">
        <v>41</v>
      </c>
      <c r="M1260" s="34" t="s">
        <v>478</v>
      </c>
      <c r="N1260" s="67" t="s">
        <v>479</v>
      </c>
    </row>
    <row r="1261" spans="2:14" ht="17" x14ac:dyDescent="0.2">
      <c r="B1261" s="242" t="s">
        <v>496</v>
      </c>
      <c r="C1261" s="19"/>
    </row>
    <row r="1262" spans="2:14" ht="17" x14ac:dyDescent="0.2">
      <c r="B1262" s="147" t="s">
        <v>134</v>
      </c>
      <c r="C1262" s="19" t="s">
        <v>40</v>
      </c>
      <c r="J1262" s="34" t="s">
        <v>0</v>
      </c>
      <c r="L1262" s="221" t="s">
        <v>41</v>
      </c>
      <c r="M1262" s="34" t="s">
        <v>478</v>
      </c>
      <c r="N1262" s="67" t="s">
        <v>479</v>
      </c>
    </row>
    <row r="1263" spans="2:14" ht="17" x14ac:dyDescent="0.2">
      <c r="B1263" s="139" t="s">
        <v>497</v>
      </c>
      <c r="C1263" s="19" t="s">
        <v>40</v>
      </c>
      <c r="J1263" s="34" t="s">
        <v>0</v>
      </c>
      <c r="L1263" s="221" t="s">
        <v>41</v>
      </c>
      <c r="M1263" s="34" t="s">
        <v>478</v>
      </c>
      <c r="N1263" s="67" t="s">
        <v>479</v>
      </c>
    </row>
    <row r="1264" spans="2:14" ht="17" x14ac:dyDescent="0.2">
      <c r="B1264" s="138" t="s">
        <v>498</v>
      </c>
      <c r="C1264" s="19" t="s">
        <v>40</v>
      </c>
      <c r="J1264" s="34" t="s">
        <v>0</v>
      </c>
      <c r="L1264" s="221" t="s">
        <v>41</v>
      </c>
      <c r="M1264" s="34" t="s">
        <v>478</v>
      </c>
      <c r="N1264" s="67" t="s">
        <v>479</v>
      </c>
    </row>
    <row r="1265" spans="1:14" ht="17" x14ac:dyDescent="0.2">
      <c r="B1265" s="139" t="s">
        <v>499</v>
      </c>
      <c r="C1265" s="19" t="s">
        <v>40</v>
      </c>
      <c r="J1265" s="34" t="s">
        <v>0</v>
      </c>
      <c r="L1265" s="221" t="s">
        <v>41</v>
      </c>
      <c r="M1265" s="34" t="s">
        <v>478</v>
      </c>
      <c r="N1265" s="67" t="s">
        <v>479</v>
      </c>
    </row>
    <row r="1266" spans="1:14" x14ac:dyDescent="0.2">
      <c r="B1266" s="140" t="s">
        <v>86</v>
      </c>
    </row>
    <row r="1267" spans="1:14" x14ac:dyDescent="0.2">
      <c r="B1267" s="140" t="s">
        <v>500</v>
      </c>
    </row>
    <row r="1268" spans="1:14" ht="17" x14ac:dyDescent="0.2">
      <c r="B1268" s="141" t="s">
        <v>87</v>
      </c>
      <c r="C1268" s="19" t="s">
        <v>40</v>
      </c>
      <c r="J1268" s="34" t="s">
        <v>0</v>
      </c>
      <c r="L1268" s="221" t="s">
        <v>41</v>
      </c>
      <c r="M1268" s="34" t="s">
        <v>478</v>
      </c>
      <c r="N1268" s="67" t="s">
        <v>479</v>
      </c>
    </row>
    <row r="1269" spans="1:14" ht="32" x14ac:dyDescent="0.2">
      <c r="B1269" s="142" t="s">
        <v>102</v>
      </c>
      <c r="C1269" s="19" t="s">
        <v>40</v>
      </c>
      <c r="J1269" s="34" t="s">
        <v>0</v>
      </c>
      <c r="L1269" s="221" t="s">
        <v>41</v>
      </c>
      <c r="M1269" s="34" t="s">
        <v>478</v>
      </c>
      <c r="N1269" s="67" t="s">
        <v>479</v>
      </c>
    </row>
    <row r="1270" spans="1:14" ht="48" x14ac:dyDescent="0.2">
      <c r="B1270" s="143" t="s">
        <v>113</v>
      </c>
      <c r="C1270" s="19" t="s">
        <v>40</v>
      </c>
      <c r="J1270" s="34" t="s">
        <v>0</v>
      </c>
      <c r="L1270" s="221" t="s">
        <v>41</v>
      </c>
      <c r="M1270" s="34" t="s">
        <v>478</v>
      </c>
      <c r="N1270" s="67" t="s">
        <v>479</v>
      </c>
    </row>
    <row r="1271" spans="1:14" ht="17" x14ac:dyDescent="0.2">
      <c r="B1271" s="144" t="s">
        <v>96</v>
      </c>
      <c r="C1271" s="19" t="s">
        <v>40</v>
      </c>
      <c r="J1271" s="34" t="s">
        <v>0</v>
      </c>
      <c r="L1271" s="221" t="s">
        <v>41</v>
      </c>
      <c r="M1271" s="34" t="s">
        <v>478</v>
      </c>
      <c r="N1271" s="67" t="s">
        <v>479</v>
      </c>
    </row>
    <row r="1272" spans="1:14" ht="32" x14ac:dyDescent="0.2">
      <c r="B1272" s="143" t="s">
        <v>97</v>
      </c>
      <c r="C1272" s="19" t="s">
        <v>40</v>
      </c>
      <c r="J1272" s="34" t="s">
        <v>0</v>
      </c>
      <c r="L1272" s="221" t="s">
        <v>41</v>
      </c>
      <c r="M1272" s="34" t="s">
        <v>478</v>
      </c>
      <c r="N1272" s="67" t="s">
        <v>479</v>
      </c>
    </row>
    <row r="1273" spans="1:14" ht="32" x14ac:dyDescent="0.2">
      <c r="B1273" s="142" t="s">
        <v>114</v>
      </c>
      <c r="C1273" s="19" t="s">
        <v>40</v>
      </c>
      <c r="J1273" s="34" t="s">
        <v>0</v>
      </c>
      <c r="L1273" s="221" t="s">
        <v>41</v>
      </c>
      <c r="M1273" s="34" t="s">
        <v>478</v>
      </c>
      <c r="N1273" s="67" t="s">
        <v>479</v>
      </c>
    </row>
    <row r="1274" spans="1:14" ht="17" x14ac:dyDescent="0.2">
      <c r="B1274" s="144" t="s">
        <v>99</v>
      </c>
      <c r="C1274" s="19" t="s">
        <v>40</v>
      </c>
      <c r="J1274" s="34" t="s">
        <v>0</v>
      </c>
      <c r="L1274" s="221" t="s">
        <v>41</v>
      </c>
      <c r="M1274" s="34" t="s">
        <v>478</v>
      </c>
      <c r="N1274" s="67" t="s">
        <v>479</v>
      </c>
    </row>
    <row r="1275" spans="1:14" ht="17" x14ac:dyDescent="0.2">
      <c r="B1275" s="143" t="s">
        <v>115</v>
      </c>
      <c r="C1275" s="19" t="s">
        <v>40</v>
      </c>
      <c r="J1275" s="34" t="s">
        <v>0</v>
      </c>
      <c r="L1275" s="221" t="s">
        <v>41</v>
      </c>
      <c r="M1275" s="34" t="s">
        <v>478</v>
      </c>
      <c r="N1275" s="67" t="s">
        <v>479</v>
      </c>
    </row>
    <row r="1276" spans="1:14" ht="17" x14ac:dyDescent="0.2">
      <c r="B1276" s="128" t="s">
        <v>121</v>
      </c>
      <c r="C1276" s="19"/>
    </row>
    <row r="1277" spans="1:14" ht="17" x14ac:dyDescent="0.2">
      <c r="B1277" s="145" t="s">
        <v>122</v>
      </c>
      <c r="C1277" s="19" t="s">
        <v>40</v>
      </c>
      <c r="L1277" s="221"/>
      <c r="N1277" s="67"/>
    </row>
    <row r="1278" spans="1:14" ht="17" x14ac:dyDescent="0.2">
      <c r="B1278" s="167" t="s">
        <v>123</v>
      </c>
      <c r="C1278" s="19" t="s">
        <v>40</v>
      </c>
      <c r="J1278" s="34" t="s">
        <v>0</v>
      </c>
      <c r="L1278" s="221" t="s">
        <v>41</v>
      </c>
      <c r="M1278" s="34" t="s">
        <v>478</v>
      </c>
      <c r="N1278" s="67" t="s">
        <v>479</v>
      </c>
    </row>
    <row r="1279" spans="1:14" ht="17" x14ac:dyDescent="0.2">
      <c r="B1279" s="139" t="s">
        <v>124</v>
      </c>
      <c r="C1279" s="19" t="s">
        <v>40</v>
      </c>
      <c r="J1279" s="34" t="s">
        <v>0</v>
      </c>
      <c r="L1279" s="221" t="s">
        <v>41</v>
      </c>
      <c r="M1279" s="34" t="s">
        <v>478</v>
      </c>
      <c r="N1279" s="67" t="s">
        <v>479</v>
      </c>
    </row>
    <row r="1280" spans="1:14" ht="17" x14ac:dyDescent="0.2">
      <c r="A1280" s="124"/>
      <c r="B1280" s="139" t="s">
        <v>125</v>
      </c>
      <c r="C1280" s="19" t="s">
        <v>40</v>
      </c>
      <c r="J1280" s="34" t="s">
        <v>0</v>
      </c>
      <c r="L1280" s="221" t="s">
        <v>41</v>
      </c>
      <c r="M1280" s="34" t="s">
        <v>478</v>
      </c>
      <c r="N1280" s="67" t="s">
        <v>479</v>
      </c>
    </row>
    <row r="1281" spans="2:14" ht="17" x14ac:dyDescent="0.2">
      <c r="B1281" s="145" t="s">
        <v>126</v>
      </c>
      <c r="C1281" s="19" t="s">
        <v>40</v>
      </c>
      <c r="J1281" s="34" t="s">
        <v>0</v>
      </c>
      <c r="L1281" s="221" t="s">
        <v>41</v>
      </c>
      <c r="M1281" s="34" t="s">
        <v>478</v>
      </c>
      <c r="N1281" s="67" t="s">
        <v>479</v>
      </c>
    </row>
    <row r="1282" spans="2:14" ht="17" x14ac:dyDescent="0.2">
      <c r="B1282" s="138" t="s">
        <v>127</v>
      </c>
      <c r="C1282" s="19" t="s">
        <v>40</v>
      </c>
      <c r="J1282" s="34" t="s">
        <v>0</v>
      </c>
      <c r="L1282" s="221" t="s">
        <v>41</v>
      </c>
      <c r="M1282" s="34" t="s">
        <v>478</v>
      </c>
      <c r="N1282" s="67" t="s">
        <v>479</v>
      </c>
    </row>
    <row r="1283" spans="2:14" ht="17" x14ac:dyDescent="0.2">
      <c r="B1283" s="138" t="s">
        <v>265</v>
      </c>
      <c r="C1283" s="19" t="s">
        <v>40</v>
      </c>
      <c r="J1283" s="34" t="s">
        <v>0</v>
      </c>
      <c r="L1283" s="221" t="s">
        <v>41</v>
      </c>
      <c r="M1283" s="34" t="s">
        <v>478</v>
      </c>
      <c r="N1283" s="67" t="s">
        <v>479</v>
      </c>
    </row>
    <row r="1284" spans="2:14" ht="17" x14ac:dyDescent="0.2">
      <c r="B1284" s="146" t="s">
        <v>129</v>
      </c>
      <c r="C1284" s="19" t="s">
        <v>40</v>
      </c>
      <c r="J1284" s="34" t="s">
        <v>0</v>
      </c>
      <c r="L1284" s="221" t="s">
        <v>41</v>
      </c>
      <c r="M1284" s="34" t="s">
        <v>478</v>
      </c>
      <c r="N1284" s="67" t="s">
        <v>479</v>
      </c>
    </row>
    <row r="1285" spans="2:14" ht="17" x14ac:dyDescent="0.2">
      <c r="B1285" s="138" t="s">
        <v>257</v>
      </c>
      <c r="C1285" s="19" t="s">
        <v>40</v>
      </c>
      <c r="J1285" s="34" t="s">
        <v>0</v>
      </c>
      <c r="L1285" s="221" t="s">
        <v>41</v>
      </c>
      <c r="M1285" s="34" t="s">
        <v>478</v>
      </c>
      <c r="N1285" s="67" t="s">
        <v>479</v>
      </c>
    </row>
    <row r="1286" spans="2:14" ht="17" x14ac:dyDescent="0.2">
      <c r="B1286" s="147" t="s">
        <v>501</v>
      </c>
      <c r="C1286" s="19" t="s">
        <v>40</v>
      </c>
      <c r="J1286" s="34" t="s">
        <v>0</v>
      </c>
      <c r="L1286" s="221" t="s">
        <v>41</v>
      </c>
      <c r="M1286" s="34" t="s">
        <v>478</v>
      </c>
      <c r="N1286" s="67" t="s">
        <v>479</v>
      </c>
    </row>
    <row r="1287" spans="2:14" ht="17" x14ac:dyDescent="0.2">
      <c r="B1287" s="147" t="s">
        <v>132</v>
      </c>
      <c r="C1287" s="19" t="s">
        <v>40</v>
      </c>
      <c r="J1287" s="34" t="s">
        <v>0</v>
      </c>
      <c r="L1287" s="221" t="s">
        <v>41</v>
      </c>
      <c r="M1287" s="34" t="s">
        <v>478</v>
      </c>
      <c r="N1287" s="67" t="s">
        <v>479</v>
      </c>
    </row>
    <row r="1288" spans="2:14" ht="17" x14ac:dyDescent="0.2">
      <c r="B1288" s="147" t="s">
        <v>134</v>
      </c>
      <c r="C1288" s="19" t="s">
        <v>40</v>
      </c>
      <c r="J1288" s="34" t="s">
        <v>0</v>
      </c>
      <c r="L1288" s="221" t="s">
        <v>41</v>
      </c>
      <c r="M1288" s="34" t="s">
        <v>478</v>
      </c>
      <c r="N1288" s="67" t="s">
        <v>479</v>
      </c>
    </row>
    <row r="1289" spans="2:14" ht="17" x14ac:dyDescent="0.2">
      <c r="B1289" s="147" t="s">
        <v>136</v>
      </c>
      <c r="C1289" s="19" t="s">
        <v>40</v>
      </c>
      <c r="J1289" s="34" t="s">
        <v>0</v>
      </c>
      <c r="L1289" s="221" t="s">
        <v>41</v>
      </c>
      <c r="M1289" s="34" t="s">
        <v>478</v>
      </c>
      <c r="N1289" s="67" t="s">
        <v>479</v>
      </c>
    </row>
    <row r="1290" spans="2:14" ht="23" x14ac:dyDescent="0.3">
      <c r="B1290" s="148" t="s">
        <v>137</v>
      </c>
      <c r="C1290" s="19"/>
    </row>
    <row r="1291" spans="2:14" ht="23" x14ac:dyDescent="0.3">
      <c r="B1291" s="148" t="s">
        <v>138</v>
      </c>
      <c r="C1291" s="19"/>
    </row>
    <row r="1292" spans="2:14" ht="17" x14ac:dyDescent="0.2">
      <c r="B1292" s="147" t="s">
        <v>139</v>
      </c>
      <c r="C1292" s="19" t="s">
        <v>40</v>
      </c>
      <c r="J1292" s="34" t="s">
        <v>0</v>
      </c>
      <c r="L1292" s="221" t="s">
        <v>41</v>
      </c>
      <c r="M1292" s="34" t="s">
        <v>478</v>
      </c>
      <c r="N1292" s="67" t="s">
        <v>479</v>
      </c>
    </row>
    <row r="1293" spans="2:14" ht="17" x14ac:dyDescent="0.2">
      <c r="B1293" s="147" t="s">
        <v>140</v>
      </c>
      <c r="C1293" s="19" t="s">
        <v>40</v>
      </c>
      <c r="J1293" s="34" t="s">
        <v>0</v>
      </c>
      <c r="L1293" s="221" t="s">
        <v>41</v>
      </c>
      <c r="M1293" s="34" t="s">
        <v>478</v>
      </c>
      <c r="N1293" s="67" t="s">
        <v>479</v>
      </c>
    </row>
    <row r="1294" spans="2:14" ht="17" x14ac:dyDescent="0.2">
      <c r="B1294" s="147" t="s">
        <v>141</v>
      </c>
      <c r="C1294" s="19" t="s">
        <v>40</v>
      </c>
      <c r="J1294" s="34" t="s">
        <v>0</v>
      </c>
      <c r="L1294" s="221" t="s">
        <v>41</v>
      </c>
      <c r="M1294" s="34" t="s">
        <v>478</v>
      </c>
      <c r="N1294" s="67" t="s">
        <v>479</v>
      </c>
    </row>
    <row r="1295" spans="2:14" ht="17" x14ac:dyDescent="0.2">
      <c r="B1295" s="147" t="s">
        <v>266</v>
      </c>
      <c r="C1295" s="19" t="s">
        <v>40</v>
      </c>
      <c r="J1295" s="34" t="s">
        <v>0</v>
      </c>
      <c r="L1295" s="221" t="s">
        <v>41</v>
      </c>
      <c r="M1295" s="34" t="s">
        <v>478</v>
      </c>
      <c r="N1295" s="67" t="s">
        <v>479</v>
      </c>
    </row>
    <row r="1296" spans="2:14" ht="17" x14ac:dyDescent="0.2">
      <c r="B1296" s="147" t="s">
        <v>258</v>
      </c>
      <c r="C1296" s="19" t="s">
        <v>40</v>
      </c>
      <c r="J1296" s="34" t="s">
        <v>0</v>
      </c>
      <c r="L1296" s="221" t="s">
        <v>41</v>
      </c>
      <c r="M1296" s="34" t="s">
        <v>478</v>
      </c>
      <c r="N1296" s="67" t="s">
        <v>479</v>
      </c>
    </row>
    <row r="1297" spans="2:14" ht="23" x14ac:dyDescent="0.3">
      <c r="B1297" s="148" t="s">
        <v>144</v>
      </c>
      <c r="C1297" s="19"/>
    </row>
    <row r="1298" spans="2:14" ht="17" x14ac:dyDescent="0.2">
      <c r="B1298" s="147" t="s">
        <v>145</v>
      </c>
      <c r="C1298" s="19" t="s">
        <v>40</v>
      </c>
      <c r="J1298" s="34" t="s">
        <v>0</v>
      </c>
      <c r="L1298" s="221" t="s">
        <v>41</v>
      </c>
      <c r="M1298" s="34" t="s">
        <v>478</v>
      </c>
      <c r="N1298" s="67" t="s">
        <v>479</v>
      </c>
    </row>
    <row r="1299" spans="2:14" ht="17" x14ac:dyDescent="0.2">
      <c r="B1299" s="147" t="s">
        <v>146</v>
      </c>
      <c r="C1299" s="19" t="s">
        <v>40</v>
      </c>
      <c r="J1299" s="34" t="s">
        <v>0</v>
      </c>
      <c r="L1299" s="221" t="s">
        <v>41</v>
      </c>
      <c r="M1299" s="34" t="s">
        <v>478</v>
      </c>
      <c r="N1299" s="67" t="s">
        <v>479</v>
      </c>
    </row>
    <row r="1300" spans="2:14" ht="34" x14ac:dyDescent="0.2">
      <c r="B1300" s="147" t="s">
        <v>267</v>
      </c>
      <c r="C1300" s="19" t="s">
        <v>40</v>
      </c>
      <c r="J1300" s="34" t="s">
        <v>0</v>
      </c>
      <c r="L1300" s="221" t="s">
        <v>41</v>
      </c>
      <c r="M1300" s="34" t="s">
        <v>478</v>
      </c>
      <c r="N1300" s="67" t="s">
        <v>479</v>
      </c>
    </row>
    <row r="1301" spans="2:14" ht="17" x14ac:dyDescent="0.2">
      <c r="B1301" s="147" t="s">
        <v>148</v>
      </c>
      <c r="C1301" s="19" t="s">
        <v>40</v>
      </c>
      <c r="J1301" s="34" t="s">
        <v>0</v>
      </c>
      <c r="L1301" s="221" t="s">
        <v>41</v>
      </c>
      <c r="M1301" s="34" t="s">
        <v>478</v>
      </c>
      <c r="N1301" s="67" t="s">
        <v>479</v>
      </c>
    </row>
    <row r="1302" spans="2:14" ht="34" x14ac:dyDescent="0.2">
      <c r="B1302" s="147" t="s">
        <v>259</v>
      </c>
      <c r="C1302" s="19" t="s">
        <v>40</v>
      </c>
      <c r="J1302" s="34" t="s">
        <v>0</v>
      </c>
      <c r="L1302" s="221" t="s">
        <v>41</v>
      </c>
      <c r="M1302" s="34" t="s">
        <v>478</v>
      </c>
      <c r="N1302" s="67" t="s">
        <v>479</v>
      </c>
    </row>
    <row r="1303" spans="2:14" ht="20" x14ac:dyDescent="0.2">
      <c r="B1303" s="177" t="s">
        <v>51</v>
      </c>
      <c r="C1303" s="19"/>
    </row>
    <row r="1304" spans="2:14" ht="17" x14ac:dyDescent="0.2">
      <c r="B1304" s="128" t="s">
        <v>502</v>
      </c>
    </row>
    <row r="1305" spans="2:14" ht="17" x14ac:dyDescent="0.2">
      <c r="B1305" s="132" t="s">
        <v>60</v>
      </c>
      <c r="C1305" s="19"/>
    </row>
    <row r="1306" spans="2:14" ht="17" x14ac:dyDescent="0.2">
      <c r="B1306" s="135" t="s">
        <v>61</v>
      </c>
      <c r="C1306" s="19" t="s">
        <v>40</v>
      </c>
      <c r="J1306" s="34" t="s">
        <v>0</v>
      </c>
      <c r="L1306" s="221" t="s">
        <v>41</v>
      </c>
      <c r="M1306" s="34" t="s">
        <v>478</v>
      </c>
      <c r="N1306" s="67" t="s">
        <v>479</v>
      </c>
    </row>
    <row r="1307" spans="2:14" ht="17" x14ac:dyDescent="0.2">
      <c r="B1307" s="136" t="s">
        <v>62</v>
      </c>
      <c r="C1307" s="19" t="s">
        <v>40</v>
      </c>
      <c r="J1307" s="34" t="s">
        <v>0</v>
      </c>
      <c r="L1307" s="221" t="s">
        <v>41</v>
      </c>
      <c r="M1307" s="34" t="s">
        <v>478</v>
      </c>
      <c r="N1307" s="67" t="s">
        <v>479</v>
      </c>
    </row>
    <row r="1308" spans="2:14" ht="96" x14ac:dyDescent="0.2">
      <c r="B1308" s="137" t="s">
        <v>63</v>
      </c>
      <c r="C1308" s="19" t="s">
        <v>40</v>
      </c>
      <c r="J1308" s="34" t="s">
        <v>0</v>
      </c>
      <c r="L1308" s="221" t="s">
        <v>41</v>
      </c>
      <c r="M1308" s="34" t="s">
        <v>478</v>
      </c>
      <c r="N1308" s="67" t="s">
        <v>479</v>
      </c>
    </row>
    <row r="1309" spans="2:14" ht="17" x14ac:dyDescent="0.2">
      <c r="B1309" s="136" t="s">
        <v>64</v>
      </c>
      <c r="C1309" s="19" t="s">
        <v>40</v>
      </c>
      <c r="J1309" s="34" t="s">
        <v>0</v>
      </c>
      <c r="L1309" s="221" t="s">
        <v>41</v>
      </c>
      <c r="M1309" s="34" t="s">
        <v>478</v>
      </c>
      <c r="N1309" s="67" t="s">
        <v>479</v>
      </c>
    </row>
    <row r="1310" spans="2:14" ht="20" x14ac:dyDescent="0.25">
      <c r="B1310" s="149" t="s">
        <v>150</v>
      </c>
      <c r="C1310" s="19"/>
    </row>
    <row r="1311" spans="2:14" x14ac:dyDescent="0.2">
      <c r="B1311" s="150" t="s">
        <v>151</v>
      </c>
      <c r="C1311" s="19"/>
    </row>
    <row r="1312" spans="2:14" ht="17" x14ac:dyDescent="0.2">
      <c r="B1312" s="151" t="s">
        <v>152</v>
      </c>
      <c r="C1312" s="19" t="s">
        <v>40</v>
      </c>
      <c r="J1312" s="34" t="s">
        <v>0</v>
      </c>
      <c r="L1312" s="221" t="s">
        <v>41</v>
      </c>
      <c r="M1312" s="34" t="s">
        <v>478</v>
      </c>
      <c r="N1312" s="67" t="s">
        <v>479</v>
      </c>
    </row>
    <row r="1313" spans="2:14" ht="17" x14ac:dyDescent="0.2">
      <c r="B1313" s="151" t="s">
        <v>153</v>
      </c>
      <c r="C1313" s="19" t="s">
        <v>40</v>
      </c>
      <c r="J1313" s="34" t="s">
        <v>0</v>
      </c>
      <c r="L1313" s="221" t="s">
        <v>41</v>
      </c>
      <c r="M1313" s="34" t="s">
        <v>478</v>
      </c>
      <c r="N1313" s="67" t="s">
        <v>479</v>
      </c>
    </row>
    <row r="1314" spans="2:14" ht="17" x14ac:dyDescent="0.2">
      <c r="B1314" s="152" t="s">
        <v>154</v>
      </c>
      <c r="C1314" s="19" t="s">
        <v>40</v>
      </c>
      <c r="J1314" s="34" t="s">
        <v>0</v>
      </c>
      <c r="L1314" s="221" t="s">
        <v>41</v>
      </c>
      <c r="M1314" s="34" t="s">
        <v>478</v>
      </c>
      <c r="N1314" s="67" t="s">
        <v>479</v>
      </c>
    </row>
    <row r="1315" spans="2:14" ht="17" x14ac:dyDescent="0.2">
      <c r="B1315" s="143" t="s">
        <v>155</v>
      </c>
      <c r="C1315" s="19" t="s">
        <v>40</v>
      </c>
      <c r="J1315" s="34" t="s">
        <v>0</v>
      </c>
      <c r="L1315" s="221" t="s">
        <v>41</v>
      </c>
      <c r="M1315" s="34" t="s">
        <v>478</v>
      </c>
      <c r="N1315" s="67" t="s">
        <v>479</v>
      </c>
    </row>
    <row r="1316" spans="2:14" x14ac:dyDescent="0.2">
      <c r="B1316" s="153" t="s">
        <v>156</v>
      </c>
    </row>
    <row r="1317" spans="2:14" x14ac:dyDescent="0.2">
      <c r="B1317" s="153" t="s">
        <v>157</v>
      </c>
      <c r="C1317" s="19"/>
    </row>
    <row r="1318" spans="2:14" ht="17" x14ac:dyDescent="0.2">
      <c r="B1318" s="154" t="s">
        <v>158</v>
      </c>
      <c r="C1318" s="19" t="s">
        <v>40</v>
      </c>
      <c r="J1318" s="34" t="s">
        <v>0</v>
      </c>
      <c r="L1318" s="221" t="s">
        <v>41</v>
      </c>
      <c r="M1318" s="34" t="s">
        <v>478</v>
      </c>
      <c r="N1318" s="67" t="s">
        <v>479</v>
      </c>
    </row>
    <row r="1319" spans="2:14" ht="17" x14ac:dyDescent="0.2">
      <c r="B1319" s="155" t="s">
        <v>159</v>
      </c>
      <c r="C1319" s="19" t="s">
        <v>40</v>
      </c>
      <c r="J1319" s="34" t="s">
        <v>0</v>
      </c>
      <c r="L1319" s="221" t="s">
        <v>41</v>
      </c>
      <c r="M1319" s="34" t="s">
        <v>478</v>
      </c>
      <c r="N1319" s="67" t="s">
        <v>479</v>
      </c>
    </row>
    <row r="1320" spans="2:14" ht="17" x14ac:dyDescent="0.2">
      <c r="B1320" s="151" t="s">
        <v>160</v>
      </c>
      <c r="C1320" s="19" t="s">
        <v>40</v>
      </c>
      <c r="J1320" s="34" t="s">
        <v>0</v>
      </c>
      <c r="L1320" s="221" t="s">
        <v>41</v>
      </c>
      <c r="M1320" s="34" t="s">
        <v>478</v>
      </c>
      <c r="N1320" s="67" t="s">
        <v>479</v>
      </c>
    </row>
    <row r="1321" spans="2:14" x14ac:dyDescent="0.2">
      <c r="B1321" s="153" t="s">
        <v>161</v>
      </c>
      <c r="C1321" s="19"/>
    </row>
    <row r="1322" spans="2:14" x14ac:dyDescent="0.2">
      <c r="B1322" s="157" t="s">
        <v>168</v>
      </c>
    </row>
    <row r="1323" spans="2:14" ht="51" x14ac:dyDescent="0.2">
      <c r="B1323" s="158" t="s">
        <v>169</v>
      </c>
      <c r="C1323" s="19" t="s">
        <v>40</v>
      </c>
      <c r="J1323" s="34" t="s">
        <v>0</v>
      </c>
      <c r="L1323" s="221" t="s">
        <v>41</v>
      </c>
      <c r="M1323" s="34" t="s">
        <v>478</v>
      </c>
      <c r="N1323" s="67" t="s">
        <v>479</v>
      </c>
    </row>
    <row r="1324" spans="2:14" ht="17" x14ac:dyDescent="0.2">
      <c r="B1324" s="159" t="s">
        <v>170</v>
      </c>
      <c r="C1324" s="19" t="s">
        <v>40</v>
      </c>
      <c r="J1324" s="34" t="s">
        <v>0</v>
      </c>
      <c r="L1324" s="221" t="s">
        <v>41</v>
      </c>
      <c r="M1324" s="34" t="s">
        <v>478</v>
      </c>
      <c r="N1324" s="67" t="s">
        <v>479</v>
      </c>
    </row>
    <row r="1325" spans="2:14" x14ac:dyDescent="0.2">
      <c r="B1325" s="157" t="s">
        <v>171</v>
      </c>
      <c r="C1325" s="19"/>
    </row>
    <row r="1326" spans="2:14" ht="48" x14ac:dyDescent="0.2">
      <c r="B1326" s="144" t="s">
        <v>172</v>
      </c>
      <c r="C1326" s="19" t="s">
        <v>40</v>
      </c>
      <c r="J1326" s="34" t="s">
        <v>0</v>
      </c>
      <c r="L1326" s="221" t="s">
        <v>41</v>
      </c>
      <c r="M1326" s="34" t="s">
        <v>478</v>
      </c>
      <c r="N1326" s="67" t="s">
        <v>479</v>
      </c>
    </row>
    <row r="1327" spans="2:14" ht="17" x14ac:dyDescent="0.2">
      <c r="B1327" s="160" t="s">
        <v>173</v>
      </c>
      <c r="C1327" s="19" t="s">
        <v>40</v>
      </c>
      <c r="J1327" s="34" t="s">
        <v>0</v>
      </c>
      <c r="L1327" s="221" t="s">
        <v>41</v>
      </c>
      <c r="M1327" s="34" t="s">
        <v>478</v>
      </c>
      <c r="N1327" s="67" t="s">
        <v>479</v>
      </c>
    </row>
    <row r="1328" spans="2:14" ht="17" x14ac:dyDescent="0.2">
      <c r="B1328" s="161" t="s">
        <v>174</v>
      </c>
    </row>
    <row r="1329" spans="2:14" ht="51" x14ac:dyDescent="0.2">
      <c r="B1329" s="161" t="s">
        <v>175</v>
      </c>
      <c r="C1329" s="19"/>
    </row>
    <row r="1330" spans="2:14" ht="17" x14ac:dyDescent="0.2">
      <c r="B1330" s="131" t="s">
        <v>176</v>
      </c>
      <c r="C1330" s="19" t="s">
        <v>40</v>
      </c>
      <c r="J1330" s="34" t="s">
        <v>0</v>
      </c>
      <c r="L1330" s="221" t="s">
        <v>41</v>
      </c>
      <c r="M1330" s="34" t="s">
        <v>478</v>
      </c>
      <c r="N1330" s="67" t="s">
        <v>479</v>
      </c>
    </row>
    <row r="1331" spans="2:14" ht="17" x14ac:dyDescent="0.2">
      <c r="B1331" s="160" t="s">
        <v>177</v>
      </c>
      <c r="C1331" s="19" t="s">
        <v>40</v>
      </c>
      <c r="J1331" s="34" t="s">
        <v>0</v>
      </c>
      <c r="L1331" s="221" t="s">
        <v>41</v>
      </c>
      <c r="M1331" s="34" t="s">
        <v>478</v>
      </c>
      <c r="N1331" s="67" t="s">
        <v>479</v>
      </c>
    </row>
    <row r="1332" spans="2:14" ht="17" x14ac:dyDescent="0.2">
      <c r="B1332" s="160" t="s">
        <v>182</v>
      </c>
      <c r="C1332" s="19" t="s">
        <v>40</v>
      </c>
      <c r="J1332" s="34" t="s">
        <v>0</v>
      </c>
      <c r="L1332" s="221" t="s">
        <v>41</v>
      </c>
      <c r="M1332" s="34" t="s">
        <v>478</v>
      </c>
      <c r="N1332" s="67" t="s">
        <v>479</v>
      </c>
    </row>
    <row r="1333" spans="2:14" ht="68" x14ac:dyDescent="0.2">
      <c r="B1333" s="160" t="s">
        <v>504</v>
      </c>
      <c r="C1333" s="19" t="s">
        <v>40</v>
      </c>
      <c r="J1333" s="34" t="s">
        <v>0</v>
      </c>
      <c r="L1333" s="221" t="s">
        <v>41</v>
      </c>
      <c r="M1333" s="34" t="s">
        <v>478</v>
      </c>
      <c r="N1333" s="67" t="s">
        <v>479</v>
      </c>
    </row>
    <row r="1334" spans="2:14" ht="17" x14ac:dyDescent="0.2">
      <c r="B1334" s="162" t="s">
        <v>184</v>
      </c>
      <c r="C1334" s="19" t="s">
        <v>40</v>
      </c>
      <c r="J1334" s="34" t="s">
        <v>0</v>
      </c>
      <c r="L1334" s="221" t="s">
        <v>41</v>
      </c>
      <c r="M1334" s="34" t="s">
        <v>478</v>
      </c>
      <c r="N1334" s="67" t="s">
        <v>479</v>
      </c>
    </row>
    <row r="1335" spans="2:14" ht="17" x14ac:dyDescent="0.2">
      <c r="B1335" s="162" t="s">
        <v>185</v>
      </c>
      <c r="C1335" s="19" t="s">
        <v>40</v>
      </c>
      <c r="J1335" s="34" t="s">
        <v>0</v>
      </c>
      <c r="L1335" s="221" t="s">
        <v>41</v>
      </c>
      <c r="M1335" s="34" t="s">
        <v>478</v>
      </c>
      <c r="N1335" s="67" t="s">
        <v>479</v>
      </c>
    </row>
    <row r="1338" spans="2:14" ht="69" x14ac:dyDescent="0.2">
      <c r="B1338" s="126" t="s">
        <v>534</v>
      </c>
      <c r="C1338" s="19"/>
    </row>
    <row r="1339" spans="2:14" ht="17" x14ac:dyDescent="0.2">
      <c r="B1339" s="127" t="s">
        <v>31</v>
      </c>
      <c r="C1339" s="19"/>
    </row>
    <row r="1340" spans="2:14" ht="17" x14ac:dyDescent="0.2">
      <c r="B1340" s="127" t="s">
        <v>32</v>
      </c>
    </row>
    <row r="1341" spans="2:14" ht="17" x14ac:dyDescent="0.2">
      <c r="B1341" s="128" t="s">
        <v>33</v>
      </c>
    </row>
    <row r="1342" spans="2:14" ht="17" x14ac:dyDescent="0.2">
      <c r="B1342" s="127" t="s">
        <v>34</v>
      </c>
      <c r="C1342" s="19"/>
    </row>
    <row r="1343" spans="2:14" ht="40" x14ac:dyDescent="0.2">
      <c r="B1343" s="241" t="s">
        <v>535</v>
      </c>
      <c r="C1343" s="19"/>
    </row>
    <row r="1344" spans="2:14" ht="17" x14ac:dyDescent="0.2">
      <c r="B1344" s="127" t="s">
        <v>475</v>
      </c>
      <c r="C1344" s="19"/>
    </row>
    <row r="1345" spans="2:14" ht="34" x14ac:dyDescent="0.2">
      <c r="B1345" s="127" t="s">
        <v>476</v>
      </c>
      <c r="C1345" s="19"/>
    </row>
    <row r="1346" spans="2:14" ht="17" x14ac:dyDescent="0.2">
      <c r="B1346" s="129" t="s">
        <v>36</v>
      </c>
      <c r="C1346" s="19"/>
    </row>
    <row r="1347" spans="2:14" ht="17" x14ac:dyDescent="0.2">
      <c r="B1347" s="129" t="s">
        <v>37</v>
      </c>
      <c r="C1347" s="19"/>
    </row>
    <row r="1348" spans="2:14" ht="17" x14ac:dyDescent="0.2">
      <c r="B1348" s="128" t="s">
        <v>38</v>
      </c>
      <c r="C1348" s="19"/>
    </row>
    <row r="1349" spans="2:14" ht="48" x14ac:dyDescent="0.2">
      <c r="B1349" s="130" t="s">
        <v>477</v>
      </c>
      <c r="C1349" s="19" t="s">
        <v>40</v>
      </c>
      <c r="J1349" s="34" t="s">
        <v>0</v>
      </c>
      <c r="L1349" s="221" t="s">
        <v>41</v>
      </c>
      <c r="M1349" s="34" t="s">
        <v>478</v>
      </c>
      <c r="N1349" s="67" t="s">
        <v>479</v>
      </c>
    </row>
    <row r="1350" spans="2:14" ht="48" x14ac:dyDescent="0.2">
      <c r="B1350" s="130" t="s">
        <v>480</v>
      </c>
      <c r="C1350" s="19" t="s">
        <v>40</v>
      </c>
      <c r="J1350" s="34" t="s">
        <v>0</v>
      </c>
      <c r="L1350" s="221" t="s">
        <v>41</v>
      </c>
      <c r="M1350" s="34" t="s">
        <v>478</v>
      </c>
      <c r="N1350" s="67" t="s">
        <v>479</v>
      </c>
    </row>
    <row r="1351" spans="2:14" ht="17" x14ac:dyDescent="0.2">
      <c r="B1351" s="128" t="s">
        <v>44</v>
      </c>
      <c r="C1351" s="19"/>
    </row>
    <row r="1352" spans="2:14" ht="17" x14ac:dyDescent="0.2">
      <c r="B1352" s="130" t="s">
        <v>46</v>
      </c>
      <c r="C1352" s="19" t="s">
        <v>40</v>
      </c>
      <c r="J1352" s="34" t="s">
        <v>0</v>
      </c>
      <c r="L1352" s="221" t="s">
        <v>41</v>
      </c>
      <c r="M1352" s="34" t="s">
        <v>478</v>
      </c>
      <c r="N1352" s="67" t="s">
        <v>479</v>
      </c>
    </row>
    <row r="1353" spans="2:14" ht="17" x14ac:dyDescent="0.2">
      <c r="B1353" s="128" t="s">
        <v>47</v>
      </c>
    </row>
    <row r="1354" spans="2:14" ht="17" x14ac:dyDescent="0.2">
      <c r="B1354" s="131" t="s">
        <v>481</v>
      </c>
      <c r="C1354" s="19" t="s">
        <v>40</v>
      </c>
      <c r="J1354" s="34" t="s">
        <v>0</v>
      </c>
      <c r="L1354" s="221" t="s">
        <v>41</v>
      </c>
      <c r="M1354" s="34" t="s">
        <v>478</v>
      </c>
      <c r="N1354" s="67" t="s">
        <v>479</v>
      </c>
    </row>
    <row r="1355" spans="2:14" ht="17" x14ac:dyDescent="0.2">
      <c r="B1355" s="131" t="s">
        <v>49</v>
      </c>
      <c r="C1355" s="19" t="s">
        <v>40</v>
      </c>
      <c r="J1355" s="34" t="s">
        <v>0</v>
      </c>
      <c r="L1355" s="221" t="s">
        <v>41</v>
      </c>
      <c r="M1355" s="34" t="s">
        <v>478</v>
      </c>
      <c r="N1355" s="67" t="s">
        <v>479</v>
      </c>
    </row>
    <row r="1356" spans="2:14" ht="17" x14ac:dyDescent="0.2">
      <c r="B1356" s="128" t="s">
        <v>482</v>
      </c>
    </row>
    <row r="1357" spans="2:14" ht="17" x14ac:dyDescent="0.2">
      <c r="B1357" s="131" t="s">
        <v>66</v>
      </c>
      <c r="C1357" s="19" t="s">
        <v>40</v>
      </c>
      <c r="J1357" s="34" t="s">
        <v>0</v>
      </c>
      <c r="L1357" s="221" t="s">
        <v>41</v>
      </c>
      <c r="M1357" s="34" t="s">
        <v>478</v>
      </c>
      <c r="N1357" s="67" t="s">
        <v>479</v>
      </c>
    </row>
    <row r="1358" spans="2:14" ht="17" x14ac:dyDescent="0.2">
      <c r="B1358" s="138" t="s">
        <v>67</v>
      </c>
      <c r="C1358" s="19" t="s">
        <v>40</v>
      </c>
      <c r="J1358" s="34" t="s">
        <v>0</v>
      </c>
      <c r="L1358" s="221" t="s">
        <v>41</v>
      </c>
      <c r="M1358" s="34" t="s">
        <v>478</v>
      </c>
      <c r="N1358" s="67" t="s">
        <v>479</v>
      </c>
    </row>
    <row r="1359" spans="2:14" ht="17" x14ac:dyDescent="0.2">
      <c r="B1359" s="138" t="s">
        <v>68</v>
      </c>
      <c r="C1359" s="19" t="s">
        <v>40</v>
      </c>
      <c r="J1359" s="34" t="s">
        <v>0</v>
      </c>
      <c r="L1359" s="221" t="s">
        <v>41</v>
      </c>
      <c r="M1359" s="34" t="s">
        <v>478</v>
      </c>
      <c r="N1359" s="67" t="s">
        <v>479</v>
      </c>
    </row>
    <row r="1360" spans="2:14" ht="17" x14ac:dyDescent="0.2">
      <c r="B1360" s="138" t="s">
        <v>263</v>
      </c>
      <c r="C1360" s="19" t="s">
        <v>40</v>
      </c>
      <c r="J1360" s="34" t="s">
        <v>0</v>
      </c>
      <c r="L1360" s="221" t="s">
        <v>41</v>
      </c>
      <c r="M1360" s="34" t="s">
        <v>478</v>
      </c>
      <c r="N1360" s="67" t="s">
        <v>479</v>
      </c>
    </row>
    <row r="1361" spans="2:14" ht="17" x14ac:dyDescent="0.2">
      <c r="B1361" s="138" t="s">
        <v>70</v>
      </c>
      <c r="C1361" s="19" t="s">
        <v>40</v>
      </c>
      <c r="J1361" s="34" t="s">
        <v>0</v>
      </c>
      <c r="L1361" s="221" t="s">
        <v>41</v>
      </c>
      <c r="M1361" s="34" t="s">
        <v>478</v>
      </c>
      <c r="N1361" s="67" t="s">
        <v>479</v>
      </c>
    </row>
    <row r="1362" spans="2:14" ht="17" x14ac:dyDescent="0.2">
      <c r="B1362" s="138" t="s">
        <v>71</v>
      </c>
      <c r="C1362" s="19" t="s">
        <v>40</v>
      </c>
      <c r="J1362" s="34" t="s">
        <v>0</v>
      </c>
      <c r="L1362" s="221" t="s">
        <v>41</v>
      </c>
      <c r="M1362" s="34" t="s">
        <v>478</v>
      </c>
      <c r="N1362" s="67" t="s">
        <v>479</v>
      </c>
    </row>
    <row r="1363" spans="2:14" ht="17" x14ac:dyDescent="0.2">
      <c r="B1363" s="139" t="s">
        <v>72</v>
      </c>
      <c r="C1363" s="19" t="s">
        <v>40</v>
      </c>
      <c r="J1363" s="34" t="s">
        <v>0</v>
      </c>
      <c r="L1363" s="221" t="s">
        <v>41</v>
      </c>
      <c r="M1363" s="34" t="s">
        <v>478</v>
      </c>
      <c r="N1363" s="67" t="s">
        <v>479</v>
      </c>
    </row>
    <row r="1364" spans="2:14" ht="17" x14ac:dyDescent="0.2">
      <c r="B1364" s="138" t="s">
        <v>483</v>
      </c>
      <c r="C1364" s="19" t="s">
        <v>40</v>
      </c>
      <c r="J1364" s="34" t="s">
        <v>0</v>
      </c>
      <c r="L1364" s="221" t="s">
        <v>41</v>
      </c>
      <c r="M1364" s="34" t="s">
        <v>478</v>
      </c>
      <c r="N1364" s="67" t="s">
        <v>479</v>
      </c>
    </row>
    <row r="1365" spans="2:14" ht="17" x14ac:dyDescent="0.2">
      <c r="B1365" s="138" t="s">
        <v>484</v>
      </c>
      <c r="C1365" s="19" t="s">
        <v>40</v>
      </c>
      <c r="J1365" s="34" t="s">
        <v>0</v>
      </c>
      <c r="L1365" s="221" t="s">
        <v>41</v>
      </c>
      <c r="M1365" s="34" t="s">
        <v>478</v>
      </c>
      <c r="N1365" s="67" t="s">
        <v>479</v>
      </c>
    </row>
    <row r="1366" spans="2:14" ht="17" x14ac:dyDescent="0.2">
      <c r="B1366" s="139" t="s">
        <v>485</v>
      </c>
      <c r="C1366" s="19" t="s">
        <v>40</v>
      </c>
      <c r="J1366" s="34" t="s">
        <v>0</v>
      </c>
      <c r="L1366" s="221" t="s">
        <v>41</v>
      </c>
      <c r="M1366" s="34" t="s">
        <v>478</v>
      </c>
      <c r="N1366" s="67" t="s">
        <v>479</v>
      </c>
    </row>
    <row r="1367" spans="2:14" ht="17" x14ac:dyDescent="0.2">
      <c r="B1367" s="242" t="s">
        <v>486</v>
      </c>
      <c r="C1367" s="19" t="s">
        <v>40</v>
      </c>
    </row>
    <row r="1368" spans="2:14" ht="17" x14ac:dyDescent="0.2">
      <c r="B1368" s="139" t="s">
        <v>536</v>
      </c>
      <c r="C1368" s="19" t="s">
        <v>40</v>
      </c>
      <c r="J1368" s="34" t="s">
        <v>0</v>
      </c>
      <c r="L1368" s="221" t="s">
        <v>41</v>
      </c>
      <c r="M1368" s="34" t="s">
        <v>478</v>
      </c>
      <c r="N1368" s="67" t="s">
        <v>479</v>
      </c>
    </row>
    <row r="1369" spans="2:14" ht="17" x14ac:dyDescent="0.2">
      <c r="B1369" s="139" t="s">
        <v>533</v>
      </c>
      <c r="C1369" s="19" t="s">
        <v>40</v>
      </c>
      <c r="J1369" s="34" t="s">
        <v>0</v>
      </c>
      <c r="L1369" s="221" t="s">
        <v>41</v>
      </c>
      <c r="M1369" s="34" t="s">
        <v>478</v>
      </c>
      <c r="N1369" s="67" t="s">
        <v>479</v>
      </c>
    </row>
    <row r="1370" spans="2:14" ht="17" x14ac:dyDescent="0.2">
      <c r="B1370" s="139" t="s">
        <v>489</v>
      </c>
      <c r="C1370" s="19" t="s">
        <v>40</v>
      </c>
      <c r="J1370" s="34" t="s">
        <v>0</v>
      </c>
      <c r="L1370" s="221" t="s">
        <v>41</v>
      </c>
      <c r="M1370" s="34" t="s">
        <v>478</v>
      </c>
      <c r="N1370" s="67" t="s">
        <v>479</v>
      </c>
    </row>
    <row r="1371" spans="2:14" ht="17" x14ac:dyDescent="0.2">
      <c r="B1371" s="139" t="s">
        <v>490</v>
      </c>
      <c r="C1371" s="19" t="s">
        <v>40</v>
      </c>
      <c r="J1371" s="34" t="s">
        <v>0</v>
      </c>
      <c r="L1371" s="221" t="s">
        <v>41</v>
      </c>
      <c r="M1371" s="34" t="s">
        <v>478</v>
      </c>
      <c r="N1371" s="67" t="s">
        <v>479</v>
      </c>
    </row>
    <row r="1372" spans="2:14" ht="17" x14ac:dyDescent="0.2">
      <c r="B1372" s="147" t="s">
        <v>134</v>
      </c>
      <c r="C1372" s="19" t="s">
        <v>40</v>
      </c>
      <c r="J1372" s="34" t="s">
        <v>0</v>
      </c>
      <c r="L1372" s="221" t="s">
        <v>41</v>
      </c>
      <c r="M1372" s="34" t="s">
        <v>478</v>
      </c>
      <c r="N1372" s="67" t="s">
        <v>479</v>
      </c>
    </row>
    <row r="1373" spans="2:14" ht="17" x14ac:dyDescent="0.2">
      <c r="B1373" s="139" t="s">
        <v>491</v>
      </c>
      <c r="C1373" s="19" t="s">
        <v>40</v>
      </c>
      <c r="J1373" s="34" t="s">
        <v>0</v>
      </c>
      <c r="L1373" s="221" t="s">
        <v>41</v>
      </c>
      <c r="M1373" s="34" t="s">
        <v>478</v>
      </c>
      <c r="N1373" s="67" t="s">
        <v>479</v>
      </c>
    </row>
    <row r="1374" spans="2:14" ht="17" x14ac:dyDescent="0.2">
      <c r="B1374" s="139" t="s">
        <v>492</v>
      </c>
      <c r="C1374" s="19" t="s">
        <v>40</v>
      </c>
      <c r="J1374" s="34" t="s">
        <v>0</v>
      </c>
      <c r="L1374" s="221" t="s">
        <v>41</v>
      </c>
      <c r="M1374" s="34" t="s">
        <v>478</v>
      </c>
      <c r="N1374" s="67" t="s">
        <v>479</v>
      </c>
    </row>
    <row r="1375" spans="2:14" ht="17" x14ac:dyDescent="0.2">
      <c r="B1375" s="139" t="s">
        <v>493</v>
      </c>
      <c r="C1375" s="19" t="s">
        <v>40</v>
      </c>
      <c r="J1375" s="34" t="s">
        <v>0</v>
      </c>
      <c r="L1375" s="221" t="s">
        <v>41</v>
      </c>
      <c r="M1375" s="34" t="s">
        <v>478</v>
      </c>
      <c r="N1375" s="67" t="s">
        <v>479</v>
      </c>
    </row>
    <row r="1376" spans="2:14" ht="17" x14ac:dyDescent="0.2">
      <c r="B1376" s="138" t="s">
        <v>78</v>
      </c>
      <c r="C1376" s="19" t="s">
        <v>40</v>
      </c>
      <c r="J1376" s="34" t="s">
        <v>0</v>
      </c>
      <c r="L1376" s="221" t="s">
        <v>41</v>
      </c>
      <c r="M1376" s="34" t="s">
        <v>478</v>
      </c>
      <c r="N1376" s="67" t="s">
        <v>479</v>
      </c>
    </row>
    <row r="1377" spans="2:14" ht="17" x14ac:dyDescent="0.2">
      <c r="B1377" s="138" t="s">
        <v>79</v>
      </c>
      <c r="C1377" s="19" t="s">
        <v>40</v>
      </c>
      <c r="J1377" s="34" t="s">
        <v>0</v>
      </c>
      <c r="L1377" s="221" t="s">
        <v>41</v>
      </c>
      <c r="M1377" s="34" t="s">
        <v>478</v>
      </c>
      <c r="N1377" s="67" t="s">
        <v>479</v>
      </c>
    </row>
    <row r="1378" spans="2:14" ht="17" x14ac:dyDescent="0.2">
      <c r="B1378" s="138" t="s">
        <v>264</v>
      </c>
      <c r="C1378" s="19" t="s">
        <v>40</v>
      </c>
      <c r="J1378" s="34" t="s">
        <v>0</v>
      </c>
      <c r="L1378" s="221" t="s">
        <v>41</v>
      </c>
      <c r="M1378" s="34" t="s">
        <v>478</v>
      </c>
      <c r="N1378" s="67" t="s">
        <v>479</v>
      </c>
    </row>
    <row r="1379" spans="2:14" ht="17" x14ac:dyDescent="0.2">
      <c r="B1379" s="138" t="s">
        <v>81</v>
      </c>
      <c r="C1379" s="19" t="s">
        <v>40</v>
      </c>
      <c r="J1379" s="34" t="s">
        <v>0</v>
      </c>
      <c r="L1379" s="221" t="s">
        <v>41</v>
      </c>
      <c r="M1379" s="34" t="s">
        <v>478</v>
      </c>
      <c r="N1379" s="67" t="s">
        <v>479</v>
      </c>
    </row>
    <row r="1380" spans="2:14" ht="17" x14ac:dyDescent="0.2">
      <c r="B1380" s="138" t="s">
        <v>82</v>
      </c>
      <c r="C1380" s="19" t="s">
        <v>40</v>
      </c>
      <c r="J1380" s="34" t="s">
        <v>0</v>
      </c>
      <c r="L1380" s="221" t="s">
        <v>41</v>
      </c>
      <c r="M1380" s="34" t="s">
        <v>478</v>
      </c>
      <c r="N1380" s="67" t="s">
        <v>479</v>
      </c>
    </row>
    <row r="1381" spans="2:14" ht="17" x14ac:dyDescent="0.2">
      <c r="B1381" s="138" t="s">
        <v>494</v>
      </c>
      <c r="C1381" s="19" t="s">
        <v>40</v>
      </c>
      <c r="J1381" s="34" t="s">
        <v>0</v>
      </c>
      <c r="L1381" s="221" t="s">
        <v>41</v>
      </c>
      <c r="M1381" s="34" t="s">
        <v>478</v>
      </c>
      <c r="N1381" s="67" t="s">
        <v>479</v>
      </c>
    </row>
    <row r="1382" spans="2:14" ht="17" x14ac:dyDescent="0.2">
      <c r="B1382" s="138" t="s">
        <v>495</v>
      </c>
      <c r="C1382" s="19" t="s">
        <v>40</v>
      </c>
      <c r="J1382" s="34" t="s">
        <v>0</v>
      </c>
      <c r="L1382" s="221" t="s">
        <v>41</v>
      </c>
      <c r="M1382" s="34" t="s">
        <v>478</v>
      </c>
      <c r="N1382" s="67" t="s">
        <v>479</v>
      </c>
    </row>
    <row r="1383" spans="2:14" ht="17" x14ac:dyDescent="0.2">
      <c r="B1383" s="242" t="s">
        <v>496</v>
      </c>
      <c r="C1383" s="19"/>
    </row>
    <row r="1384" spans="2:14" ht="17" x14ac:dyDescent="0.2">
      <c r="B1384" s="147" t="s">
        <v>134</v>
      </c>
      <c r="C1384" s="19" t="s">
        <v>40</v>
      </c>
      <c r="J1384" s="34" t="s">
        <v>0</v>
      </c>
      <c r="L1384" s="221" t="s">
        <v>41</v>
      </c>
      <c r="M1384" s="34" t="s">
        <v>478</v>
      </c>
      <c r="N1384" s="67" t="s">
        <v>479</v>
      </c>
    </row>
    <row r="1385" spans="2:14" ht="17" x14ac:dyDescent="0.2">
      <c r="B1385" s="139" t="s">
        <v>497</v>
      </c>
      <c r="C1385" s="19" t="s">
        <v>40</v>
      </c>
      <c r="J1385" s="34" t="s">
        <v>0</v>
      </c>
      <c r="L1385" s="221" t="s">
        <v>41</v>
      </c>
      <c r="M1385" s="34" t="s">
        <v>478</v>
      </c>
      <c r="N1385" s="67" t="s">
        <v>479</v>
      </c>
    </row>
    <row r="1386" spans="2:14" ht="17" x14ac:dyDescent="0.2">
      <c r="B1386" s="138" t="s">
        <v>498</v>
      </c>
      <c r="C1386" s="19" t="s">
        <v>40</v>
      </c>
      <c r="J1386" s="34" t="s">
        <v>0</v>
      </c>
      <c r="L1386" s="221" t="s">
        <v>41</v>
      </c>
      <c r="M1386" s="34" t="s">
        <v>478</v>
      </c>
      <c r="N1386" s="67" t="s">
        <v>479</v>
      </c>
    </row>
    <row r="1387" spans="2:14" ht="17" x14ac:dyDescent="0.2">
      <c r="B1387" s="139" t="s">
        <v>499</v>
      </c>
      <c r="C1387" s="19" t="s">
        <v>40</v>
      </c>
      <c r="J1387" s="34" t="s">
        <v>0</v>
      </c>
      <c r="L1387" s="221" t="s">
        <v>41</v>
      </c>
      <c r="M1387" s="34" t="s">
        <v>478</v>
      </c>
      <c r="N1387" s="67" t="s">
        <v>479</v>
      </c>
    </row>
    <row r="1388" spans="2:14" x14ac:dyDescent="0.2">
      <c r="B1388" s="140" t="s">
        <v>86</v>
      </c>
    </row>
    <row r="1389" spans="2:14" x14ac:dyDescent="0.2">
      <c r="B1389" s="140" t="s">
        <v>500</v>
      </c>
    </row>
    <row r="1390" spans="2:14" ht="17" x14ac:dyDescent="0.2">
      <c r="B1390" s="141" t="s">
        <v>87</v>
      </c>
      <c r="C1390" s="19" t="s">
        <v>40</v>
      </c>
      <c r="J1390" s="34" t="s">
        <v>0</v>
      </c>
      <c r="L1390" s="221" t="s">
        <v>41</v>
      </c>
      <c r="M1390" s="34" t="s">
        <v>478</v>
      </c>
      <c r="N1390" s="67" t="s">
        <v>479</v>
      </c>
    </row>
    <row r="1391" spans="2:14" ht="32" x14ac:dyDescent="0.2">
      <c r="B1391" s="142" t="s">
        <v>102</v>
      </c>
      <c r="C1391" s="19" t="s">
        <v>40</v>
      </c>
      <c r="J1391" s="34" t="s">
        <v>0</v>
      </c>
      <c r="L1391" s="221" t="s">
        <v>41</v>
      </c>
      <c r="M1391" s="34" t="s">
        <v>478</v>
      </c>
      <c r="N1391" s="67" t="s">
        <v>479</v>
      </c>
    </row>
    <row r="1392" spans="2:14" ht="48" x14ac:dyDescent="0.2">
      <c r="B1392" s="143" t="s">
        <v>103</v>
      </c>
      <c r="C1392" s="19" t="s">
        <v>40</v>
      </c>
      <c r="J1392" s="34" t="s">
        <v>0</v>
      </c>
      <c r="L1392" s="221" t="s">
        <v>41</v>
      </c>
      <c r="M1392" s="34" t="s">
        <v>478</v>
      </c>
      <c r="N1392" s="67" t="s">
        <v>479</v>
      </c>
    </row>
    <row r="1393" spans="2:14" ht="17" x14ac:dyDescent="0.2">
      <c r="B1393" s="144" t="s">
        <v>96</v>
      </c>
      <c r="C1393" s="19" t="s">
        <v>40</v>
      </c>
      <c r="J1393" s="34" t="s">
        <v>0</v>
      </c>
      <c r="L1393" s="221" t="s">
        <v>41</v>
      </c>
      <c r="M1393" s="34" t="s">
        <v>478</v>
      </c>
      <c r="N1393" s="67" t="s">
        <v>479</v>
      </c>
    </row>
    <row r="1394" spans="2:14" ht="32" x14ac:dyDescent="0.2">
      <c r="B1394" s="143" t="s">
        <v>104</v>
      </c>
      <c r="C1394" s="19" t="s">
        <v>40</v>
      </c>
      <c r="J1394" s="34" t="s">
        <v>0</v>
      </c>
      <c r="L1394" s="221" t="s">
        <v>41</v>
      </c>
      <c r="M1394" s="34" t="s">
        <v>478</v>
      </c>
      <c r="N1394" s="67" t="s">
        <v>479</v>
      </c>
    </row>
    <row r="1395" spans="2:14" ht="32" x14ac:dyDescent="0.2">
      <c r="B1395" s="142" t="s">
        <v>105</v>
      </c>
      <c r="C1395" s="19" t="s">
        <v>40</v>
      </c>
      <c r="J1395" s="34" t="s">
        <v>0</v>
      </c>
      <c r="L1395" s="221" t="s">
        <v>41</v>
      </c>
      <c r="M1395" s="34" t="s">
        <v>478</v>
      </c>
      <c r="N1395" s="67" t="s">
        <v>479</v>
      </c>
    </row>
    <row r="1396" spans="2:14" ht="17" x14ac:dyDescent="0.2">
      <c r="B1396" s="144" t="s">
        <v>99</v>
      </c>
      <c r="C1396" s="19" t="s">
        <v>40</v>
      </c>
      <c r="J1396" s="34" t="s">
        <v>0</v>
      </c>
      <c r="L1396" s="221" t="s">
        <v>41</v>
      </c>
      <c r="M1396" s="34" t="s">
        <v>478</v>
      </c>
      <c r="N1396" s="67" t="s">
        <v>479</v>
      </c>
    </row>
    <row r="1397" spans="2:14" ht="17" x14ac:dyDescent="0.2">
      <c r="B1397" s="143" t="s">
        <v>106</v>
      </c>
      <c r="C1397" s="19" t="s">
        <v>40</v>
      </c>
      <c r="J1397" s="34" t="s">
        <v>0</v>
      </c>
      <c r="L1397" s="221" t="s">
        <v>41</v>
      </c>
      <c r="M1397" s="34" t="s">
        <v>478</v>
      </c>
      <c r="N1397" s="67" t="s">
        <v>479</v>
      </c>
    </row>
    <row r="1398" spans="2:14" x14ac:dyDescent="0.2">
      <c r="B1398" s="140" t="s">
        <v>101</v>
      </c>
    </row>
    <row r="1399" spans="2:14" ht="17" x14ac:dyDescent="0.2">
      <c r="B1399" s="141" t="s">
        <v>87</v>
      </c>
      <c r="C1399" s="19" t="s">
        <v>40</v>
      </c>
      <c r="J1399" s="34" t="s">
        <v>0</v>
      </c>
      <c r="L1399" s="221" t="s">
        <v>41</v>
      </c>
      <c r="M1399" s="34" t="s">
        <v>478</v>
      </c>
      <c r="N1399" s="67" t="s">
        <v>479</v>
      </c>
    </row>
    <row r="1400" spans="2:14" ht="32" x14ac:dyDescent="0.2">
      <c r="B1400" s="142" t="s">
        <v>102</v>
      </c>
      <c r="C1400" s="19" t="s">
        <v>40</v>
      </c>
      <c r="J1400" s="34" t="s">
        <v>0</v>
      </c>
      <c r="L1400" s="221" t="s">
        <v>41</v>
      </c>
      <c r="M1400" s="34" t="s">
        <v>478</v>
      </c>
      <c r="N1400" s="67" t="s">
        <v>479</v>
      </c>
    </row>
    <row r="1401" spans="2:14" ht="48" x14ac:dyDescent="0.2">
      <c r="B1401" s="143" t="s">
        <v>113</v>
      </c>
      <c r="C1401" s="19" t="s">
        <v>40</v>
      </c>
      <c r="J1401" s="34" t="s">
        <v>0</v>
      </c>
      <c r="L1401" s="221" t="s">
        <v>41</v>
      </c>
      <c r="M1401" s="34" t="s">
        <v>478</v>
      </c>
      <c r="N1401" s="67" t="s">
        <v>479</v>
      </c>
    </row>
    <row r="1402" spans="2:14" ht="17" x14ac:dyDescent="0.2">
      <c r="B1402" s="144" t="s">
        <v>96</v>
      </c>
      <c r="C1402" s="19" t="s">
        <v>40</v>
      </c>
      <c r="J1402" s="34" t="s">
        <v>0</v>
      </c>
      <c r="L1402" s="221" t="s">
        <v>41</v>
      </c>
      <c r="M1402" s="34" t="s">
        <v>478</v>
      </c>
      <c r="N1402" s="67" t="s">
        <v>479</v>
      </c>
    </row>
    <row r="1403" spans="2:14" ht="32" x14ac:dyDescent="0.2">
      <c r="B1403" s="143" t="s">
        <v>97</v>
      </c>
      <c r="C1403" s="19" t="s">
        <v>40</v>
      </c>
      <c r="J1403" s="34" t="s">
        <v>0</v>
      </c>
      <c r="L1403" s="221" t="s">
        <v>41</v>
      </c>
      <c r="M1403" s="34" t="s">
        <v>478</v>
      </c>
      <c r="N1403" s="67" t="s">
        <v>479</v>
      </c>
    </row>
    <row r="1404" spans="2:14" ht="32" x14ac:dyDescent="0.2">
      <c r="B1404" s="142" t="s">
        <v>114</v>
      </c>
      <c r="C1404" s="19" t="s">
        <v>40</v>
      </c>
      <c r="J1404" s="34" t="s">
        <v>0</v>
      </c>
      <c r="L1404" s="221" t="s">
        <v>41</v>
      </c>
      <c r="M1404" s="34" t="s">
        <v>478</v>
      </c>
      <c r="N1404" s="67" t="s">
        <v>479</v>
      </c>
    </row>
    <row r="1405" spans="2:14" ht="17" x14ac:dyDescent="0.2">
      <c r="B1405" s="144" t="s">
        <v>99</v>
      </c>
      <c r="C1405" s="19" t="s">
        <v>40</v>
      </c>
      <c r="J1405" s="34" t="s">
        <v>0</v>
      </c>
      <c r="L1405" s="221" t="s">
        <v>41</v>
      </c>
      <c r="M1405" s="34" t="s">
        <v>478</v>
      </c>
      <c r="N1405" s="67" t="s">
        <v>479</v>
      </c>
    </row>
    <row r="1406" spans="2:14" ht="17" x14ac:dyDescent="0.2">
      <c r="B1406" s="143" t="s">
        <v>115</v>
      </c>
      <c r="C1406" s="19" t="s">
        <v>40</v>
      </c>
      <c r="J1406" s="34" t="s">
        <v>0</v>
      </c>
      <c r="L1406" s="221" t="s">
        <v>41</v>
      </c>
      <c r="M1406" s="34" t="s">
        <v>478</v>
      </c>
      <c r="N1406" s="67" t="s">
        <v>479</v>
      </c>
    </row>
    <row r="1407" spans="2:14" ht="17" x14ac:dyDescent="0.2">
      <c r="B1407" s="128" t="s">
        <v>121</v>
      </c>
      <c r="C1407" s="19"/>
    </row>
    <row r="1408" spans="2:14" ht="17" x14ac:dyDescent="0.2">
      <c r="B1408" s="145" t="s">
        <v>122</v>
      </c>
      <c r="C1408" s="19" t="s">
        <v>40</v>
      </c>
      <c r="L1408" s="221"/>
      <c r="N1408" s="67"/>
    </row>
    <row r="1409" spans="2:14" ht="17" x14ac:dyDescent="0.2">
      <c r="B1409" s="139" t="s">
        <v>123</v>
      </c>
      <c r="C1409" s="19" t="s">
        <v>40</v>
      </c>
      <c r="J1409" s="34" t="s">
        <v>0</v>
      </c>
      <c r="L1409" s="221" t="s">
        <v>41</v>
      </c>
      <c r="M1409" s="34" t="s">
        <v>478</v>
      </c>
      <c r="N1409" s="67" t="s">
        <v>479</v>
      </c>
    </row>
    <row r="1410" spans="2:14" ht="17" x14ac:dyDescent="0.2">
      <c r="B1410" s="139" t="s">
        <v>124</v>
      </c>
      <c r="C1410" s="19" t="s">
        <v>40</v>
      </c>
      <c r="J1410" s="34" t="s">
        <v>0</v>
      </c>
      <c r="L1410" s="221" t="s">
        <v>41</v>
      </c>
      <c r="M1410" s="34" t="s">
        <v>478</v>
      </c>
      <c r="N1410" s="67" t="s">
        <v>479</v>
      </c>
    </row>
    <row r="1411" spans="2:14" ht="17" x14ac:dyDescent="0.2">
      <c r="B1411" s="139" t="s">
        <v>125</v>
      </c>
      <c r="C1411" s="19" t="s">
        <v>40</v>
      </c>
      <c r="J1411" s="34" t="s">
        <v>0</v>
      </c>
      <c r="L1411" s="221" t="s">
        <v>41</v>
      </c>
      <c r="M1411" s="34" t="s">
        <v>478</v>
      </c>
      <c r="N1411" s="67" t="s">
        <v>479</v>
      </c>
    </row>
    <row r="1412" spans="2:14" ht="17" x14ac:dyDescent="0.2">
      <c r="B1412" s="145" t="s">
        <v>126</v>
      </c>
      <c r="C1412" s="19" t="s">
        <v>40</v>
      </c>
      <c r="J1412" s="34" t="s">
        <v>0</v>
      </c>
      <c r="L1412" s="221" t="s">
        <v>41</v>
      </c>
      <c r="M1412" s="34" t="s">
        <v>478</v>
      </c>
      <c r="N1412" s="67" t="s">
        <v>479</v>
      </c>
    </row>
    <row r="1413" spans="2:14" ht="17" x14ac:dyDescent="0.2">
      <c r="B1413" s="138" t="s">
        <v>127</v>
      </c>
      <c r="C1413" s="19" t="s">
        <v>40</v>
      </c>
      <c r="J1413" s="34" t="s">
        <v>0</v>
      </c>
      <c r="L1413" s="221" t="s">
        <v>41</v>
      </c>
      <c r="M1413" s="34" t="s">
        <v>478</v>
      </c>
      <c r="N1413" s="67" t="s">
        <v>479</v>
      </c>
    </row>
    <row r="1414" spans="2:14" ht="33" customHeight="1" x14ac:dyDescent="0.2">
      <c r="B1414" s="138" t="s">
        <v>265</v>
      </c>
      <c r="C1414" s="19" t="s">
        <v>40</v>
      </c>
      <c r="J1414" s="34" t="s">
        <v>0</v>
      </c>
      <c r="L1414" s="221" t="s">
        <v>41</v>
      </c>
      <c r="M1414" s="34" t="s">
        <v>478</v>
      </c>
      <c r="N1414" s="67" t="s">
        <v>479</v>
      </c>
    </row>
    <row r="1415" spans="2:14" ht="17" x14ac:dyDescent="0.2">
      <c r="B1415" s="146" t="s">
        <v>129</v>
      </c>
      <c r="C1415" s="19" t="s">
        <v>40</v>
      </c>
      <c r="J1415" s="34" t="s">
        <v>0</v>
      </c>
      <c r="L1415" s="221" t="s">
        <v>41</v>
      </c>
      <c r="M1415" s="34" t="s">
        <v>478</v>
      </c>
      <c r="N1415" s="67" t="s">
        <v>479</v>
      </c>
    </row>
    <row r="1416" spans="2:14" ht="17" x14ac:dyDescent="0.2">
      <c r="B1416" s="138" t="s">
        <v>130</v>
      </c>
      <c r="C1416" s="19" t="s">
        <v>40</v>
      </c>
      <c r="J1416" s="34" t="s">
        <v>0</v>
      </c>
      <c r="L1416" s="221" t="s">
        <v>41</v>
      </c>
      <c r="M1416" s="34" t="s">
        <v>478</v>
      </c>
      <c r="N1416" s="67" t="s">
        <v>479</v>
      </c>
    </row>
    <row r="1417" spans="2:14" ht="17" x14ac:dyDescent="0.2">
      <c r="B1417" s="147" t="s">
        <v>501</v>
      </c>
      <c r="C1417" s="19" t="s">
        <v>40</v>
      </c>
      <c r="J1417" s="34" t="s">
        <v>0</v>
      </c>
      <c r="L1417" s="221" t="s">
        <v>41</v>
      </c>
      <c r="M1417" s="34" t="s">
        <v>478</v>
      </c>
      <c r="N1417" s="67" t="s">
        <v>479</v>
      </c>
    </row>
    <row r="1418" spans="2:14" ht="17" x14ac:dyDescent="0.2">
      <c r="B1418" s="147" t="s">
        <v>132</v>
      </c>
      <c r="C1418" s="19" t="s">
        <v>40</v>
      </c>
      <c r="J1418" s="34" t="s">
        <v>0</v>
      </c>
      <c r="L1418" s="221" t="s">
        <v>41</v>
      </c>
      <c r="M1418" s="34" t="s">
        <v>478</v>
      </c>
      <c r="N1418" s="67" t="s">
        <v>479</v>
      </c>
    </row>
    <row r="1419" spans="2:14" ht="17" x14ac:dyDescent="0.2">
      <c r="B1419" s="147" t="s">
        <v>134</v>
      </c>
      <c r="C1419" s="19" t="s">
        <v>40</v>
      </c>
      <c r="J1419" s="34" t="s">
        <v>0</v>
      </c>
      <c r="L1419" s="221" t="s">
        <v>41</v>
      </c>
      <c r="M1419" s="34" t="s">
        <v>478</v>
      </c>
      <c r="N1419" s="67" t="s">
        <v>479</v>
      </c>
    </row>
    <row r="1420" spans="2:14" ht="17" x14ac:dyDescent="0.2">
      <c r="B1420" s="147" t="s">
        <v>136</v>
      </c>
      <c r="C1420" s="19" t="s">
        <v>40</v>
      </c>
      <c r="J1420" s="34" t="s">
        <v>0</v>
      </c>
      <c r="L1420" s="221" t="s">
        <v>41</v>
      </c>
      <c r="M1420" s="34" t="s">
        <v>478</v>
      </c>
      <c r="N1420" s="67" t="s">
        <v>479</v>
      </c>
    </row>
    <row r="1421" spans="2:14" ht="23" x14ac:dyDescent="0.3">
      <c r="B1421" s="148" t="s">
        <v>137</v>
      </c>
      <c r="C1421" s="19"/>
    </row>
    <row r="1422" spans="2:14" ht="23" x14ac:dyDescent="0.3">
      <c r="B1422" s="148" t="s">
        <v>138</v>
      </c>
      <c r="C1422" s="19"/>
    </row>
    <row r="1423" spans="2:14" ht="17" x14ac:dyDescent="0.2">
      <c r="B1423" s="147" t="s">
        <v>139</v>
      </c>
      <c r="C1423" s="19" t="s">
        <v>40</v>
      </c>
      <c r="J1423" s="34" t="s">
        <v>0</v>
      </c>
      <c r="L1423" s="221" t="s">
        <v>41</v>
      </c>
      <c r="M1423" s="34" t="s">
        <v>478</v>
      </c>
      <c r="N1423" s="67" t="s">
        <v>479</v>
      </c>
    </row>
    <row r="1424" spans="2:14" ht="17" x14ac:dyDescent="0.2">
      <c r="B1424" s="147" t="s">
        <v>140</v>
      </c>
      <c r="C1424" s="19" t="s">
        <v>40</v>
      </c>
      <c r="J1424" s="34" t="s">
        <v>0</v>
      </c>
      <c r="L1424" s="221" t="s">
        <v>41</v>
      </c>
      <c r="M1424" s="34" t="s">
        <v>478</v>
      </c>
      <c r="N1424" s="67" t="s">
        <v>479</v>
      </c>
    </row>
    <row r="1425" spans="2:14" ht="17" x14ac:dyDescent="0.2">
      <c r="B1425" s="147" t="s">
        <v>141</v>
      </c>
      <c r="C1425" s="19" t="s">
        <v>40</v>
      </c>
      <c r="J1425" s="34" t="s">
        <v>0</v>
      </c>
      <c r="L1425" s="221" t="s">
        <v>41</v>
      </c>
      <c r="M1425" s="34" t="s">
        <v>478</v>
      </c>
      <c r="N1425" s="67" t="s">
        <v>479</v>
      </c>
    </row>
    <row r="1426" spans="2:14" ht="17" x14ac:dyDescent="0.2">
      <c r="B1426" s="147" t="s">
        <v>266</v>
      </c>
      <c r="C1426" s="19" t="s">
        <v>40</v>
      </c>
      <c r="J1426" s="34" t="s">
        <v>0</v>
      </c>
      <c r="L1426" s="221" t="s">
        <v>41</v>
      </c>
      <c r="M1426" s="34" t="s">
        <v>478</v>
      </c>
      <c r="N1426" s="67" t="s">
        <v>479</v>
      </c>
    </row>
    <row r="1427" spans="2:14" ht="17" x14ac:dyDescent="0.2">
      <c r="B1427" s="147" t="s">
        <v>143</v>
      </c>
      <c r="C1427" s="19" t="s">
        <v>40</v>
      </c>
      <c r="J1427" s="34" t="s">
        <v>0</v>
      </c>
      <c r="L1427" s="221" t="s">
        <v>41</v>
      </c>
      <c r="M1427" s="34" t="s">
        <v>478</v>
      </c>
      <c r="N1427" s="67" t="s">
        <v>479</v>
      </c>
    </row>
    <row r="1428" spans="2:14" ht="23" x14ac:dyDescent="0.3">
      <c r="B1428" s="148" t="s">
        <v>144</v>
      </c>
      <c r="C1428" s="19"/>
    </row>
    <row r="1429" spans="2:14" ht="17" x14ac:dyDescent="0.2">
      <c r="B1429" s="147" t="s">
        <v>145</v>
      </c>
      <c r="C1429" s="19" t="s">
        <v>40</v>
      </c>
      <c r="J1429" s="34" t="s">
        <v>0</v>
      </c>
      <c r="L1429" s="221" t="s">
        <v>41</v>
      </c>
      <c r="M1429" s="34" t="s">
        <v>478</v>
      </c>
      <c r="N1429" s="67" t="s">
        <v>479</v>
      </c>
    </row>
    <row r="1430" spans="2:14" ht="17" x14ac:dyDescent="0.2">
      <c r="B1430" s="147" t="s">
        <v>146</v>
      </c>
      <c r="C1430" s="19" t="s">
        <v>40</v>
      </c>
      <c r="J1430" s="34" t="s">
        <v>0</v>
      </c>
      <c r="L1430" s="221" t="s">
        <v>41</v>
      </c>
      <c r="M1430" s="34" t="s">
        <v>478</v>
      </c>
      <c r="N1430" s="67" t="s">
        <v>479</v>
      </c>
    </row>
    <row r="1431" spans="2:14" ht="34" x14ac:dyDescent="0.2">
      <c r="B1431" s="147" t="s">
        <v>267</v>
      </c>
      <c r="C1431" s="19" t="s">
        <v>40</v>
      </c>
      <c r="J1431" s="34" t="s">
        <v>0</v>
      </c>
      <c r="L1431" s="221" t="s">
        <v>41</v>
      </c>
      <c r="M1431" s="34" t="s">
        <v>478</v>
      </c>
      <c r="N1431" s="67" t="s">
        <v>479</v>
      </c>
    </row>
    <row r="1432" spans="2:14" ht="17" x14ac:dyDescent="0.2">
      <c r="B1432" s="147" t="s">
        <v>148</v>
      </c>
      <c r="C1432" s="19" t="s">
        <v>40</v>
      </c>
      <c r="J1432" s="34" t="s">
        <v>0</v>
      </c>
      <c r="L1432" s="221" t="s">
        <v>41</v>
      </c>
      <c r="M1432" s="34" t="s">
        <v>478</v>
      </c>
      <c r="N1432" s="67" t="s">
        <v>479</v>
      </c>
    </row>
    <row r="1433" spans="2:14" ht="17" x14ac:dyDescent="0.2">
      <c r="B1433" s="147" t="s">
        <v>149</v>
      </c>
      <c r="C1433" s="19" t="s">
        <v>40</v>
      </c>
      <c r="J1433" s="34" t="s">
        <v>0</v>
      </c>
      <c r="L1433" s="221" t="s">
        <v>41</v>
      </c>
      <c r="M1433" s="34" t="s">
        <v>478</v>
      </c>
      <c r="N1433" s="67" t="s">
        <v>479</v>
      </c>
    </row>
    <row r="1434" spans="2:14" ht="20" x14ac:dyDescent="0.2">
      <c r="B1434" s="177" t="s">
        <v>51</v>
      </c>
      <c r="C1434" s="19"/>
    </row>
    <row r="1435" spans="2:14" ht="17" x14ac:dyDescent="0.2">
      <c r="B1435" s="128" t="s">
        <v>502</v>
      </c>
    </row>
    <row r="1436" spans="2:14" ht="17" x14ac:dyDescent="0.2">
      <c r="B1436" s="132" t="s">
        <v>60</v>
      </c>
      <c r="C1436" s="19"/>
    </row>
    <row r="1437" spans="2:14" ht="17" x14ac:dyDescent="0.2">
      <c r="B1437" s="135" t="s">
        <v>61</v>
      </c>
      <c r="C1437" s="19" t="s">
        <v>40</v>
      </c>
      <c r="J1437" s="34" t="s">
        <v>0</v>
      </c>
      <c r="L1437" s="221" t="s">
        <v>41</v>
      </c>
      <c r="M1437" s="34" t="s">
        <v>478</v>
      </c>
      <c r="N1437" s="67" t="s">
        <v>479</v>
      </c>
    </row>
    <row r="1438" spans="2:14" ht="17" x14ac:dyDescent="0.2">
      <c r="B1438" s="136" t="s">
        <v>62</v>
      </c>
      <c r="C1438" s="19" t="s">
        <v>40</v>
      </c>
      <c r="J1438" s="34" t="s">
        <v>0</v>
      </c>
      <c r="L1438" s="221" t="s">
        <v>41</v>
      </c>
      <c r="M1438" s="34" t="s">
        <v>478</v>
      </c>
      <c r="N1438" s="67" t="s">
        <v>479</v>
      </c>
    </row>
    <row r="1439" spans="2:14" ht="96" x14ac:dyDescent="0.2">
      <c r="B1439" s="137" t="s">
        <v>63</v>
      </c>
      <c r="C1439" s="19" t="s">
        <v>40</v>
      </c>
      <c r="J1439" s="34" t="s">
        <v>0</v>
      </c>
      <c r="L1439" s="221" t="s">
        <v>41</v>
      </c>
      <c r="M1439" s="34" t="s">
        <v>478</v>
      </c>
      <c r="N1439" s="67" t="s">
        <v>479</v>
      </c>
    </row>
    <row r="1440" spans="2:14" ht="17" x14ac:dyDescent="0.2">
      <c r="B1440" s="136" t="s">
        <v>64</v>
      </c>
      <c r="C1440" s="19" t="s">
        <v>40</v>
      </c>
      <c r="J1440" s="34" t="s">
        <v>0</v>
      </c>
      <c r="L1440" s="221" t="s">
        <v>41</v>
      </c>
      <c r="M1440" s="34" t="s">
        <v>478</v>
      </c>
      <c r="N1440" s="67" t="s">
        <v>479</v>
      </c>
    </row>
    <row r="1441" spans="2:14" ht="20" x14ac:dyDescent="0.25">
      <c r="B1441" s="149" t="s">
        <v>150</v>
      </c>
      <c r="C1441" s="19"/>
    </row>
    <row r="1442" spans="2:14" x14ac:dyDescent="0.2">
      <c r="B1442" s="150" t="s">
        <v>151</v>
      </c>
      <c r="C1442" s="19"/>
    </row>
    <row r="1443" spans="2:14" ht="17" x14ac:dyDescent="0.2">
      <c r="B1443" s="151" t="s">
        <v>152</v>
      </c>
      <c r="C1443" s="19" t="s">
        <v>40</v>
      </c>
      <c r="J1443" s="34" t="s">
        <v>0</v>
      </c>
      <c r="L1443" s="221" t="s">
        <v>41</v>
      </c>
      <c r="M1443" s="34" t="s">
        <v>478</v>
      </c>
      <c r="N1443" s="67" t="s">
        <v>479</v>
      </c>
    </row>
    <row r="1444" spans="2:14" ht="17" x14ac:dyDescent="0.2">
      <c r="B1444" s="151" t="s">
        <v>153</v>
      </c>
      <c r="C1444" s="19" t="s">
        <v>40</v>
      </c>
      <c r="J1444" s="34" t="s">
        <v>0</v>
      </c>
      <c r="L1444" s="221" t="s">
        <v>41</v>
      </c>
      <c r="M1444" s="34" t="s">
        <v>478</v>
      </c>
      <c r="N1444" s="67" t="s">
        <v>479</v>
      </c>
    </row>
    <row r="1445" spans="2:14" ht="17" x14ac:dyDescent="0.2">
      <c r="B1445" s="152" t="s">
        <v>154</v>
      </c>
      <c r="C1445" s="19" t="s">
        <v>40</v>
      </c>
      <c r="J1445" s="34" t="s">
        <v>0</v>
      </c>
      <c r="L1445" s="221" t="s">
        <v>41</v>
      </c>
      <c r="M1445" s="34" t="s">
        <v>478</v>
      </c>
      <c r="N1445" s="67" t="s">
        <v>479</v>
      </c>
    </row>
    <row r="1446" spans="2:14" ht="17" x14ac:dyDescent="0.2">
      <c r="B1446" s="143" t="s">
        <v>155</v>
      </c>
      <c r="C1446" s="19" t="s">
        <v>40</v>
      </c>
      <c r="J1446" s="34" t="s">
        <v>0</v>
      </c>
      <c r="L1446" s="221" t="s">
        <v>41</v>
      </c>
      <c r="M1446" s="34" t="s">
        <v>478</v>
      </c>
      <c r="N1446" s="67" t="s">
        <v>479</v>
      </c>
    </row>
    <row r="1447" spans="2:14" x14ac:dyDescent="0.2">
      <c r="B1447" s="153" t="s">
        <v>156</v>
      </c>
    </row>
    <row r="1448" spans="2:14" x14ac:dyDescent="0.2">
      <c r="B1448" s="153" t="s">
        <v>157</v>
      </c>
      <c r="C1448" s="19"/>
    </row>
    <row r="1449" spans="2:14" ht="17" x14ac:dyDescent="0.2">
      <c r="B1449" s="154" t="s">
        <v>158</v>
      </c>
      <c r="C1449" s="19" t="s">
        <v>40</v>
      </c>
      <c r="J1449" s="34" t="s">
        <v>0</v>
      </c>
      <c r="L1449" s="221" t="s">
        <v>41</v>
      </c>
      <c r="M1449" s="34" t="s">
        <v>478</v>
      </c>
      <c r="N1449" s="67" t="s">
        <v>479</v>
      </c>
    </row>
    <row r="1450" spans="2:14" ht="17" x14ac:dyDescent="0.2">
      <c r="B1450" s="155" t="s">
        <v>159</v>
      </c>
      <c r="C1450" s="19" t="s">
        <v>40</v>
      </c>
      <c r="J1450" s="34" t="s">
        <v>0</v>
      </c>
      <c r="L1450" s="221" t="s">
        <v>41</v>
      </c>
      <c r="M1450" s="34" t="s">
        <v>478</v>
      </c>
      <c r="N1450" s="67" t="s">
        <v>479</v>
      </c>
    </row>
    <row r="1451" spans="2:14" ht="17" x14ac:dyDescent="0.2">
      <c r="B1451" s="151" t="s">
        <v>160</v>
      </c>
      <c r="C1451" s="19" t="s">
        <v>40</v>
      </c>
      <c r="J1451" s="34" t="s">
        <v>0</v>
      </c>
      <c r="L1451" s="221" t="s">
        <v>41</v>
      </c>
      <c r="M1451" s="34" t="s">
        <v>478</v>
      </c>
      <c r="N1451" s="67" t="s">
        <v>479</v>
      </c>
    </row>
    <row r="1452" spans="2:14" x14ac:dyDescent="0.2">
      <c r="B1452" s="153" t="s">
        <v>161</v>
      </c>
      <c r="C1452" s="19"/>
    </row>
    <row r="1453" spans="2:14" x14ac:dyDescent="0.2">
      <c r="B1453" s="157" t="s">
        <v>168</v>
      </c>
    </row>
    <row r="1454" spans="2:14" ht="51" x14ac:dyDescent="0.2">
      <c r="B1454" s="158" t="s">
        <v>169</v>
      </c>
      <c r="C1454" s="19" t="s">
        <v>40</v>
      </c>
      <c r="J1454" s="34" t="s">
        <v>0</v>
      </c>
      <c r="L1454" s="221" t="s">
        <v>41</v>
      </c>
      <c r="M1454" s="34" t="s">
        <v>478</v>
      </c>
      <c r="N1454" s="67" t="s">
        <v>479</v>
      </c>
    </row>
    <row r="1455" spans="2:14" ht="17" x14ac:dyDescent="0.2">
      <c r="B1455" s="159" t="s">
        <v>170</v>
      </c>
      <c r="C1455" s="19" t="s">
        <v>40</v>
      </c>
      <c r="J1455" s="34" t="s">
        <v>0</v>
      </c>
      <c r="L1455" s="221" t="s">
        <v>41</v>
      </c>
      <c r="M1455" s="34" t="s">
        <v>478</v>
      </c>
      <c r="N1455" s="67" t="s">
        <v>479</v>
      </c>
    </row>
    <row r="1456" spans="2:14" x14ac:dyDescent="0.2">
      <c r="B1456" s="156" t="s">
        <v>165</v>
      </c>
      <c r="C1456" s="19"/>
    </row>
    <row r="1457" spans="2:14" ht="48" x14ac:dyDescent="0.2">
      <c r="B1457" s="151" t="s">
        <v>166</v>
      </c>
      <c r="C1457" s="19" t="s">
        <v>40</v>
      </c>
      <c r="J1457" s="34" t="s">
        <v>0</v>
      </c>
      <c r="L1457" s="221" t="s">
        <v>41</v>
      </c>
      <c r="M1457" s="34" t="s">
        <v>478</v>
      </c>
      <c r="N1457" s="67" t="s">
        <v>479</v>
      </c>
    </row>
    <row r="1458" spans="2:14" ht="17" x14ac:dyDescent="0.2">
      <c r="B1458" s="138" t="s">
        <v>167</v>
      </c>
      <c r="C1458" s="19" t="s">
        <v>40</v>
      </c>
      <c r="J1458" s="34" t="s">
        <v>0</v>
      </c>
      <c r="L1458" s="221" t="s">
        <v>41</v>
      </c>
      <c r="M1458" s="34" t="s">
        <v>478</v>
      </c>
      <c r="N1458" s="67" t="s">
        <v>479</v>
      </c>
    </row>
    <row r="1459" spans="2:14" x14ac:dyDescent="0.2">
      <c r="B1459" s="157" t="s">
        <v>171</v>
      </c>
      <c r="C1459" s="19"/>
    </row>
    <row r="1460" spans="2:14" ht="48" x14ac:dyDescent="0.2">
      <c r="B1460" s="144" t="s">
        <v>172</v>
      </c>
      <c r="C1460" s="19" t="s">
        <v>40</v>
      </c>
      <c r="J1460" s="34" t="s">
        <v>0</v>
      </c>
      <c r="L1460" s="221" t="s">
        <v>41</v>
      </c>
      <c r="M1460" s="34" t="s">
        <v>478</v>
      </c>
      <c r="N1460" s="67" t="s">
        <v>479</v>
      </c>
    </row>
    <row r="1461" spans="2:14" ht="17" x14ac:dyDescent="0.2">
      <c r="B1461" s="160" t="s">
        <v>173</v>
      </c>
      <c r="C1461" s="19" t="s">
        <v>40</v>
      </c>
      <c r="J1461" s="34" t="s">
        <v>0</v>
      </c>
      <c r="L1461" s="221" t="s">
        <v>41</v>
      </c>
      <c r="M1461" s="34" t="s">
        <v>478</v>
      </c>
      <c r="N1461" s="67" t="s">
        <v>479</v>
      </c>
    </row>
    <row r="1462" spans="2:14" ht="17" x14ac:dyDescent="0.2">
      <c r="B1462" s="161" t="s">
        <v>174</v>
      </c>
    </row>
    <row r="1463" spans="2:14" ht="51" x14ac:dyDescent="0.2">
      <c r="B1463" s="161" t="s">
        <v>175</v>
      </c>
      <c r="C1463" s="19"/>
    </row>
    <row r="1464" spans="2:14" ht="17" x14ac:dyDescent="0.2">
      <c r="B1464" s="131" t="s">
        <v>176</v>
      </c>
      <c r="C1464" s="19" t="s">
        <v>40</v>
      </c>
      <c r="J1464" s="34" t="s">
        <v>0</v>
      </c>
      <c r="L1464" s="221" t="s">
        <v>41</v>
      </c>
      <c r="M1464" s="34" t="s">
        <v>478</v>
      </c>
      <c r="N1464" s="67" t="s">
        <v>479</v>
      </c>
    </row>
    <row r="1465" spans="2:14" ht="17" x14ac:dyDescent="0.2">
      <c r="B1465" s="160" t="s">
        <v>177</v>
      </c>
      <c r="C1465" s="19" t="s">
        <v>40</v>
      </c>
      <c r="J1465" s="34" t="s">
        <v>0</v>
      </c>
      <c r="L1465" s="221" t="s">
        <v>41</v>
      </c>
      <c r="M1465" s="34" t="s">
        <v>478</v>
      </c>
      <c r="N1465" s="67" t="s">
        <v>479</v>
      </c>
    </row>
    <row r="1466" spans="2:14" ht="17" x14ac:dyDescent="0.2">
      <c r="B1466" s="131" t="s">
        <v>180</v>
      </c>
      <c r="C1466" s="19" t="s">
        <v>40</v>
      </c>
      <c r="J1466" s="34" t="s">
        <v>0</v>
      </c>
      <c r="L1466" s="221" t="s">
        <v>41</v>
      </c>
      <c r="M1466" s="34" t="s">
        <v>478</v>
      </c>
      <c r="N1466" s="67" t="s">
        <v>479</v>
      </c>
    </row>
    <row r="1467" spans="2:14" ht="68" x14ac:dyDescent="0.2">
      <c r="B1467" s="131" t="s">
        <v>181</v>
      </c>
      <c r="C1467" s="19" t="s">
        <v>40</v>
      </c>
      <c r="J1467" s="34" t="s">
        <v>0</v>
      </c>
      <c r="L1467" s="221" t="s">
        <v>41</v>
      </c>
      <c r="M1467" s="34" t="s">
        <v>478</v>
      </c>
      <c r="N1467" s="67" t="s">
        <v>479</v>
      </c>
    </row>
    <row r="1468" spans="2:14" ht="17" x14ac:dyDescent="0.2">
      <c r="B1468" s="160" t="s">
        <v>182</v>
      </c>
      <c r="C1468" s="19" t="s">
        <v>40</v>
      </c>
      <c r="J1468" s="34" t="s">
        <v>0</v>
      </c>
      <c r="L1468" s="221" t="s">
        <v>41</v>
      </c>
      <c r="M1468" s="34" t="s">
        <v>478</v>
      </c>
      <c r="N1468" s="67" t="s">
        <v>479</v>
      </c>
    </row>
    <row r="1469" spans="2:14" ht="68" x14ac:dyDescent="0.2">
      <c r="B1469" s="160" t="s">
        <v>504</v>
      </c>
      <c r="C1469" s="19" t="s">
        <v>40</v>
      </c>
      <c r="J1469" s="34" t="s">
        <v>0</v>
      </c>
      <c r="L1469" s="221" t="s">
        <v>41</v>
      </c>
      <c r="M1469" s="34" t="s">
        <v>478</v>
      </c>
      <c r="N1469" s="67" t="s">
        <v>479</v>
      </c>
    </row>
    <row r="1470" spans="2:14" ht="17" x14ac:dyDescent="0.2">
      <c r="B1470" s="162" t="s">
        <v>184</v>
      </c>
      <c r="C1470" s="19" t="s">
        <v>40</v>
      </c>
      <c r="J1470" s="34" t="s">
        <v>0</v>
      </c>
      <c r="L1470" s="221" t="s">
        <v>41</v>
      </c>
      <c r="M1470" s="34" t="s">
        <v>478</v>
      </c>
      <c r="N1470" s="67" t="s">
        <v>479</v>
      </c>
    </row>
    <row r="1471" spans="2:14" ht="17" x14ac:dyDescent="0.2">
      <c r="B1471" s="162" t="s">
        <v>185</v>
      </c>
      <c r="C1471" s="19" t="s">
        <v>40</v>
      </c>
      <c r="J1471" s="34" t="s">
        <v>0</v>
      </c>
      <c r="L1471" s="221" t="s">
        <v>41</v>
      </c>
      <c r="M1471" s="34" t="s">
        <v>478</v>
      </c>
      <c r="N1471" s="67" t="s">
        <v>479</v>
      </c>
    </row>
  </sheetData>
  <mergeCells count="21">
    <mergeCell ref="B3:C3"/>
    <mergeCell ref="A6:A8"/>
    <mergeCell ref="A9:B9"/>
    <mergeCell ref="A10:B10"/>
    <mergeCell ref="A13:A15"/>
    <mergeCell ref="B13:B15"/>
    <mergeCell ref="C13:C15"/>
    <mergeCell ref="S13:S15"/>
    <mergeCell ref="D14:F14"/>
    <mergeCell ref="G14:G15"/>
    <mergeCell ref="H14:H15"/>
    <mergeCell ref="I14:K14"/>
    <mergeCell ref="L14:L15"/>
    <mergeCell ref="M14:M15"/>
    <mergeCell ref="P14:P15"/>
    <mergeCell ref="Q14:Q15"/>
    <mergeCell ref="R14:R15"/>
    <mergeCell ref="D13:H13"/>
    <mergeCell ref="I13:M13"/>
    <mergeCell ref="O13:O15"/>
    <mergeCell ref="P13:R13"/>
  </mergeCells>
  <conditionalFormatting sqref="B152:B161">
    <cfRule type="containsText" dxfId="100" priority="191" operator="containsText" text="Medium">
      <formula>NOT(ISERROR(SEARCH("Medium",B152)))</formula>
    </cfRule>
    <cfRule type="containsText" dxfId="99" priority="190" operator="containsText" text="Low">
      <formula>NOT(ISERROR(SEARCH("Low",B152)))</formula>
    </cfRule>
    <cfRule type="containsText" dxfId="98" priority="192" operator="containsText" text="High">
      <formula>NOT(ISERROR(SEARCH("High",B152)))</formula>
    </cfRule>
  </conditionalFormatting>
  <conditionalFormatting sqref="B280:B285">
    <cfRule type="containsText" dxfId="97" priority="180" operator="containsText" text="High">
      <formula>NOT(ISERROR(SEARCH("High",B280)))</formula>
    </cfRule>
    <cfRule type="containsText" dxfId="96" priority="179" operator="containsText" text="Medium">
      <formula>NOT(ISERROR(SEARCH("Medium",B280)))</formula>
    </cfRule>
    <cfRule type="containsText" dxfId="95" priority="178" operator="containsText" text="Low">
      <formula>NOT(ISERROR(SEARCH("Low",B280)))</formula>
    </cfRule>
  </conditionalFormatting>
  <conditionalFormatting sqref="B425:B434">
    <cfRule type="containsText" dxfId="94" priority="163" operator="containsText" text="Low">
      <formula>NOT(ISERROR(SEARCH("Low",B425)))</formula>
    </cfRule>
    <cfRule type="containsText" dxfId="93" priority="165" operator="containsText" text="High">
      <formula>NOT(ISERROR(SEARCH("High",B425)))</formula>
    </cfRule>
    <cfRule type="containsText" dxfId="92" priority="164" operator="containsText" text="Medium">
      <formula>NOT(ISERROR(SEARCH("Medium",B425)))</formula>
    </cfRule>
  </conditionalFormatting>
  <conditionalFormatting sqref="B575:B584">
    <cfRule type="containsText" dxfId="91" priority="150" operator="containsText" text="High">
      <formula>NOT(ISERROR(SEARCH("High",B575)))</formula>
    </cfRule>
    <cfRule type="containsText" dxfId="90" priority="149" operator="containsText" text="Medium">
      <formula>NOT(ISERROR(SEARCH("Medium",B575)))</formula>
    </cfRule>
    <cfRule type="containsText" dxfId="89" priority="148" operator="containsText" text="Low">
      <formula>NOT(ISERROR(SEARCH("Low",B575)))</formula>
    </cfRule>
  </conditionalFormatting>
  <conditionalFormatting sqref="B739:B750">
    <cfRule type="containsText" dxfId="88" priority="120" operator="containsText" text="High">
      <formula>NOT(ISERROR(SEARCH("High",B739)))</formula>
    </cfRule>
    <cfRule type="containsText" dxfId="87" priority="119" operator="containsText" text="Medium">
      <formula>NOT(ISERROR(SEARCH("Medium",B739)))</formula>
    </cfRule>
    <cfRule type="containsText" dxfId="86" priority="118" operator="containsText" text="Low">
      <formula>NOT(ISERROR(SEARCH("Low",B739)))</formula>
    </cfRule>
  </conditionalFormatting>
  <conditionalFormatting sqref="B894:B903">
    <cfRule type="containsText" dxfId="85" priority="105" operator="containsText" text="High">
      <formula>NOT(ISERROR(SEARCH("High",B894)))</formula>
    </cfRule>
    <cfRule type="containsText" dxfId="84" priority="103" operator="containsText" text="Low">
      <formula>NOT(ISERROR(SEARCH("Low",B894)))</formula>
    </cfRule>
    <cfRule type="containsText" dxfId="83" priority="104" operator="containsText" text="Medium">
      <formula>NOT(ISERROR(SEARCH("Medium",B894)))</formula>
    </cfRule>
  </conditionalFormatting>
  <conditionalFormatting sqref="B1061:B1072">
    <cfRule type="containsText" dxfId="82" priority="66" operator="containsText" text="High">
      <formula>NOT(ISERROR(SEARCH("High",B1061)))</formula>
    </cfRule>
    <cfRule type="containsText" dxfId="81" priority="65" operator="containsText" text="Medium">
      <formula>NOT(ISERROR(SEARCH("Medium",B1061)))</formula>
    </cfRule>
    <cfRule type="containsText" dxfId="80" priority="64" operator="containsText" text="Low">
      <formula>NOT(ISERROR(SEARCH("Low",B1061)))</formula>
    </cfRule>
  </conditionalFormatting>
  <conditionalFormatting sqref="B1202:B1209">
    <cfRule type="containsText" dxfId="79" priority="37" operator="containsText" text="Low">
      <formula>NOT(ISERROR(SEARCH("Low",B1202)))</formula>
    </cfRule>
    <cfRule type="containsText" dxfId="78" priority="39" operator="containsText" text="High">
      <formula>NOT(ISERROR(SEARCH("High",B1202)))</formula>
    </cfRule>
    <cfRule type="containsText" dxfId="77" priority="38" operator="containsText" text="Medium">
      <formula>NOT(ISERROR(SEARCH("Medium",B1202)))</formula>
    </cfRule>
  </conditionalFormatting>
  <conditionalFormatting sqref="B1328:B1333">
    <cfRule type="containsText" dxfId="76" priority="28" operator="containsText" text="Low">
      <formula>NOT(ISERROR(SEARCH("Low",B1328)))</formula>
    </cfRule>
    <cfRule type="containsText" dxfId="75" priority="30" operator="containsText" text="High">
      <formula>NOT(ISERROR(SEARCH("High",B1328)))</formula>
    </cfRule>
    <cfRule type="containsText" dxfId="74" priority="29" operator="containsText" text="Medium">
      <formula>NOT(ISERROR(SEARCH("Medium",B1328)))</formula>
    </cfRule>
  </conditionalFormatting>
  <conditionalFormatting sqref="B1462:B1469">
    <cfRule type="containsText" dxfId="73" priority="1" operator="containsText" text="Low">
      <formula>NOT(ISERROR(SEARCH("Low",B1462)))</formula>
    </cfRule>
    <cfRule type="containsText" dxfId="72" priority="2" operator="containsText" text="Medium">
      <formula>NOT(ISERROR(SEARCH("Medium",B1462)))</formula>
    </cfRule>
    <cfRule type="containsText" dxfId="71" priority="3" operator="containsText" text="High">
      <formula>NOT(ISERROR(SEARCH("High",B1462)))</formula>
    </cfRule>
  </conditionalFormatting>
  <conditionalFormatting sqref="C16:C1048576">
    <cfRule type="containsText" dxfId="70" priority="4" operator="containsText" text="Low">
      <formula>NOT(ISERROR(SEARCH("Low",C16)))</formula>
    </cfRule>
    <cfRule type="containsText" dxfId="69" priority="5" operator="containsText" text="Medium">
      <formula>NOT(ISERROR(SEARCH("Medium",C16)))</formula>
    </cfRule>
    <cfRule type="containsText" dxfId="68" priority="6" operator="containsText" text="High">
      <formula>NOT(ISERROR(SEARCH("High",C16)))</formula>
    </cfRule>
  </conditionalFormatting>
  <conditionalFormatting sqref="D404">
    <cfRule type="containsText" dxfId="67" priority="204" operator="containsText" text="High">
      <formula>NOT(ISERROR(SEARCH("High",D404)))</formula>
    </cfRule>
    <cfRule type="containsText" dxfId="66" priority="203" operator="containsText" text="Medium">
      <formula>NOT(ISERROR(SEARCH("Medium",D404)))</formula>
    </cfRule>
    <cfRule type="containsText" dxfId="65" priority="202" operator="containsText" text="Low">
      <formula>NOT(ISERROR(SEARCH("Low",D404)))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27DC-3A83-42C8-B85C-3AA026BA8E3E}">
  <sheetPr>
    <tabColor rgb="FF00B050"/>
  </sheetPr>
  <dimension ref="A1:W1834"/>
  <sheetViews>
    <sheetView workbookViewId="0">
      <pane xSplit="2" topLeftCell="C1" activePane="topRight" state="frozen"/>
      <selection pane="topRight" activeCell="A1258" sqref="A1258:A1262"/>
    </sheetView>
  </sheetViews>
  <sheetFormatPr baseColWidth="10" defaultColWidth="8.83203125" defaultRowHeight="16" x14ac:dyDescent="0.2"/>
  <cols>
    <col min="1" max="1" width="10.33203125" style="51" customWidth="1"/>
    <col min="2" max="2" width="101.5" style="52" customWidth="1"/>
    <col min="3" max="3" width="21" style="51" customWidth="1"/>
    <col min="4" max="4" width="10.33203125" style="34" customWidth="1"/>
    <col min="5" max="5" width="11.33203125" style="34" customWidth="1"/>
    <col min="6" max="6" width="10.33203125" style="34" customWidth="1"/>
    <col min="7" max="7" width="17.5" style="50" customWidth="1"/>
    <col min="8" max="8" width="41.6640625" style="6" customWidth="1"/>
    <col min="9" max="9" width="11.33203125" style="64" customWidth="1"/>
    <col min="10" max="10" width="11.5" style="74" customWidth="1"/>
    <col min="11" max="11" width="10.33203125" style="74" customWidth="1"/>
    <col min="12" max="12" width="17.5" style="270" customWidth="1"/>
    <col min="13" max="13" width="38.1640625" style="74" customWidth="1"/>
    <col min="14" max="14" width="59.5" style="23" customWidth="1"/>
    <col min="15" max="15" width="81" style="6" customWidth="1"/>
    <col min="16" max="16" width="29.5" style="6" customWidth="1"/>
    <col min="17" max="17" width="24.1640625" style="5" customWidth="1"/>
    <col min="18" max="18" width="39.1640625" style="5" customWidth="1"/>
    <col min="19" max="19" width="35.6640625" style="5" customWidth="1"/>
    <col min="20" max="20" width="36.1640625" style="5" customWidth="1"/>
    <col min="21" max="21" width="9.1640625" style="7" bestFit="1" customWidth="1"/>
    <col min="22" max="22" width="21.6640625" style="7" customWidth="1"/>
    <col min="23" max="23" width="17.5" style="7" customWidth="1"/>
  </cols>
  <sheetData>
    <row r="1" spans="1:19" x14ac:dyDescent="0.2">
      <c r="A1"/>
      <c r="B1"/>
      <c r="C1"/>
      <c r="D1" s="1"/>
      <c r="E1" s="1"/>
      <c r="F1" s="2" t="s">
        <v>0</v>
      </c>
      <c r="G1" s="2"/>
      <c r="H1" s="3"/>
      <c r="I1" s="2"/>
      <c r="J1" s="278"/>
      <c r="K1" s="264"/>
      <c r="L1" s="264"/>
      <c r="M1" s="265"/>
      <c r="N1" s="2"/>
      <c r="O1" s="2"/>
    </row>
    <row r="2" spans="1:19" ht="18" x14ac:dyDescent="0.2">
      <c r="A2" s="8"/>
      <c r="B2" s="9"/>
      <c r="C2" s="10"/>
      <c r="D2" s="11"/>
      <c r="E2" s="11"/>
      <c r="F2" s="11"/>
      <c r="G2" s="12"/>
      <c r="H2" s="13"/>
      <c r="I2" s="14"/>
      <c r="J2" s="279"/>
      <c r="K2" s="267"/>
      <c r="L2" s="266"/>
      <c r="M2" s="267"/>
      <c r="N2" s="16"/>
      <c r="O2" s="17"/>
    </row>
    <row r="3" spans="1:19" x14ac:dyDescent="0.2">
      <c r="A3" s="18" t="s">
        <v>1</v>
      </c>
      <c r="B3" s="311"/>
      <c r="C3" s="311"/>
      <c r="D3" s="20"/>
      <c r="E3" s="20"/>
      <c r="F3" s="20"/>
      <c r="G3" s="21"/>
      <c r="I3" s="22"/>
      <c r="J3" s="269"/>
      <c r="K3" s="269"/>
      <c r="L3" s="268"/>
      <c r="M3" s="269"/>
      <c r="R3" s="24" t="s">
        <v>2</v>
      </c>
      <c r="S3" s="25">
        <v>45586</v>
      </c>
    </row>
    <row r="4" spans="1:19" x14ac:dyDescent="0.2">
      <c r="A4" s="26"/>
      <c r="B4" s="27"/>
      <c r="C4" s="28"/>
      <c r="D4" s="20"/>
      <c r="E4" s="20"/>
      <c r="F4" s="20"/>
      <c r="G4" s="21"/>
      <c r="I4" s="22"/>
      <c r="J4" s="269"/>
      <c r="K4" s="269"/>
      <c r="L4" s="268"/>
      <c r="M4" s="269"/>
      <c r="N4" s="29"/>
      <c r="O4" s="30"/>
    </row>
    <row r="5" spans="1:19" ht="25" x14ac:dyDescent="0.2">
      <c r="A5"/>
      <c r="B5"/>
      <c r="C5"/>
      <c r="D5" s="20"/>
      <c r="E5" s="31" t="s">
        <v>3</v>
      </c>
      <c r="F5" s="31" t="s">
        <v>4</v>
      </c>
      <c r="G5" s="32" t="s">
        <v>5</v>
      </c>
      <c r="H5" s="33"/>
      <c r="I5" s="23"/>
      <c r="K5" s="280"/>
    </row>
    <row r="6" spans="1:19" x14ac:dyDescent="0.2">
      <c r="A6" s="312" t="s">
        <v>6</v>
      </c>
      <c r="B6" s="36" t="s">
        <v>7</v>
      </c>
      <c r="C6" s="37">
        <f>COUNTIF(D16:P1048576,"P")</f>
        <v>1961</v>
      </c>
      <c r="E6" s="38">
        <f>IFERROR(C8/C10,0)</f>
        <v>1</v>
      </c>
      <c r="F6" s="39">
        <f>IFERROR(C6/C8,0)</f>
        <v>1</v>
      </c>
      <c r="G6" s="40">
        <f>IFERROR(C7/C8,0)</f>
        <v>0</v>
      </c>
      <c r="I6" s="23"/>
      <c r="K6" s="280"/>
    </row>
    <row r="7" spans="1:19" x14ac:dyDescent="0.2">
      <c r="A7" s="312"/>
      <c r="B7" s="41" t="s">
        <v>8</v>
      </c>
      <c r="C7" s="42">
        <f>COUNTIF(D16:P1048576,"F")</f>
        <v>0</v>
      </c>
      <c r="E7" s="6"/>
      <c r="G7" s="35"/>
      <c r="I7" s="23"/>
      <c r="K7" s="280"/>
    </row>
    <row r="8" spans="1:19" x14ac:dyDescent="0.2">
      <c r="A8" s="312"/>
      <c r="B8" s="43" t="s">
        <v>9</v>
      </c>
      <c r="C8" s="44">
        <f>C6+C7</f>
        <v>1961</v>
      </c>
      <c r="E8" s="6"/>
      <c r="G8" s="35"/>
      <c r="I8" s="23"/>
      <c r="K8" s="280"/>
    </row>
    <row r="9" spans="1:19" x14ac:dyDescent="0.2">
      <c r="A9" s="313" t="s">
        <v>10</v>
      </c>
      <c r="B9" s="313"/>
      <c r="C9" s="42">
        <f>COUNTIF(D16:P1048576,"0")</f>
        <v>0</v>
      </c>
      <c r="E9" s="6"/>
      <c r="F9" s="45"/>
      <c r="G9" s="46"/>
      <c r="I9" s="23"/>
      <c r="K9" s="280"/>
    </row>
    <row r="10" spans="1:19" x14ac:dyDescent="0.2">
      <c r="A10" s="314" t="s">
        <v>11</v>
      </c>
      <c r="B10" s="314"/>
      <c r="C10" s="44">
        <f>SUM(C8:C9)</f>
        <v>1961</v>
      </c>
      <c r="E10" s="6"/>
      <c r="G10" s="35"/>
      <c r="I10" s="23"/>
      <c r="K10" s="280"/>
    </row>
    <row r="11" spans="1:19" x14ac:dyDescent="0.2">
      <c r="A11" s="47"/>
      <c r="B11" s="48"/>
      <c r="C11" s="49"/>
      <c r="D11" s="6"/>
      <c r="F11" s="6"/>
      <c r="I11" s="23"/>
      <c r="K11" s="280"/>
    </row>
    <row r="12" spans="1:19" x14ac:dyDescent="0.2">
      <c r="D12" s="6"/>
      <c r="E12" s="6"/>
      <c r="F12" s="6"/>
      <c r="I12" s="23"/>
      <c r="K12" s="280"/>
    </row>
    <row r="13" spans="1:19" ht="17" x14ac:dyDescent="0.2">
      <c r="A13" s="315" t="s">
        <v>12</v>
      </c>
      <c r="B13" s="316" t="s">
        <v>13</v>
      </c>
      <c r="C13" s="318" t="s">
        <v>14</v>
      </c>
      <c r="D13" s="330" t="s">
        <v>15</v>
      </c>
      <c r="E13" s="330"/>
      <c r="F13" s="330"/>
      <c r="G13" s="330"/>
      <c r="H13" s="330"/>
      <c r="I13" s="331" t="s">
        <v>16</v>
      </c>
      <c r="J13" s="331"/>
      <c r="K13" s="331"/>
      <c r="L13" s="331"/>
      <c r="M13" s="331"/>
      <c r="N13" s="53" t="s">
        <v>17</v>
      </c>
      <c r="O13" s="332" t="s">
        <v>18</v>
      </c>
      <c r="P13" s="334" t="s">
        <v>19</v>
      </c>
      <c r="Q13" s="334"/>
      <c r="R13" s="334"/>
      <c r="S13" s="319" t="s">
        <v>20</v>
      </c>
    </row>
    <row r="14" spans="1:19" ht="42" customHeight="1" x14ac:dyDescent="0.2">
      <c r="A14" s="315"/>
      <c r="B14" s="316"/>
      <c r="C14" s="318"/>
      <c r="D14" s="320" t="s">
        <v>21</v>
      </c>
      <c r="E14" s="320"/>
      <c r="F14" s="320"/>
      <c r="G14" s="321" t="s">
        <v>22</v>
      </c>
      <c r="H14" s="323" t="s">
        <v>23</v>
      </c>
      <c r="I14" s="324" t="s">
        <v>24</v>
      </c>
      <c r="J14" s="325"/>
      <c r="K14" s="325"/>
      <c r="L14" s="335" t="s">
        <v>22</v>
      </c>
      <c r="M14" s="337" t="s">
        <v>23</v>
      </c>
      <c r="N14" s="53"/>
      <c r="O14" s="332"/>
      <c r="P14" s="328" t="s">
        <v>25</v>
      </c>
      <c r="Q14" s="329" t="s">
        <v>22</v>
      </c>
      <c r="R14" s="329" t="s">
        <v>17</v>
      </c>
      <c r="S14" s="319"/>
    </row>
    <row r="15" spans="1:19" ht="17" x14ac:dyDescent="0.2">
      <c r="A15" s="315"/>
      <c r="B15" s="317"/>
      <c r="C15" s="318"/>
      <c r="D15" s="54" t="s">
        <v>26</v>
      </c>
      <c r="E15" s="55" t="s">
        <v>27</v>
      </c>
      <c r="F15" s="55" t="s">
        <v>28</v>
      </c>
      <c r="G15" s="322"/>
      <c r="H15" s="323"/>
      <c r="I15" s="56" t="s">
        <v>26</v>
      </c>
      <c r="J15" s="281" t="s">
        <v>27</v>
      </c>
      <c r="K15" s="282" t="s">
        <v>28</v>
      </c>
      <c r="L15" s="336"/>
      <c r="M15" s="337"/>
      <c r="N15" s="58"/>
      <c r="O15" s="333"/>
      <c r="P15" s="328"/>
      <c r="Q15" s="329"/>
      <c r="R15" s="329"/>
      <c r="S15" s="319"/>
    </row>
    <row r="16" spans="1:19" ht="50" x14ac:dyDescent="0.3">
      <c r="B16" s="125" t="s">
        <v>473</v>
      </c>
      <c r="C16" s="59"/>
      <c r="D16" s="60"/>
      <c r="E16" s="61"/>
      <c r="F16" s="61"/>
      <c r="G16" s="62"/>
      <c r="H16" s="63"/>
      <c r="L16" s="271"/>
      <c r="M16" s="272"/>
      <c r="N16" s="65"/>
    </row>
    <row r="17" spans="2:17" ht="69" x14ac:dyDescent="0.2">
      <c r="B17" s="170" t="s">
        <v>537</v>
      </c>
      <c r="C17" s="19"/>
      <c r="F17" s="35"/>
      <c r="G17" s="62"/>
      <c r="H17" s="61"/>
      <c r="L17" s="271"/>
      <c r="N17" s="67"/>
      <c r="P17" s="66"/>
      <c r="Q17" s="68"/>
    </row>
    <row r="18" spans="2:17" ht="17" x14ac:dyDescent="0.2">
      <c r="B18" s="127" t="s">
        <v>31</v>
      </c>
      <c r="C18" s="19"/>
      <c r="F18" s="35"/>
      <c r="G18" s="62"/>
      <c r="H18" s="61"/>
      <c r="L18" s="271"/>
      <c r="N18" s="67"/>
      <c r="P18" s="66"/>
      <c r="Q18" s="68"/>
    </row>
    <row r="19" spans="2:17" ht="17" x14ac:dyDescent="0.2">
      <c r="B19" s="163" t="s">
        <v>328</v>
      </c>
      <c r="F19" s="35"/>
      <c r="G19" s="62"/>
      <c r="H19" s="61"/>
      <c r="L19" s="271"/>
      <c r="N19" s="67"/>
      <c r="P19" s="23"/>
    </row>
    <row r="20" spans="2:17" ht="17" x14ac:dyDescent="0.2">
      <c r="B20" s="128" t="s">
        <v>33</v>
      </c>
      <c r="G20" s="62"/>
      <c r="H20" s="61"/>
      <c r="L20" s="271"/>
      <c r="N20" s="67"/>
      <c r="P20" s="23"/>
    </row>
    <row r="21" spans="2:17" ht="17" x14ac:dyDescent="0.2">
      <c r="B21" s="127" t="s">
        <v>34</v>
      </c>
      <c r="C21" s="19"/>
      <c r="G21" s="62"/>
      <c r="H21" s="61"/>
      <c r="L21" s="271"/>
      <c r="N21" s="67"/>
      <c r="P21" s="66"/>
      <c r="Q21" s="68"/>
    </row>
    <row r="22" spans="2:17" ht="17" x14ac:dyDescent="0.2">
      <c r="B22" s="163" t="s">
        <v>475</v>
      </c>
      <c r="C22" s="19"/>
      <c r="F22" s="35"/>
      <c r="G22" s="62"/>
      <c r="H22" s="61"/>
      <c r="L22" s="271"/>
      <c r="N22" s="67"/>
      <c r="P22" s="66"/>
      <c r="Q22" s="68"/>
    </row>
    <row r="23" spans="2:17" ht="34" x14ac:dyDescent="0.2">
      <c r="B23" s="163" t="s">
        <v>476</v>
      </c>
      <c r="C23" s="19"/>
      <c r="F23" s="35"/>
      <c r="G23" s="62"/>
      <c r="H23" s="61"/>
      <c r="L23" s="271"/>
      <c r="N23" s="67"/>
      <c r="P23" s="66"/>
      <c r="Q23" s="68"/>
    </row>
    <row r="24" spans="2:17" ht="17" x14ac:dyDescent="0.2">
      <c r="B24" s="129" t="s">
        <v>36</v>
      </c>
      <c r="C24" s="19"/>
      <c r="G24" s="62"/>
      <c r="H24" s="61"/>
      <c r="L24" s="271"/>
      <c r="N24" s="67"/>
      <c r="P24" s="66"/>
      <c r="Q24" s="68"/>
    </row>
    <row r="25" spans="2:17" ht="17" x14ac:dyDescent="0.2">
      <c r="B25" s="129" t="s">
        <v>37</v>
      </c>
      <c r="C25" s="19"/>
      <c r="G25" s="62"/>
      <c r="H25" s="61"/>
      <c r="L25" s="273"/>
      <c r="N25" s="67"/>
      <c r="P25" s="66"/>
      <c r="Q25" s="68"/>
    </row>
    <row r="26" spans="2:17" ht="17" x14ac:dyDescent="0.2">
      <c r="B26" s="128" t="s">
        <v>38</v>
      </c>
      <c r="C26" s="19"/>
      <c r="G26" s="62"/>
      <c r="H26" s="61"/>
      <c r="L26" s="271"/>
      <c r="N26" s="67"/>
      <c r="P26" s="66"/>
      <c r="Q26" s="68"/>
    </row>
    <row r="27" spans="2:17" ht="48" x14ac:dyDescent="0.2">
      <c r="B27" s="164" t="s">
        <v>477</v>
      </c>
      <c r="C27" s="19" t="s">
        <v>40</v>
      </c>
      <c r="E27" s="34" t="s">
        <v>0</v>
      </c>
      <c r="G27" s="62" t="s">
        <v>41</v>
      </c>
      <c r="H27" s="61">
        <v>18023</v>
      </c>
      <c r="J27" s="74" t="s">
        <v>0</v>
      </c>
      <c r="L27" s="271" t="s">
        <v>41</v>
      </c>
      <c r="M27" s="74">
        <v>25111</v>
      </c>
      <c r="N27" s="67" t="s">
        <v>479</v>
      </c>
      <c r="P27" s="66"/>
      <c r="Q27" s="68"/>
    </row>
    <row r="28" spans="2:17" ht="48" x14ac:dyDescent="0.2">
      <c r="B28" s="164" t="s">
        <v>480</v>
      </c>
      <c r="C28" s="19" t="s">
        <v>40</v>
      </c>
      <c r="E28" s="34" t="s">
        <v>0</v>
      </c>
      <c r="G28" s="62" t="s">
        <v>41</v>
      </c>
      <c r="H28" s="61">
        <v>18023</v>
      </c>
      <c r="J28" s="74" t="s">
        <v>0</v>
      </c>
      <c r="L28" s="271" t="s">
        <v>41</v>
      </c>
      <c r="M28" s="74">
        <v>25111</v>
      </c>
      <c r="N28" s="67" t="s">
        <v>479</v>
      </c>
      <c r="P28" s="66"/>
      <c r="Q28" s="68"/>
    </row>
    <row r="29" spans="2:17" ht="17" x14ac:dyDescent="0.2">
      <c r="B29" s="128" t="s">
        <v>44</v>
      </c>
      <c r="C29" s="19"/>
      <c r="G29" s="62"/>
      <c r="H29" s="61"/>
      <c r="L29" s="273"/>
      <c r="M29" s="274"/>
      <c r="N29" s="67"/>
      <c r="P29" s="66"/>
      <c r="Q29" s="68"/>
    </row>
    <row r="30" spans="2:17" ht="23.25" customHeight="1" x14ac:dyDescent="0.2">
      <c r="B30" s="130" t="s">
        <v>46</v>
      </c>
      <c r="C30" s="19" t="s">
        <v>40</v>
      </c>
      <c r="E30" s="34" t="s">
        <v>0</v>
      </c>
      <c r="G30" s="62" t="s">
        <v>41</v>
      </c>
      <c r="H30" s="61">
        <v>18023</v>
      </c>
      <c r="J30" s="74" t="s">
        <v>0</v>
      </c>
      <c r="L30" s="271" t="s">
        <v>41</v>
      </c>
      <c r="M30" s="74">
        <v>25111</v>
      </c>
      <c r="N30" s="67" t="s">
        <v>479</v>
      </c>
      <c r="P30" s="23"/>
    </row>
    <row r="31" spans="2:17" ht="17" x14ac:dyDescent="0.2">
      <c r="B31" s="128" t="s">
        <v>47</v>
      </c>
      <c r="G31" s="62"/>
      <c r="H31" s="61"/>
      <c r="L31" s="271"/>
      <c r="N31" s="67"/>
      <c r="P31" s="23"/>
    </row>
    <row r="32" spans="2:17" ht="17" x14ac:dyDescent="0.2">
      <c r="B32" s="165" t="s">
        <v>481</v>
      </c>
      <c r="C32" s="19" t="s">
        <v>40</v>
      </c>
      <c r="E32" s="34" t="s">
        <v>0</v>
      </c>
      <c r="G32" s="62" t="s">
        <v>41</v>
      </c>
      <c r="H32" s="61">
        <v>18023</v>
      </c>
      <c r="J32" s="74" t="s">
        <v>0</v>
      </c>
      <c r="L32" s="271" t="s">
        <v>41</v>
      </c>
      <c r="M32" s="74">
        <v>25111</v>
      </c>
      <c r="N32" s="67" t="s">
        <v>479</v>
      </c>
      <c r="P32" s="23"/>
    </row>
    <row r="33" spans="2:17" ht="17" x14ac:dyDescent="0.2">
      <c r="B33" s="131" t="s">
        <v>49</v>
      </c>
      <c r="C33" s="19" t="s">
        <v>40</v>
      </c>
      <c r="E33" s="34" t="s">
        <v>0</v>
      </c>
      <c r="G33" s="62" t="s">
        <v>41</v>
      </c>
      <c r="H33" s="61">
        <v>18023</v>
      </c>
      <c r="J33" s="74" t="s">
        <v>0</v>
      </c>
      <c r="L33" s="271" t="s">
        <v>41</v>
      </c>
      <c r="M33" s="74">
        <v>25111</v>
      </c>
      <c r="N33" s="67" t="s">
        <v>479</v>
      </c>
      <c r="P33" s="66"/>
      <c r="Q33" s="68"/>
    </row>
    <row r="34" spans="2:17" ht="17" x14ac:dyDescent="0.2">
      <c r="B34" s="128" t="s">
        <v>482</v>
      </c>
      <c r="G34" s="62"/>
      <c r="H34" s="61"/>
      <c r="L34" s="274"/>
      <c r="M34" s="274"/>
      <c r="N34" s="67"/>
      <c r="P34" s="23"/>
    </row>
    <row r="35" spans="2:17" ht="17" x14ac:dyDescent="0.2">
      <c r="B35" s="165" t="s">
        <v>66</v>
      </c>
      <c r="C35" s="19" t="s">
        <v>40</v>
      </c>
      <c r="E35" s="34" t="s">
        <v>0</v>
      </c>
      <c r="G35" s="62" t="s">
        <v>41</v>
      </c>
      <c r="H35" s="61">
        <v>18023</v>
      </c>
      <c r="J35" s="74" t="s">
        <v>0</v>
      </c>
      <c r="L35" s="271" t="s">
        <v>41</v>
      </c>
      <c r="M35" s="74">
        <v>25111</v>
      </c>
      <c r="N35" s="67" t="s">
        <v>479</v>
      </c>
      <c r="P35" s="23"/>
    </row>
    <row r="36" spans="2:17" ht="17" x14ac:dyDescent="0.2">
      <c r="B36" s="138" t="s">
        <v>67</v>
      </c>
      <c r="C36" s="19" t="s">
        <v>40</v>
      </c>
      <c r="E36" s="34" t="s">
        <v>0</v>
      </c>
      <c r="G36" s="62" t="s">
        <v>41</v>
      </c>
      <c r="H36" s="61">
        <v>18023</v>
      </c>
      <c r="J36" s="74" t="s">
        <v>0</v>
      </c>
      <c r="L36" s="271" t="s">
        <v>41</v>
      </c>
      <c r="M36" s="74">
        <v>25111</v>
      </c>
      <c r="N36" s="67" t="s">
        <v>479</v>
      </c>
      <c r="P36" s="23"/>
    </row>
    <row r="37" spans="2:17" ht="17" x14ac:dyDescent="0.2">
      <c r="B37" s="166" t="s">
        <v>68</v>
      </c>
      <c r="C37" s="19" t="s">
        <v>40</v>
      </c>
      <c r="E37" s="34" t="s">
        <v>0</v>
      </c>
      <c r="G37" s="62" t="s">
        <v>41</v>
      </c>
      <c r="H37" s="61">
        <v>18023</v>
      </c>
      <c r="J37" s="74" t="s">
        <v>0</v>
      </c>
      <c r="L37" s="271" t="s">
        <v>41</v>
      </c>
      <c r="M37" s="74">
        <v>25111</v>
      </c>
      <c r="N37" s="67" t="s">
        <v>479</v>
      </c>
      <c r="P37" s="23"/>
    </row>
    <row r="38" spans="2:17" ht="17" x14ac:dyDescent="0.2">
      <c r="B38" s="166" t="s">
        <v>69</v>
      </c>
      <c r="C38" s="19" t="s">
        <v>40</v>
      </c>
      <c r="E38" s="34" t="s">
        <v>0</v>
      </c>
      <c r="G38" s="62" t="s">
        <v>41</v>
      </c>
      <c r="H38" s="61">
        <v>18023</v>
      </c>
      <c r="J38" s="74" t="s">
        <v>0</v>
      </c>
      <c r="L38" s="271" t="s">
        <v>41</v>
      </c>
      <c r="M38" s="74">
        <v>25111</v>
      </c>
      <c r="N38" s="67" t="s">
        <v>479</v>
      </c>
      <c r="P38" s="66"/>
      <c r="Q38" s="68"/>
    </row>
    <row r="39" spans="2:17" ht="17" x14ac:dyDescent="0.2">
      <c r="B39" s="166" t="s">
        <v>70</v>
      </c>
      <c r="C39" s="19" t="s">
        <v>40</v>
      </c>
      <c r="E39" s="34" t="s">
        <v>0</v>
      </c>
      <c r="G39" s="62" t="s">
        <v>41</v>
      </c>
      <c r="H39" s="61">
        <v>18023</v>
      </c>
      <c r="J39" s="74" t="s">
        <v>0</v>
      </c>
      <c r="L39" s="271" t="s">
        <v>41</v>
      </c>
      <c r="M39" s="74">
        <v>25111</v>
      </c>
      <c r="N39" s="67" t="s">
        <v>479</v>
      </c>
      <c r="P39" s="66"/>
      <c r="Q39" s="68"/>
    </row>
    <row r="40" spans="2:17" ht="17" x14ac:dyDescent="0.2">
      <c r="B40" s="166" t="s">
        <v>71</v>
      </c>
      <c r="C40" s="19" t="s">
        <v>40</v>
      </c>
      <c r="E40" s="34" t="s">
        <v>0</v>
      </c>
      <c r="G40" s="62" t="s">
        <v>41</v>
      </c>
      <c r="H40" s="61">
        <v>18023</v>
      </c>
      <c r="J40" s="74" t="s">
        <v>0</v>
      </c>
      <c r="L40" s="271" t="s">
        <v>41</v>
      </c>
      <c r="M40" s="74">
        <v>25111</v>
      </c>
      <c r="N40" s="67" t="s">
        <v>479</v>
      </c>
      <c r="P40" s="66"/>
      <c r="Q40" s="68"/>
    </row>
    <row r="41" spans="2:17" ht="17" x14ac:dyDescent="0.2">
      <c r="B41" s="139" t="s">
        <v>72</v>
      </c>
      <c r="C41" s="19" t="s">
        <v>40</v>
      </c>
      <c r="E41" s="34" t="s">
        <v>0</v>
      </c>
      <c r="G41" s="62" t="s">
        <v>41</v>
      </c>
      <c r="H41" s="61">
        <v>18023</v>
      </c>
      <c r="J41" s="74" t="s">
        <v>0</v>
      </c>
      <c r="L41" s="271" t="s">
        <v>41</v>
      </c>
      <c r="M41" s="74">
        <v>25111</v>
      </c>
      <c r="N41" s="67" t="s">
        <v>479</v>
      </c>
      <c r="P41" s="66"/>
      <c r="Q41" s="68"/>
    </row>
    <row r="42" spans="2:17" ht="17" x14ac:dyDescent="0.2">
      <c r="B42" s="166" t="s">
        <v>483</v>
      </c>
      <c r="C42" s="19" t="s">
        <v>40</v>
      </c>
      <c r="E42" s="34" t="s">
        <v>0</v>
      </c>
      <c r="G42" s="62" t="s">
        <v>41</v>
      </c>
      <c r="H42" s="61">
        <v>18023</v>
      </c>
      <c r="J42" s="74" t="s">
        <v>0</v>
      </c>
      <c r="L42" s="271" t="s">
        <v>41</v>
      </c>
      <c r="M42" s="74">
        <v>25111</v>
      </c>
      <c r="N42" s="67" t="s">
        <v>479</v>
      </c>
      <c r="P42" s="66"/>
      <c r="Q42" s="68"/>
    </row>
    <row r="43" spans="2:17" ht="17" x14ac:dyDescent="0.2">
      <c r="B43" s="166" t="s">
        <v>484</v>
      </c>
      <c r="C43" s="19" t="s">
        <v>40</v>
      </c>
      <c r="E43" s="34" t="s">
        <v>0</v>
      </c>
      <c r="G43" s="62" t="s">
        <v>41</v>
      </c>
      <c r="H43" s="61">
        <v>18023</v>
      </c>
      <c r="J43" s="74" t="s">
        <v>0</v>
      </c>
      <c r="L43" s="271" t="s">
        <v>41</v>
      </c>
      <c r="M43" s="74">
        <v>25111</v>
      </c>
      <c r="N43" s="67" t="s">
        <v>479</v>
      </c>
      <c r="P43" s="66"/>
      <c r="Q43" s="68"/>
    </row>
    <row r="44" spans="2:17" ht="17" x14ac:dyDescent="0.2">
      <c r="B44" s="167" t="s">
        <v>485</v>
      </c>
      <c r="C44" s="19" t="s">
        <v>40</v>
      </c>
      <c r="E44" s="34" t="s">
        <v>0</v>
      </c>
      <c r="G44" s="62" t="s">
        <v>41</v>
      </c>
      <c r="H44" s="61">
        <v>18023</v>
      </c>
      <c r="J44" s="74" t="s">
        <v>0</v>
      </c>
      <c r="L44" s="271" t="s">
        <v>41</v>
      </c>
      <c r="M44" s="74">
        <v>25111</v>
      </c>
      <c r="N44" s="67" t="s">
        <v>479</v>
      </c>
      <c r="P44" s="66"/>
      <c r="Q44" s="68"/>
    </row>
    <row r="45" spans="2:17" ht="17" x14ac:dyDescent="0.2">
      <c r="B45" s="169" t="s">
        <v>486</v>
      </c>
      <c r="C45" s="19" t="s">
        <v>40</v>
      </c>
      <c r="G45" s="62"/>
      <c r="H45" s="61"/>
      <c r="L45" s="271"/>
      <c r="N45" s="67"/>
      <c r="P45" s="66"/>
      <c r="Q45" s="68"/>
    </row>
    <row r="46" spans="2:17" ht="17" x14ac:dyDescent="0.2">
      <c r="B46" s="167" t="s">
        <v>487</v>
      </c>
      <c r="C46" s="19" t="s">
        <v>40</v>
      </c>
      <c r="E46" s="34" t="s">
        <v>0</v>
      </c>
      <c r="G46" s="62" t="s">
        <v>41</v>
      </c>
      <c r="H46" s="61">
        <v>18023</v>
      </c>
      <c r="J46" s="74" t="s">
        <v>0</v>
      </c>
      <c r="L46" s="271" t="s">
        <v>41</v>
      </c>
      <c r="M46" s="74">
        <v>25111</v>
      </c>
      <c r="N46" s="67" t="s">
        <v>479</v>
      </c>
      <c r="P46" s="66"/>
      <c r="Q46" s="68"/>
    </row>
    <row r="47" spans="2:17" ht="17" x14ac:dyDescent="0.2">
      <c r="B47" s="167" t="s">
        <v>488</v>
      </c>
      <c r="C47" s="19" t="s">
        <v>40</v>
      </c>
      <c r="E47" s="34" t="s">
        <v>0</v>
      </c>
      <c r="G47" s="62" t="s">
        <v>41</v>
      </c>
      <c r="H47" s="61">
        <v>18023</v>
      </c>
      <c r="J47" s="74" t="s">
        <v>0</v>
      </c>
      <c r="L47" s="271" t="s">
        <v>41</v>
      </c>
      <c r="M47" s="74">
        <v>25111</v>
      </c>
      <c r="N47" s="67" t="s">
        <v>479</v>
      </c>
      <c r="P47" s="23"/>
    </row>
    <row r="48" spans="2:17" ht="17" x14ac:dyDescent="0.2">
      <c r="B48" s="167" t="s">
        <v>489</v>
      </c>
      <c r="C48" s="19" t="s">
        <v>40</v>
      </c>
      <c r="E48" s="34" t="s">
        <v>0</v>
      </c>
      <c r="G48" s="62" t="s">
        <v>41</v>
      </c>
      <c r="H48" s="61">
        <v>18023</v>
      </c>
      <c r="J48" s="74" t="s">
        <v>0</v>
      </c>
      <c r="L48" s="271" t="s">
        <v>41</v>
      </c>
      <c r="M48" s="74">
        <v>25111</v>
      </c>
      <c r="N48" s="67" t="s">
        <v>479</v>
      </c>
      <c r="P48" s="66"/>
      <c r="Q48" s="68"/>
    </row>
    <row r="49" spans="2:17" ht="17" x14ac:dyDescent="0.2">
      <c r="B49" s="167" t="s">
        <v>490</v>
      </c>
      <c r="C49" s="19" t="s">
        <v>40</v>
      </c>
      <c r="E49" s="34" t="s">
        <v>0</v>
      </c>
      <c r="G49" s="62" t="s">
        <v>41</v>
      </c>
      <c r="H49" s="61">
        <v>18023</v>
      </c>
      <c r="J49" s="74" t="s">
        <v>0</v>
      </c>
      <c r="L49" s="271" t="s">
        <v>41</v>
      </c>
      <c r="M49" s="74">
        <v>25111</v>
      </c>
      <c r="N49" s="67" t="s">
        <v>479</v>
      </c>
      <c r="P49" s="66"/>
      <c r="Q49" s="68"/>
    </row>
    <row r="50" spans="2:17" ht="17" x14ac:dyDescent="0.2">
      <c r="B50" s="147" t="s">
        <v>134</v>
      </c>
      <c r="C50" s="19" t="s">
        <v>40</v>
      </c>
      <c r="E50" s="34" t="s">
        <v>0</v>
      </c>
      <c r="G50" s="62" t="s">
        <v>41</v>
      </c>
      <c r="H50" s="61">
        <v>18023</v>
      </c>
      <c r="J50" s="74" t="s">
        <v>0</v>
      </c>
      <c r="L50" s="271" t="s">
        <v>41</v>
      </c>
      <c r="M50" s="74">
        <v>25111</v>
      </c>
      <c r="N50" s="67" t="s">
        <v>479</v>
      </c>
      <c r="P50" s="66"/>
      <c r="Q50" s="68"/>
    </row>
    <row r="51" spans="2:17" ht="17" x14ac:dyDescent="0.2">
      <c r="B51" s="167" t="s">
        <v>491</v>
      </c>
      <c r="C51" s="19" t="s">
        <v>40</v>
      </c>
      <c r="E51" s="34" t="s">
        <v>0</v>
      </c>
      <c r="G51" s="62" t="s">
        <v>41</v>
      </c>
      <c r="H51" s="61">
        <v>18023</v>
      </c>
      <c r="J51" s="74" t="s">
        <v>0</v>
      </c>
      <c r="L51" s="271" t="s">
        <v>41</v>
      </c>
      <c r="M51" s="74">
        <v>25111</v>
      </c>
      <c r="N51" s="67" t="s">
        <v>479</v>
      </c>
      <c r="P51" s="66"/>
      <c r="Q51" s="68"/>
    </row>
    <row r="52" spans="2:17" ht="17" x14ac:dyDescent="0.2">
      <c r="B52" s="167" t="s">
        <v>492</v>
      </c>
      <c r="C52" s="19" t="s">
        <v>40</v>
      </c>
      <c r="E52" s="34" t="s">
        <v>0</v>
      </c>
      <c r="G52" s="62" t="s">
        <v>41</v>
      </c>
      <c r="H52" s="61">
        <v>18023</v>
      </c>
      <c r="J52" s="74" t="s">
        <v>0</v>
      </c>
      <c r="L52" s="271" t="s">
        <v>41</v>
      </c>
      <c r="M52" s="74">
        <v>25111</v>
      </c>
      <c r="N52" s="67" t="s">
        <v>479</v>
      </c>
      <c r="P52" s="66"/>
      <c r="Q52" s="68"/>
    </row>
    <row r="53" spans="2:17" ht="17" x14ac:dyDescent="0.2">
      <c r="B53" s="167" t="s">
        <v>493</v>
      </c>
      <c r="C53" s="19" t="s">
        <v>40</v>
      </c>
      <c r="E53" s="34" t="s">
        <v>0</v>
      </c>
      <c r="G53" s="62" t="s">
        <v>41</v>
      </c>
      <c r="H53" s="61">
        <v>18023</v>
      </c>
      <c r="J53" s="74" t="s">
        <v>0</v>
      </c>
      <c r="L53" s="271" t="s">
        <v>41</v>
      </c>
      <c r="M53" s="74">
        <v>25111</v>
      </c>
      <c r="N53" s="67" t="s">
        <v>479</v>
      </c>
      <c r="P53" s="66"/>
      <c r="Q53" s="68"/>
    </row>
    <row r="54" spans="2:17" ht="17" x14ac:dyDescent="0.2">
      <c r="B54" s="166" t="s">
        <v>78</v>
      </c>
      <c r="C54" s="19" t="s">
        <v>40</v>
      </c>
      <c r="E54" s="34" t="s">
        <v>0</v>
      </c>
      <c r="G54" s="62" t="s">
        <v>41</v>
      </c>
      <c r="H54" s="61">
        <v>18023</v>
      </c>
      <c r="J54" s="74" t="s">
        <v>0</v>
      </c>
      <c r="L54" s="271" t="s">
        <v>41</v>
      </c>
      <c r="M54" s="74">
        <v>25111</v>
      </c>
      <c r="N54" s="67" t="s">
        <v>479</v>
      </c>
      <c r="P54" s="66"/>
      <c r="Q54" s="68"/>
    </row>
    <row r="55" spans="2:17" ht="17" x14ac:dyDescent="0.2">
      <c r="B55" s="166" t="s">
        <v>79</v>
      </c>
      <c r="C55" s="19" t="s">
        <v>40</v>
      </c>
      <c r="E55" s="34" t="s">
        <v>0</v>
      </c>
      <c r="G55" s="62" t="s">
        <v>41</v>
      </c>
      <c r="H55" s="61">
        <v>18023</v>
      </c>
      <c r="J55" s="74" t="s">
        <v>0</v>
      </c>
      <c r="L55" s="271" t="s">
        <v>41</v>
      </c>
      <c r="M55" s="74">
        <v>25111</v>
      </c>
      <c r="N55" s="67" t="s">
        <v>479</v>
      </c>
      <c r="P55" s="66"/>
      <c r="Q55" s="68"/>
    </row>
    <row r="56" spans="2:17" ht="17" x14ac:dyDescent="0.2">
      <c r="B56" s="166" t="s">
        <v>80</v>
      </c>
      <c r="C56" s="19" t="s">
        <v>40</v>
      </c>
      <c r="E56" s="34" t="s">
        <v>0</v>
      </c>
      <c r="G56" s="62" t="s">
        <v>41</v>
      </c>
      <c r="H56" s="61">
        <v>18023</v>
      </c>
      <c r="J56" s="74" t="s">
        <v>0</v>
      </c>
      <c r="L56" s="271" t="s">
        <v>41</v>
      </c>
      <c r="M56" s="74">
        <v>25111</v>
      </c>
      <c r="N56" s="67" t="s">
        <v>479</v>
      </c>
      <c r="P56" s="66"/>
      <c r="Q56" s="68"/>
    </row>
    <row r="57" spans="2:17" ht="17" x14ac:dyDescent="0.2">
      <c r="B57" s="138" t="s">
        <v>81</v>
      </c>
      <c r="C57" s="19" t="s">
        <v>40</v>
      </c>
      <c r="E57" s="34" t="s">
        <v>0</v>
      </c>
      <c r="G57" s="62" t="s">
        <v>41</v>
      </c>
      <c r="H57" s="61">
        <v>18023</v>
      </c>
      <c r="J57" s="74" t="s">
        <v>0</v>
      </c>
      <c r="L57" s="271" t="s">
        <v>41</v>
      </c>
      <c r="M57" s="74">
        <v>25111</v>
      </c>
      <c r="N57" s="67" t="s">
        <v>479</v>
      </c>
      <c r="P57" s="66"/>
      <c r="Q57" s="68"/>
    </row>
    <row r="58" spans="2:17" ht="17" x14ac:dyDescent="0.2">
      <c r="B58" s="166" t="s">
        <v>82</v>
      </c>
      <c r="C58" s="19" t="s">
        <v>40</v>
      </c>
      <c r="E58" s="34" t="s">
        <v>0</v>
      </c>
      <c r="G58" s="62" t="s">
        <v>41</v>
      </c>
      <c r="H58" s="61">
        <v>18023</v>
      </c>
      <c r="J58" s="74" t="s">
        <v>0</v>
      </c>
      <c r="L58" s="271" t="s">
        <v>41</v>
      </c>
      <c r="M58" s="74">
        <v>25111</v>
      </c>
      <c r="N58" s="67" t="s">
        <v>479</v>
      </c>
      <c r="P58" s="66"/>
      <c r="Q58" s="68"/>
    </row>
    <row r="59" spans="2:17" ht="17" x14ac:dyDescent="0.2">
      <c r="B59" s="166" t="s">
        <v>494</v>
      </c>
      <c r="C59" s="19" t="s">
        <v>40</v>
      </c>
      <c r="E59" s="34" t="s">
        <v>0</v>
      </c>
      <c r="G59" s="62" t="s">
        <v>41</v>
      </c>
      <c r="H59" s="61">
        <v>18023</v>
      </c>
      <c r="J59" s="74" t="s">
        <v>0</v>
      </c>
      <c r="L59" s="271" t="s">
        <v>41</v>
      </c>
      <c r="M59" s="74">
        <v>25111</v>
      </c>
      <c r="N59" s="67" t="s">
        <v>479</v>
      </c>
      <c r="P59" s="66"/>
      <c r="Q59" s="68"/>
    </row>
    <row r="60" spans="2:17" ht="17" x14ac:dyDescent="0.2">
      <c r="B60" s="166" t="s">
        <v>495</v>
      </c>
      <c r="C60" s="19" t="s">
        <v>40</v>
      </c>
      <c r="E60" s="34" t="s">
        <v>0</v>
      </c>
      <c r="G60" s="62" t="s">
        <v>41</v>
      </c>
      <c r="H60" s="61">
        <v>18023</v>
      </c>
      <c r="J60" s="74" t="s">
        <v>0</v>
      </c>
      <c r="L60" s="271" t="s">
        <v>41</v>
      </c>
      <c r="M60" s="74">
        <v>25111</v>
      </c>
      <c r="N60" s="67" t="s">
        <v>479</v>
      </c>
      <c r="P60" s="23"/>
    </row>
    <row r="61" spans="2:17" ht="17" x14ac:dyDescent="0.2">
      <c r="B61" s="169" t="s">
        <v>496</v>
      </c>
      <c r="C61" s="19"/>
      <c r="G61" s="62"/>
      <c r="H61" s="61"/>
      <c r="L61" s="271"/>
      <c r="N61" s="67"/>
      <c r="P61" s="23"/>
    </row>
    <row r="62" spans="2:17" ht="17" x14ac:dyDescent="0.2">
      <c r="B62" s="168" t="s">
        <v>134</v>
      </c>
      <c r="C62" s="19" t="s">
        <v>40</v>
      </c>
      <c r="E62" s="34" t="s">
        <v>0</v>
      </c>
      <c r="G62" s="62" t="s">
        <v>41</v>
      </c>
      <c r="H62" s="61">
        <v>18023</v>
      </c>
      <c r="J62" s="74" t="s">
        <v>0</v>
      </c>
      <c r="L62" s="271" t="s">
        <v>41</v>
      </c>
      <c r="M62" s="74">
        <v>25111</v>
      </c>
      <c r="N62" s="67" t="s">
        <v>479</v>
      </c>
      <c r="P62" s="23"/>
    </row>
    <row r="63" spans="2:17" ht="17" x14ac:dyDescent="0.2">
      <c r="B63" s="167" t="s">
        <v>497</v>
      </c>
      <c r="C63" s="19" t="s">
        <v>40</v>
      </c>
      <c r="E63" s="34" t="s">
        <v>0</v>
      </c>
      <c r="G63" s="62" t="s">
        <v>41</v>
      </c>
      <c r="H63" s="61">
        <v>18023</v>
      </c>
      <c r="J63" s="74" t="s">
        <v>0</v>
      </c>
      <c r="L63" s="271" t="s">
        <v>41</v>
      </c>
      <c r="M63" s="74">
        <v>25111</v>
      </c>
      <c r="N63" s="67" t="s">
        <v>479</v>
      </c>
      <c r="P63" s="23"/>
    </row>
    <row r="64" spans="2:17" ht="17" x14ac:dyDescent="0.2">
      <c r="B64" s="166" t="s">
        <v>498</v>
      </c>
      <c r="C64" s="19" t="s">
        <v>40</v>
      </c>
      <c r="E64" s="34" t="s">
        <v>0</v>
      </c>
      <c r="G64" s="62" t="s">
        <v>41</v>
      </c>
      <c r="H64" s="61">
        <v>18023</v>
      </c>
      <c r="J64" s="74" t="s">
        <v>0</v>
      </c>
      <c r="L64" s="271" t="s">
        <v>41</v>
      </c>
      <c r="M64" s="74">
        <v>25111</v>
      </c>
      <c r="N64" s="67" t="s">
        <v>479</v>
      </c>
      <c r="P64" s="23"/>
    </row>
    <row r="65" spans="2:17" ht="17" x14ac:dyDescent="0.2">
      <c r="B65" s="167" t="s">
        <v>499</v>
      </c>
      <c r="C65" s="19" t="s">
        <v>40</v>
      </c>
      <c r="E65" s="34" t="s">
        <v>0</v>
      </c>
      <c r="G65" s="62" t="s">
        <v>41</v>
      </c>
      <c r="H65" s="61">
        <v>18023</v>
      </c>
      <c r="J65" s="74" t="s">
        <v>0</v>
      </c>
      <c r="L65" s="271" t="s">
        <v>41</v>
      </c>
      <c r="M65" s="74">
        <v>25111</v>
      </c>
      <c r="N65" s="67" t="s">
        <v>479</v>
      </c>
      <c r="P65" s="23"/>
    </row>
    <row r="66" spans="2:17" x14ac:dyDescent="0.2">
      <c r="B66" s="140" t="s">
        <v>86</v>
      </c>
      <c r="G66" s="62"/>
      <c r="H66" s="61"/>
      <c r="L66" s="274"/>
      <c r="N66" s="67"/>
      <c r="P66" s="23"/>
    </row>
    <row r="67" spans="2:17" x14ac:dyDescent="0.2">
      <c r="B67" s="140" t="s">
        <v>500</v>
      </c>
      <c r="G67" s="62"/>
      <c r="H67" s="61"/>
      <c r="L67" s="271"/>
      <c r="N67" s="67"/>
      <c r="P67" s="23"/>
    </row>
    <row r="68" spans="2:17" ht="17" x14ac:dyDescent="0.2">
      <c r="B68" s="141" t="s">
        <v>87</v>
      </c>
      <c r="C68" s="19" t="s">
        <v>40</v>
      </c>
      <c r="E68" s="34" t="s">
        <v>0</v>
      </c>
      <c r="G68" s="62" t="s">
        <v>41</v>
      </c>
      <c r="H68" s="61">
        <v>18023</v>
      </c>
      <c r="J68" s="74" t="s">
        <v>0</v>
      </c>
      <c r="L68" s="271" t="s">
        <v>41</v>
      </c>
      <c r="M68" s="74">
        <v>25111</v>
      </c>
      <c r="N68" s="67" t="s">
        <v>479</v>
      </c>
      <c r="P68" s="66"/>
      <c r="Q68" s="68"/>
    </row>
    <row r="69" spans="2:17" ht="32" x14ac:dyDescent="0.2">
      <c r="B69" s="142" t="s">
        <v>102</v>
      </c>
      <c r="C69" s="19" t="s">
        <v>40</v>
      </c>
      <c r="E69" s="34" t="s">
        <v>0</v>
      </c>
      <c r="G69" s="62" t="s">
        <v>41</v>
      </c>
      <c r="H69" s="61">
        <v>18023</v>
      </c>
      <c r="J69" s="74" t="s">
        <v>0</v>
      </c>
      <c r="L69" s="271" t="s">
        <v>41</v>
      </c>
      <c r="M69" s="74">
        <v>25111</v>
      </c>
      <c r="N69" s="67" t="s">
        <v>479</v>
      </c>
      <c r="P69" s="66"/>
      <c r="Q69" s="68"/>
    </row>
    <row r="70" spans="2:17" ht="48" x14ac:dyDescent="0.2">
      <c r="B70" s="143" t="s">
        <v>103</v>
      </c>
      <c r="C70" s="19" t="s">
        <v>40</v>
      </c>
      <c r="E70" s="34" t="s">
        <v>0</v>
      </c>
      <c r="G70" s="62" t="s">
        <v>41</v>
      </c>
      <c r="H70" s="61">
        <v>18023</v>
      </c>
      <c r="J70" s="74" t="s">
        <v>0</v>
      </c>
      <c r="L70" s="271" t="s">
        <v>41</v>
      </c>
      <c r="M70" s="74">
        <v>25111</v>
      </c>
      <c r="N70" s="67" t="s">
        <v>479</v>
      </c>
      <c r="P70" s="23"/>
    </row>
    <row r="71" spans="2:17" ht="17" x14ac:dyDescent="0.2">
      <c r="B71" s="144" t="s">
        <v>96</v>
      </c>
      <c r="C71" s="19" t="s">
        <v>40</v>
      </c>
      <c r="E71" s="34" t="s">
        <v>0</v>
      </c>
      <c r="G71" s="62" t="s">
        <v>41</v>
      </c>
      <c r="H71" s="61">
        <v>18023</v>
      </c>
      <c r="J71" s="74" t="s">
        <v>0</v>
      </c>
      <c r="L71" s="271" t="s">
        <v>41</v>
      </c>
      <c r="M71" s="74">
        <v>25111</v>
      </c>
      <c r="N71" s="67" t="s">
        <v>479</v>
      </c>
      <c r="P71" s="23"/>
    </row>
    <row r="72" spans="2:17" ht="32" x14ac:dyDescent="0.2">
      <c r="B72" s="143" t="s">
        <v>104</v>
      </c>
      <c r="C72" s="19" t="s">
        <v>40</v>
      </c>
      <c r="E72" s="34" t="s">
        <v>0</v>
      </c>
      <c r="G72" s="62" t="s">
        <v>41</v>
      </c>
      <c r="H72" s="61">
        <v>18023</v>
      </c>
      <c r="J72" s="74" t="s">
        <v>0</v>
      </c>
      <c r="L72" s="271" t="s">
        <v>41</v>
      </c>
      <c r="M72" s="74">
        <v>25111</v>
      </c>
      <c r="N72" s="67" t="s">
        <v>479</v>
      </c>
      <c r="P72" s="64"/>
      <c r="Q72" s="68"/>
    </row>
    <row r="73" spans="2:17" ht="32" x14ac:dyDescent="0.2">
      <c r="B73" s="142" t="s">
        <v>105</v>
      </c>
      <c r="C73" s="19" t="s">
        <v>40</v>
      </c>
      <c r="E73" s="34" t="s">
        <v>0</v>
      </c>
      <c r="G73" s="62" t="s">
        <v>41</v>
      </c>
      <c r="H73" s="61">
        <v>18023</v>
      </c>
      <c r="J73" s="74" t="s">
        <v>0</v>
      </c>
      <c r="L73" s="271" t="s">
        <v>41</v>
      </c>
      <c r="M73" s="74">
        <v>25111</v>
      </c>
      <c r="N73" s="67" t="s">
        <v>479</v>
      </c>
      <c r="P73" s="23"/>
    </row>
    <row r="74" spans="2:17" ht="17" x14ac:dyDescent="0.2">
      <c r="B74" s="144" t="s">
        <v>99</v>
      </c>
      <c r="C74" s="19" t="s">
        <v>40</v>
      </c>
      <c r="E74" s="34" t="s">
        <v>0</v>
      </c>
      <c r="G74" s="62" t="s">
        <v>41</v>
      </c>
      <c r="H74" s="61">
        <v>18023</v>
      </c>
      <c r="J74" s="74" t="s">
        <v>0</v>
      </c>
      <c r="L74" s="271" t="s">
        <v>41</v>
      </c>
      <c r="M74" s="74">
        <v>25111</v>
      </c>
      <c r="N74" s="67" t="s">
        <v>479</v>
      </c>
      <c r="P74" s="23"/>
    </row>
    <row r="75" spans="2:17" ht="17" x14ac:dyDescent="0.2">
      <c r="B75" s="143" t="s">
        <v>106</v>
      </c>
      <c r="C75" s="19" t="s">
        <v>40</v>
      </c>
      <c r="E75" s="34" t="s">
        <v>0</v>
      </c>
      <c r="G75" s="62" t="s">
        <v>41</v>
      </c>
      <c r="H75" s="61">
        <v>18023</v>
      </c>
      <c r="J75" s="74" t="s">
        <v>0</v>
      </c>
      <c r="L75" s="271" t="s">
        <v>41</v>
      </c>
      <c r="M75" s="74">
        <v>25111</v>
      </c>
      <c r="N75" s="67" t="s">
        <v>479</v>
      </c>
      <c r="P75" s="23"/>
    </row>
    <row r="76" spans="2:17" x14ac:dyDescent="0.2">
      <c r="B76" s="140" t="s">
        <v>101</v>
      </c>
      <c r="G76" s="62"/>
      <c r="H76" s="61"/>
      <c r="L76" s="274"/>
      <c r="N76" s="67"/>
      <c r="P76" s="23"/>
    </row>
    <row r="77" spans="2:17" ht="17" x14ac:dyDescent="0.2">
      <c r="B77" s="141" t="s">
        <v>87</v>
      </c>
      <c r="C77" s="19" t="s">
        <v>40</v>
      </c>
      <c r="E77" s="34" t="s">
        <v>0</v>
      </c>
      <c r="G77" s="62" t="s">
        <v>41</v>
      </c>
      <c r="H77" s="61">
        <v>18023</v>
      </c>
      <c r="J77" s="74" t="s">
        <v>0</v>
      </c>
      <c r="L77" s="271" t="s">
        <v>41</v>
      </c>
      <c r="M77" s="74">
        <v>25111</v>
      </c>
      <c r="N77" s="67" t="s">
        <v>479</v>
      </c>
      <c r="P77" s="23"/>
    </row>
    <row r="78" spans="2:17" ht="32" x14ac:dyDescent="0.2">
      <c r="B78" s="142" t="s">
        <v>102</v>
      </c>
      <c r="C78" s="19" t="s">
        <v>40</v>
      </c>
      <c r="E78" s="34" t="s">
        <v>0</v>
      </c>
      <c r="G78" s="62" t="s">
        <v>41</v>
      </c>
      <c r="H78" s="61">
        <v>18023</v>
      </c>
      <c r="J78" s="74" t="s">
        <v>0</v>
      </c>
      <c r="L78" s="271" t="s">
        <v>41</v>
      </c>
      <c r="M78" s="74">
        <v>25111</v>
      </c>
      <c r="N78" s="67" t="s">
        <v>479</v>
      </c>
      <c r="P78" s="23"/>
    </row>
    <row r="79" spans="2:17" ht="48" x14ac:dyDescent="0.2">
      <c r="B79" s="143" t="s">
        <v>108</v>
      </c>
      <c r="C79" s="19" t="s">
        <v>40</v>
      </c>
      <c r="E79" s="34" t="s">
        <v>0</v>
      </c>
      <c r="G79" s="62" t="s">
        <v>41</v>
      </c>
      <c r="H79" s="61">
        <v>18023</v>
      </c>
      <c r="J79" s="74" t="s">
        <v>0</v>
      </c>
      <c r="L79" s="271" t="s">
        <v>41</v>
      </c>
      <c r="M79" s="74">
        <v>25111</v>
      </c>
      <c r="N79" s="67" t="s">
        <v>479</v>
      </c>
      <c r="P79" s="23"/>
    </row>
    <row r="80" spans="2:17" ht="17" x14ac:dyDescent="0.2">
      <c r="B80" s="144" t="s">
        <v>96</v>
      </c>
      <c r="C80" s="19" t="s">
        <v>40</v>
      </c>
      <c r="E80" s="34" t="s">
        <v>0</v>
      </c>
      <c r="G80" s="62" t="s">
        <v>41</v>
      </c>
      <c r="H80" s="61">
        <v>18023</v>
      </c>
      <c r="J80" s="74" t="s">
        <v>0</v>
      </c>
      <c r="L80" s="271" t="s">
        <v>41</v>
      </c>
      <c r="M80" s="74">
        <v>25111</v>
      </c>
      <c r="N80" s="67" t="s">
        <v>479</v>
      </c>
      <c r="P80" s="23"/>
    </row>
    <row r="81" spans="2:16" ht="32" x14ac:dyDescent="0.2">
      <c r="B81" s="143" t="s">
        <v>109</v>
      </c>
      <c r="C81" s="19" t="s">
        <v>40</v>
      </c>
      <c r="E81" s="34" t="s">
        <v>0</v>
      </c>
      <c r="G81" s="62" t="s">
        <v>41</v>
      </c>
      <c r="H81" s="61">
        <v>18023</v>
      </c>
      <c r="J81" s="74" t="s">
        <v>0</v>
      </c>
      <c r="L81" s="271" t="s">
        <v>41</v>
      </c>
      <c r="M81" s="74">
        <v>25111</v>
      </c>
      <c r="N81" s="67" t="s">
        <v>479</v>
      </c>
      <c r="P81" s="23"/>
    </row>
    <row r="82" spans="2:16" ht="32" x14ac:dyDescent="0.2">
      <c r="B82" s="142" t="s">
        <v>110</v>
      </c>
      <c r="C82" s="19" t="s">
        <v>40</v>
      </c>
      <c r="E82" s="34" t="s">
        <v>0</v>
      </c>
      <c r="G82" s="62" t="s">
        <v>41</v>
      </c>
      <c r="H82" s="61">
        <v>18023</v>
      </c>
      <c r="J82" s="74" t="s">
        <v>0</v>
      </c>
      <c r="L82" s="271" t="s">
        <v>41</v>
      </c>
      <c r="M82" s="74">
        <v>25111</v>
      </c>
      <c r="N82" s="67" t="s">
        <v>479</v>
      </c>
      <c r="P82" s="23"/>
    </row>
    <row r="83" spans="2:16" ht="17" x14ac:dyDescent="0.2">
      <c r="B83" s="144" t="s">
        <v>99</v>
      </c>
      <c r="C83" s="19" t="s">
        <v>40</v>
      </c>
      <c r="E83" s="34" t="s">
        <v>0</v>
      </c>
      <c r="G83" s="62" t="s">
        <v>41</v>
      </c>
      <c r="H83" s="61">
        <v>18023</v>
      </c>
      <c r="J83" s="74" t="s">
        <v>0</v>
      </c>
      <c r="L83" s="271" t="s">
        <v>41</v>
      </c>
      <c r="M83" s="74">
        <v>25111</v>
      </c>
      <c r="N83" s="67" t="s">
        <v>479</v>
      </c>
      <c r="P83" s="23"/>
    </row>
    <row r="84" spans="2:16" ht="17" x14ac:dyDescent="0.2">
      <c r="B84" s="143" t="s">
        <v>111</v>
      </c>
      <c r="C84" s="19" t="s">
        <v>40</v>
      </c>
      <c r="E84" s="34" t="s">
        <v>0</v>
      </c>
      <c r="G84" s="62" t="s">
        <v>41</v>
      </c>
      <c r="H84" s="61">
        <v>18023</v>
      </c>
      <c r="J84" s="74" t="s">
        <v>0</v>
      </c>
      <c r="L84" s="271" t="s">
        <v>41</v>
      </c>
      <c r="M84" s="74">
        <v>25111</v>
      </c>
      <c r="N84" s="67" t="s">
        <v>479</v>
      </c>
      <c r="P84" s="23"/>
    </row>
    <row r="85" spans="2:16" x14ac:dyDescent="0.2">
      <c r="B85" s="140" t="s">
        <v>107</v>
      </c>
      <c r="G85" s="62"/>
      <c r="H85" s="61"/>
      <c r="L85" s="271"/>
      <c r="N85" s="67"/>
      <c r="P85" s="23"/>
    </row>
    <row r="86" spans="2:16" ht="17" x14ac:dyDescent="0.2">
      <c r="B86" s="141" t="s">
        <v>87</v>
      </c>
      <c r="C86" s="19" t="s">
        <v>40</v>
      </c>
      <c r="E86" s="34" t="s">
        <v>0</v>
      </c>
      <c r="G86" s="62" t="s">
        <v>41</v>
      </c>
      <c r="H86" s="61">
        <v>18023</v>
      </c>
      <c r="J86" s="74" t="s">
        <v>0</v>
      </c>
      <c r="L86" s="271" t="s">
        <v>41</v>
      </c>
      <c r="M86" s="74">
        <v>25111</v>
      </c>
      <c r="N86" s="67" t="s">
        <v>479</v>
      </c>
      <c r="P86" s="23"/>
    </row>
    <row r="87" spans="2:16" ht="32" x14ac:dyDescent="0.2">
      <c r="B87" s="142" t="s">
        <v>102</v>
      </c>
      <c r="C87" s="19" t="s">
        <v>40</v>
      </c>
      <c r="E87" s="34" t="s">
        <v>0</v>
      </c>
      <c r="G87" s="62" t="s">
        <v>41</v>
      </c>
      <c r="H87" s="61">
        <v>18023</v>
      </c>
      <c r="J87" s="74" t="s">
        <v>0</v>
      </c>
      <c r="L87" s="271" t="s">
        <v>41</v>
      </c>
      <c r="M87" s="74">
        <v>25111</v>
      </c>
      <c r="N87" s="67" t="s">
        <v>479</v>
      </c>
      <c r="P87" s="23"/>
    </row>
    <row r="88" spans="2:16" ht="48" x14ac:dyDescent="0.2">
      <c r="B88" s="143" t="s">
        <v>113</v>
      </c>
      <c r="C88" s="19" t="s">
        <v>40</v>
      </c>
      <c r="E88" s="34" t="s">
        <v>0</v>
      </c>
      <c r="G88" s="62" t="s">
        <v>41</v>
      </c>
      <c r="H88" s="61">
        <v>18023</v>
      </c>
      <c r="J88" s="74" t="s">
        <v>0</v>
      </c>
      <c r="L88" s="271" t="s">
        <v>41</v>
      </c>
      <c r="M88" s="74">
        <v>25111</v>
      </c>
      <c r="N88" s="67" t="s">
        <v>479</v>
      </c>
      <c r="P88" s="23"/>
    </row>
    <row r="89" spans="2:16" ht="17" x14ac:dyDescent="0.2">
      <c r="B89" s="144" t="s">
        <v>96</v>
      </c>
      <c r="C89" s="19" t="s">
        <v>40</v>
      </c>
      <c r="E89" s="34" t="s">
        <v>0</v>
      </c>
      <c r="G89" s="62" t="s">
        <v>41</v>
      </c>
      <c r="H89" s="61">
        <v>18023</v>
      </c>
      <c r="J89" s="74" t="s">
        <v>0</v>
      </c>
      <c r="L89" s="271" t="s">
        <v>41</v>
      </c>
      <c r="M89" s="74">
        <v>25111</v>
      </c>
      <c r="N89" s="67" t="s">
        <v>479</v>
      </c>
      <c r="P89" s="23"/>
    </row>
    <row r="90" spans="2:16" ht="32" x14ac:dyDescent="0.2">
      <c r="B90" s="143" t="s">
        <v>97</v>
      </c>
      <c r="C90" s="19" t="s">
        <v>40</v>
      </c>
      <c r="E90" s="34" t="s">
        <v>0</v>
      </c>
      <c r="G90" s="62" t="s">
        <v>41</v>
      </c>
      <c r="H90" s="61">
        <v>18023</v>
      </c>
      <c r="J90" s="74" t="s">
        <v>0</v>
      </c>
      <c r="L90" s="271" t="s">
        <v>41</v>
      </c>
      <c r="M90" s="74">
        <v>25111</v>
      </c>
      <c r="N90" s="67" t="s">
        <v>479</v>
      </c>
      <c r="P90" s="23"/>
    </row>
    <row r="91" spans="2:16" ht="32" x14ac:dyDescent="0.2">
      <c r="B91" s="142" t="s">
        <v>114</v>
      </c>
      <c r="C91" s="19" t="s">
        <v>40</v>
      </c>
      <c r="E91" s="34" t="s">
        <v>0</v>
      </c>
      <c r="G91" s="62" t="s">
        <v>41</v>
      </c>
      <c r="H91" s="61">
        <v>18023</v>
      </c>
      <c r="J91" s="74" t="s">
        <v>0</v>
      </c>
      <c r="L91" s="271" t="s">
        <v>41</v>
      </c>
      <c r="M91" s="74">
        <v>25111</v>
      </c>
      <c r="N91" s="67" t="s">
        <v>479</v>
      </c>
      <c r="P91" s="23"/>
    </row>
    <row r="92" spans="2:16" ht="17" x14ac:dyDescent="0.2">
      <c r="B92" s="144" t="s">
        <v>99</v>
      </c>
      <c r="C92" s="19" t="s">
        <v>40</v>
      </c>
      <c r="E92" s="34" t="s">
        <v>0</v>
      </c>
      <c r="G92" s="62" t="s">
        <v>41</v>
      </c>
      <c r="H92" s="61">
        <v>18023</v>
      </c>
      <c r="J92" s="74" t="s">
        <v>0</v>
      </c>
      <c r="L92" s="271" t="s">
        <v>41</v>
      </c>
      <c r="M92" s="74">
        <v>25111</v>
      </c>
      <c r="N92" s="67" t="s">
        <v>479</v>
      </c>
      <c r="P92" s="23"/>
    </row>
    <row r="93" spans="2:16" ht="17" x14ac:dyDescent="0.2">
      <c r="B93" s="143" t="s">
        <v>115</v>
      </c>
      <c r="C93" s="19" t="s">
        <v>40</v>
      </c>
      <c r="E93" s="34" t="s">
        <v>0</v>
      </c>
      <c r="G93" s="62" t="s">
        <v>41</v>
      </c>
      <c r="H93" s="61">
        <v>18023</v>
      </c>
      <c r="J93" s="74" t="s">
        <v>0</v>
      </c>
      <c r="L93" s="271" t="s">
        <v>41</v>
      </c>
      <c r="M93" s="74">
        <v>25111</v>
      </c>
      <c r="N93" s="67" t="s">
        <v>479</v>
      </c>
      <c r="P93" s="23"/>
    </row>
    <row r="94" spans="2:16" ht="17" x14ac:dyDescent="0.2">
      <c r="B94" s="128" t="s">
        <v>121</v>
      </c>
      <c r="C94" s="19"/>
      <c r="G94" s="62"/>
      <c r="H94" s="61"/>
      <c r="L94" s="274"/>
      <c r="N94" s="67"/>
      <c r="P94" s="23"/>
    </row>
    <row r="95" spans="2:16" ht="17" x14ac:dyDescent="0.2">
      <c r="B95" s="145" t="s">
        <v>122</v>
      </c>
      <c r="C95" s="19" t="s">
        <v>40</v>
      </c>
      <c r="E95" s="34" t="s">
        <v>0</v>
      </c>
      <c r="G95" s="62" t="s">
        <v>41</v>
      </c>
      <c r="H95" s="61">
        <v>18023</v>
      </c>
      <c r="J95" s="74" t="s">
        <v>0</v>
      </c>
      <c r="L95" s="271" t="s">
        <v>41</v>
      </c>
      <c r="M95" s="74">
        <v>25111</v>
      </c>
      <c r="N95" s="67" t="s">
        <v>479</v>
      </c>
      <c r="P95" s="23"/>
    </row>
    <row r="96" spans="2:16" ht="17" x14ac:dyDescent="0.2">
      <c r="B96" s="167" t="s">
        <v>123</v>
      </c>
      <c r="C96" s="19" t="s">
        <v>40</v>
      </c>
      <c r="E96" s="34" t="s">
        <v>0</v>
      </c>
      <c r="G96" s="62" t="s">
        <v>41</v>
      </c>
      <c r="H96" s="61">
        <v>18023</v>
      </c>
      <c r="J96" s="74" t="s">
        <v>0</v>
      </c>
      <c r="L96" s="271" t="s">
        <v>41</v>
      </c>
      <c r="M96" s="74">
        <v>25111</v>
      </c>
      <c r="N96" s="67" t="s">
        <v>479</v>
      </c>
      <c r="P96" s="23"/>
    </row>
    <row r="97" spans="2:16" ht="34" x14ac:dyDescent="0.2">
      <c r="B97" s="167" t="s">
        <v>329</v>
      </c>
      <c r="C97" s="19" t="s">
        <v>40</v>
      </c>
      <c r="E97" s="34" t="s">
        <v>0</v>
      </c>
      <c r="G97" s="62" t="s">
        <v>41</v>
      </c>
      <c r="H97" s="61">
        <v>18023</v>
      </c>
      <c r="J97" s="74" t="s">
        <v>0</v>
      </c>
      <c r="L97" s="271" t="s">
        <v>41</v>
      </c>
      <c r="M97" s="74">
        <v>25111</v>
      </c>
      <c r="N97" s="67" t="s">
        <v>479</v>
      </c>
      <c r="P97" s="23"/>
    </row>
    <row r="98" spans="2:16" ht="17" x14ac:dyDescent="0.2">
      <c r="B98" s="248" t="s">
        <v>125</v>
      </c>
      <c r="C98" s="19" t="s">
        <v>40</v>
      </c>
      <c r="E98" s="34" t="s">
        <v>0</v>
      </c>
      <c r="G98" s="62" t="s">
        <v>41</v>
      </c>
      <c r="H98" s="61">
        <v>18023</v>
      </c>
      <c r="J98" s="74" t="s">
        <v>0</v>
      </c>
      <c r="L98" s="271" t="s">
        <v>41</v>
      </c>
      <c r="M98" s="74">
        <v>25111</v>
      </c>
      <c r="N98" s="67" t="s">
        <v>479</v>
      </c>
      <c r="P98" s="23"/>
    </row>
    <row r="99" spans="2:16" ht="17" x14ac:dyDescent="0.2">
      <c r="B99" s="243" t="s">
        <v>126</v>
      </c>
      <c r="C99" s="19" t="s">
        <v>40</v>
      </c>
      <c r="E99" s="34" t="s">
        <v>0</v>
      </c>
      <c r="G99" s="62" t="s">
        <v>41</v>
      </c>
      <c r="H99" s="61">
        <v>18023</v>
      </c>
      <c r="J99" s="74" t="s">
        <v>0</v>
      </c>
      <c r="L99" s="271" t="s">
        <v>41</v>
      </c>
      <c r="M99" s="74">
        <v>25111</v>
      </c>
      <c r="N99" s="67" t="s">
        <v>479</v>
      </c>
      <c r="P99" s="23"/>
    </row>
    <row r="100" spans="2:16" ht="17" x14ac:dyDescent="0.2">
      <c r="B100" s="244" t="s">
        <v>127</v>
      </c>
      <c r="C100" s="19" t="s">
        <v>40</v>
      </c>
      <c r="E100" s="34" t="s">
        <v>0</v>
      </c>
      <c r="G100" s="62" t="s">
        <v>41</v>
      </c>
      <c r="H100" s="61">
        <v>18023</v>
      </c>
      <c r="J100" s="74" t="s">
        <v>0</v>
      </c>
      <c r="L100" s="271" t="s">
        <v>41</v>
      </c>
      <c r="M100" s="74">
        <v>25111</v>
      </c>
      <c r="N100" s="67" t="s">
        <v>479</v>
      </c>
      <c r="P100" s="23"/>
    </row>
    <row r="101" spans="2:16" ht="17" x14ac:dyDescent="0.2">
      <c r="B101" s="244" t="s">
        <v>128</v>
      </c>
      <c r="C101" s="19" t="s">
        <v>40</v>
      </c>
      <c r="E101" s="34" t="s">
        <v>0</v>
      </c>
      <c r="G101" s="62" t="s">
        <v>41</v>
      </c>
      <c r="H101" s="61">
        <v>18023</v>
      </c>
      <c r="J101" s="74" t="s">
        <v>0</v>
      </c>
      <c r="L101" s="271" t="s">
        <v>41</v>
      </c>
      <c r="M101" s="74">
        <v>25111</v>
      </c>
      <c r="N101" s="67" t="s">
        <v>479</v>
      </c>
      <c r="P101" s="23"/>
    </row>
    <row r="102" spans="2:16" ht="17" x14ac:dyDescent="0.2">
      <c r="B102" s="245" t="s">
        <v>129</v>
      </c>
      <c r="C102" s="19" t="s">
        <v>40</v>
      </c>
      <c r="E102" s="34" t="s">
        <v>0</v>
      </c>
      <c r="F102" s="70"/>
      <c r="G102" s="62" t="s">
        <v>41</v>
      </c>
      <c r="H102" s="61">
        <v>18023</v>
      </c>
      <c r="J102" s="74" t="s">
        <v>0</v>
      </c>
      <c r="L102" s="271" t="s">
        <v>41</v>
      </c>
      <c r="M102" s="74">
        <v>25111</v>
      </c>
      <c r="N102" s="67" t="s">
        <v>479</v>
      </c>
      <c r="P102" s="23"/>
    </row>
    <row r="103" spans="2:16" ht="17" x14ac:dyDescent="0.2">
      <c r="B103" s="227" t="s">
        <v>130</v>
      </c>
      <c r="C103" s="19" t="s">
        <v>40</v>
      </c>
      <c r="D103" s="35"/>
      <c r="E103" s="34" t="s">
        <v>0</v>
      </c>
      <c r="F103" s="64"/>
      <c r="G103" s="62" t="s">
        <v>41</v>
      </c>
      <c r="H103" s="61">
        <v>18023</v>
      </c>
      <c r="J103" s="74" t="s">
        <v>0</v>
      </c>
      <c r="L103" s="271" t="s">
        <v>41</v>
      </c>
      <c r="M103" s="74">
        <v>25111</v>
      </c>
      <c r="N103" s="67" t="s">
        <v>479</v>
      </c>
      <c r="P103" s="23"/>
    </row>
    <row r="104" spans="2:16" ht="17" x14ac:dyDescent="0.2">
      <c r="B104" s="246" t="s">
        <v>501</v>
      </c>
      <c r="C104" s="19" t="s">
        <v>40</v>
      </c>
      <c r="D104" s="35"/>
      <c r="E104" s="34" t="s">
        <v>0</v>
      </c>
      <c r="F104" s="72"/>
      <c r="G104" s="62" t="s">
        <v>41</v>
      </c>
      <c r="H104" s="61">
        <v>18023</v>
      </c>
      <c r="J104" s="74" t="s">
        <v>0</v>
      </c>
      <c r="L104" s="271" t="s">
        <v>41</v>
      </c>
      <c r="M104" s="74">
        <v>25111</v>
      </c>
      <c r="N104" s="67" t="s">
        <v>479</v>
      </c>
      <c r="P104" s="23"/>
    </row>
    <row r="105" spans="2:16" ht="17" x14ac:dyDescent="0.2">
      <c r="B105" s="247" t="s">
        <v>132</v>
      </c>
      <c r="C105" s="19" t="s">
        <v>40</v>
      </c>
      <c r="D105" s="35"/>
      <c r="E105" s="34" t="s">
        <v>0</v>
      </c>
      <c r="F105" s="72"/>
      <c r="G105" s="62" t="s">
        <v>41</v>
      </c>
      <c r="H105" s="61">
        <v>18023</v>
      </c>
      <c r="J105" s="74" t="s">
        <v>0</v>
      </c>
      <c r="L105" s="271" t="s">
        <v>41</v>
      </c>
      <c r="M105" s="74">
        <v>25111</v>
      </c>
      <c r="N105" s="67" t="s">
        <v>479</v>
      </c>
      <c r="P105" s="23"/>
    </row>
    <row r="106" spans="2:16" ht="17" x14ac:dyDescent="0.2">
      <c r="B106" s="247" t="s">
        <v>134</v>
      </c>
      <c r="C106" s="19" t="s">
        <v>40</v>
      </c>
      <c r="E106" s="34" t="s">
        <v>0</v>
      </c>
      <c r="G106" s="62" t="s">
        <v>41</v>
      </c>
      <c r="H106" s="61">
        <v>18023</v>
      </c>
      <c r="J106" s="74" t="s">
        <v>0</v>
      </c>
      <c r="L106" s="271" t="s">
        <v>41</v>
      </c>
      <c r="M106" s="74">
        <v>25111</v>
      </c>
      <c r="N106" s="67" t="s">
        <v>479</v>
      </c>
      <c r="P106" s="23"/>
    </row>
    <row r="107" spans="2:16" ht="17" x14ac:dyDescent="0.2">
      <c r="B107" s="247" t="s">
        <v>136</v>
      </c>
      <c r="C107" s="19" t="s">
        <v>40</v>
      </c>
      <c r="E107" s="34" t="s">
        <v>0</v>
      </c>
      <c r="G107" s="62" t="s">
        <v>41</v>
      </c>
      <c r="H107" s="61">
        <v>18023</v>
      </c>
      <c r="J107" s="74" t="s">
        <v>0</v>
      </c>
      <c r="L107" s="271" t="s">
        <v>41</v>
      </c>
      <c r="M107" s="74">
        <v>25111</v>
      </c>
      <c r="N107" s="67" t="s">
        <v>479</v>
      </c>
      <c r="P107" s="23"/>
    </row>
    <row r="108" spans="2:16" ht="23" x14ac:dyDescent="0.3">
      <c r="B108" s="148" t="s">
        <v>137</v>
      </c>
      <c r="C108" s="19"/>
      <c r="G108" s="62"/>
      <c r="H108" s="61"/>
      <c r="L108" s="274"/>
      <c r="N108" s="67"/>
      <c r="P108" s="23"/>
    </row>
    <row r="109" spans="2:16" ht="23" x14ac:dyDescent="0.3">
      <c r="B109" s="148" t="s">
        <v>138</v>
      </c>
      <c r="C109" s="19"/>
      <c r="G109" s="62"/>
      <c r="H109" s="61"/>
      <c r="L109" s="271"/>
      <c r="N109" s="67"/>
      <c r="P109" s="23"/>
    </row>
    <row r="110" spans="2:16" ht="17" x14ac:dyDescent="0.2">
      <c r="B110" s="168" t="s">
        <v>330</v>
      </c>
      <c r="C110" s="19" t="s">
        <v>40</v>
      </c>
      <c r="E110" s="34" t="s">
        <v>0</v>
      </c>
      <c r="G110" s="62" t="s">
        <v>41</v>
      </c>
      <c r="H110" s="61">
        <v>18023</v>
      </c>
      <c r="J110" s="74" t="s">
        <v>0</v>
      </c>
      <c r="L110" s="271" t="s">
        <v>41</v>
      </c>
      <c r="M110" s="74">
        <v>25111</v>
      </c>
      <c r="N110" s="67" t="s">
        <v>479</v>
      </c>
      <c r="P110" s="23"/>
    </row>
    <row r="111" spans="2:16" ht="34" x14ac:dyDescent="0.2">
      <c r="B111" s="168" t="s">
        <v>538</v>
      </c>
      <c r="C111" s="19" t="s">
        <v>40</v>
      </c>
      <c r="E111" s="34" t="s">
        <v>0</v>
      </c>
      <c r="G111" s="62" t="s">
        <v>41</v>
      </c>
      <c r="H111" s="61">
        <v>18023</v>
      </c>
      <c r="J111" s="74" t="s">
        <v>0</v>
      </c>
      <c r="L111" s="271" t="s">
        <v>41</v>
      </c>
      <c r="M111" s="74">
        <v>25111</v>
      </c>
      <c r="N111" s="67" t="s">
        <v>479</v>
      </c>
      <c r="P111" s="23"/>
    </row>
    <row r="112" spans="2:16" ht="17" x14ac:dyDescent="0.2">
      <c r="B112" s="168" t="s">
        <v>332</v>
      </c>
      <c r="C112" s="19" t="s">
        <v>40</v>
      </c>
      <c r="E112" s="34" t="s">
        <v>0</v>
      </c>
      <c r="G112" s="62" t="s">
        <v>41</v>
      </c>
      <c r="H112" s="61">
        <v>18023</v>
      </c>
      <c r="J112" s="74" t="s">
        <v>0</v>
      </c>
      <c r="L112" s="271" t="s">
        <v>41</v>
      </c>
      <c r="M112" s="74">
        <v>25111</v>
      </c>
      <c r="N112" s="67" t="s">
        <v>479</v>
      </c>
      <c r="P112" s="23"/>
    </row>
    <row r="113" spans="2:16" ht="17" x14ac:dyDescent="0.2">
      <c r="B113" s="168" t="s">
        <v>539</v>
      </c>
      <c r="C113" s="19" t="s">
        <v>40</v>
      </c>
      <c r="E113" s="34" t="s">
        <v>0</v>
      </c>
      <c r="G113" s="62" t="s">
        <v>41</v>
      </c>
      <c r="H113" s="61">
        <v>18023</v>
      </c>
      <c r="J113" s="74" t="s">
        <v>0</v>
      </c>
      <c r="L113" s="271" t="s">
        <v>41</v>
      </c>
      <c r="M113" s="74">
        <v>25111</v>
      </c>
      <c r="N113" s="67" t="s">
        <v>479</v>
      </c>
      <c r="P113" s="23"/>
    </row>
    <row r="114" spans="2:16" ht="17" x14ac:dyDescent="0.2">
      <c r="B114" s="147" t="s">
        <v>143</v>
      </c>
      <c r="C114" s="19" t="s">
        <v>40</v>
      </c>
      <c r="E114" s="34" t="s">
        <v>0</v>
      </c>
      <c r="G114" s="62" t="s">
        <v>41</v>
      </c>
      <c r="H114" s="61">
        <v>18023</v>
      </c>
      <c r="J114" s="74" t="s">
        <v>0</v>
      </c>
      <c r="L114" s="271" t="s">
        <v>41</v>
      </c>
      <c r="M114" s="74">
        <v>25111</v>
      </c>
      <c r="N114" s="67" t="s">
        <v>479</v>
      </c>
      <c r="P114" s="23"/>
    </row>
    <row r="115" spans="2:16" ht="23" x14ac:dyDescent="0.3">
      <c r="B115" s="148" t="s">
        <v>144</v>
      </c>
      <c r="C115" s="19"/>
      <c r="G115" s="62"/>
      <c r="H115" s="61"/>
      <c r="L115" s="275"/>
      <c r="N115" s="67"/>
      <c r="P115" s="23"/>
    </row>
    <row r="116" spans="2:16" ht="17" x14ac:dyDescent="0.2">
      <c r="B116" s="168" t="s">
        <v>145</v>
      </c>
      <c r="C116" s="19" t="s">
        <v>40</v>
      </c>
      <c r="E116" s="34" t="s">
        <v>0</v>
      </c>
      <c r="G116" s="62" t="s">
        <v>41</v>
      </c>
      <c r="H116" s="61">
        <v>18023</v>
      </c>
      <c r="J116" s="74" t="s">
        <v>0</v>
      </c>
      <c r="L116" s="271" t="s">
        <v>41</v>
      </c>
      <c r="M116" s="74">
        <v>25111</v>
      </c>
      <c r="N116" s="67" t="s">
        <v>479</v>
      </c>
      <c r="P116" s="23"/>
    </row>
    <row r="117" spans="2:16" ht="17" x14ac:dyDescent="0.2">
      <c r="B117" s="168" t="s">
        <v>146</v>
      </c>
      <c r="C117" s="19" t="s">
        <v>40</v>
      </c>
      <c r="E117" s="34" t="s">
        <v>0</v>
      </c>
      <c r="G117" s="62" t="s">
        <v>41</v>
      </c>
      <c r="H117" s="61">
        <v>18023</v>
      </c>
      <c r="J117" s="74" t="s">
        <v>0</v>
      </c>
      <c r="L117" s="271" t="s">
        <v>41</v>
      </c>
      <c r="M117" s="74">
        <v>25111</v>
      </c>
      <c r="N117" s="67" t="s">
        <v>479</v>
      </c>
      <c r="P117" s="23"/>
    </row>
    <row r="118" spans="2:16" ht="17" x14ac:dyDescent="0.2">
      <c r="B118" s="168" t="s">
        <v>147</v>
      </c>
      <c r="C118" s="19" t="s">
        <v>40</v>
      </c>
      <c r="E118" s="34" t="s">
        <v>0</v>
      </c>
      <c r="G118" s="62" t="s">
        <v>41</v>
      </c>
      <c r="H118" s="61">
        <v>18023</v>
      </c>
      <c r="J118" s="74" t="s">
        <v>0</v>
      </c>
      <c r="L118" s="271" t="s">
        <v>41</v>
      </c>
      <c r="M118" s="74">
        <v>25111</v>
      </c>
      <c r="N118" s="67" t="s">
        <v>479</v>
      </c>
      <c r="P118" s="23"/>
    </row>
    <row r="119" spans="2:16" ht="17" x14ac:dyDescent="0.2">
      <c r="B119" s="168" t="s">
        <v>148</v>
      </c>
      <c r="C119" s="19" t="s">
        <v>40</v>
      </c>
      <c r="E119" s="34" t="s">
        <v>0</v>
      </c>
      <c r="G119" s="62" t="s">
        <v>41</v>
      </c>
      <c r="H119" s="61">
        <v>18023</v>
      </c>
      <c r="J119" s="74" t="s">
        <v>0</v>
      </c>
      <c r="L119" s="271" t="s">
        <v>41</v>
      </c>
      <c r="M119" s="74">
        <v>25111</v>
      </c>
      <c r="N119" s="67" t="s">
        <v>479</v>
      </c>
      <c r="P119" s="23"/>
    </row>
    <row r="120" spans="2:16" ht="17" x14ac:dyDescent="0.2">
      <c r="B120" s="168" t="s">
        <v>149</v>
      </c>
      <c r="C120" s="19" t="s">
        <v>40</v>
      </c>
      <c r="E120" s="34" t="s">
        <v>0</v>
      </c>
      <c r="G120" s="62" t="s">
        <v>41</v>
      </c>
      <c r="H120" s="61">
        <v>18023</v>
      </c>
      <c r="J120" s="74" t="s">
        <v>0</v>
      </c>
      <c r="L120" s="271" t="s">
        <v>41</v>
      </c>
      <c r="M120" s="74">
        <v>25111</v>
      </c>
      <c r="N120" s="67" t="s">
        <v>479</v>
      </c>
      <c r="P120" s="23"/>
    </row>
    <row r="121" spans="2:16" ht="20" x14ac:dyDescent="0.2">
      <c r="B121" s="177" t="s">
        <v>51</v>
      </c>
      <c r="C121" s="19"/>
      <c r="G121" s="62"/>
      <c r="H121" s="61"/>
      <c r="L121" s="275"/>
      <c r="N121" s="67"/>
      <c r="P121" s="23"/>
    </row>
    <row r="122" spans="2:16" ht="17" x14ac:dyDescent="0.2">
      <c r="B122" s="176" t="s">
        <v>502</v>
      </c>
      <c r="G122" s="62"/>
      <c r="H122" s="61"/>
      <c r="L122" s="275"/>
      <c r="N122" s="67"/>
      <c r="P122" s="23"/>
    </row>
    <row r="123" spans="2:16" ht="17" x14ac:dyDescent="0.2">
      <c r="B123" s="132" t="s">
        <v>60</v>
      </c>
      <c r="C123" s="19"/>
      <c r="G123" s="62"/>
      <c r="H123" s="61"/>
      <c r="L123" s="275"/>
      <c r="N123" s="67"/>
      <c r="P123" s="23"/>
    </row>
    <row r="124" spans="2:16" ht="17" x14ac:dyDescent="0.2">
      <c r="B124" s="135" t="s">
        <v>61</v>
      </c>
      <c r="C124" s="19" t="s">
        <v>40</v>
      </c>
      <c r="E124" s="34" t="s">
        <v>0</v>
      </c>
      <c r="G124" s="62" t="s">
        <v>41</v>
      </c>
      <c r="H124" s="61">
        <v>18023</v>
      </c>
      <c r="J124" s="74" t="s">
        <v>0</v>
      </c>
      <c r="L124" s="271" t="s">
        <v>41</v>
      </c>
      <c r="M124" s="74">
        <v>25111</v>
      </c>
      <c r="N124" s="67" t="s">
        <v>479</v>
      </c>
      <c r="P124" s="23"/>
    </row>
    <row r="125" spans="2:16" ht="17" x14ac:dyDescent="0.2">
      <c r="B125" s="136" t="s">
        <v>62</v>
      </c>
      <c r="C125" s="19" t="s">
        <v>40</v>
      </c>
      <c r="E125" s="34" t="s">
        <v>0</v>
      </c>
      <c r="G125" s="62" t="s">
        <v>41</v>
      </c>
      <c r="H125" s="61">
        <v>18023</v>
      </c>
      <c r="J125" s="74" t="s">
        <v>0</v>
      </c>
      <c r="L125" s="271" t="s">
        <v>41</v>
      </c>
      <c r="M125" s="74">
        <v>25111</v>
      </c>
      <c r="N125" s="67" t="s">
        <v>479</v>
      </c>
      <c r="P125" s="23"/>
    </row>
    <row r="126" spans="2:16" ht="96" x14ac:dyDescent="0.2">
      <c r="B126" s="137" t="s">
        <v>63</v>
      </c>
      <c r="C126" s="19" t="s">
        <v>40</v>
      </c>
      <c r="E126" s="34" t="s">
        <v>0</v>
      </c>
      <c r="G126" s="62" t="s">
        <v>41</v>
      </c>
      <c r="H126" s="61">
        <v>18023</v>
      </c>
      <c r="J126" s="74" t="s">
        <v>0</v>
      </c>
      <c r="L126" s="271" t="s">
        <v>41</v>
      </c>
      <c r="M126" s="74">
        <v>25111</v>
      </c>
      <c r="N126" s="67" t="s">
        <v>479</v>
      </c>
      <c r="P126" s="23"/>
    </row>
    <row r="127" spans="2:16" ht="17" x14ac:dyDescent="0.2">
      <c r="B127" s="136" t="s">
        <v>64</v>
      </c>
      <c r="C127" s="19" t="s">
        <v>40</v>
      </c>
      <c r="E127" s="34" t="s">
        <v>0</v>
      </c>
      <c r="G127" s="62" t="s">
        <v>41</v>
      </c>
      <c r="H127" s="61">
        <v>18023</v>
      </c>
      <c r="J127" s="74" t="s">
        <v>0</v>
      </c>
      <c r="L127" s="271" t="s">
        <v>41</v>
      </c>
      <c r="M127" s="74">
        <v>25111</v>
      </c>
      <c r="N127" s="67" t="s">
        <v>479</v>
      </c>
      <c r="P127" s="23"/>
    </row>
    <row r="128" spans="2:16" ht="20" x14ac:dyDescent="0.25">
      <c r="B128" s="149" t="s">
        <v>150</v>
      </c>
      <c r="C128" s="19"/>
      <c r="G128" s="62"/>
      <c r="H128" s="61"/>
      <c r="L128" s="271"/>
      <c r="N128" s="67"/>
      <c r="P128" s="23"/>
    </row>
    <row r="129" spans="2:16" x14ac:dyDescent="0.2">
      <c r="B129" s="150" t="s">
        <v>151</v>
      </c>
      <c r="C129" s="19"/>
      <c r="G129" s="62"/>
      <c r="H129" s="61"/>
      <c r="L129" s="271"/>
      <c r="N129" s="67"/>
      <c r="P129" s="23"/>
    </row>
    <row r="130" spans="2:16" ht="17" x14ac:dyDescent="0.2">
      <c r="B130" s="151" t="s">
        <v>152</v>
      </c>
      <c r="C130" s="19" t="s">
        <v>40</v>
      </c>
      <c r="E130" s="34" t="s">
        <v>0</v>
      </c>
      <c r="G130" s="62" t="s">
        <v>41</v>
      </c>
      <c r="H130" s="61">
        <v>18023</v>
      </c>
      <c r="J130" s="74" t="s">
        <v>0</v>
      </c>
      <c r="L130" s="271" t="s">
        <v>41</v>
      </c>
      <c r="M130" s="74">
        <v>25111</v>
      </c>
      <c r="N130" s="67" t="s">
        <v>479</v>
      </c>
      <c r="P130" s="23"/>
    </row>
    <row r="131" spans="2:16" ht="17" x14ac:dyDescent="0.2">
      <c r="B131" s="151" t="s">
        <v>153</v>
      </c>
      <c r="C131" s="19" t="s">
        <v>40</v>
      </c>
      <c r="E131" s="34" t="s">
        <v>0</v>
      </c>
      <c r="G131" s="62" t="s">
        <v>41</v>
      </c>
      <c r="H131" s="61">
        <v>18023</v>
      </c>
      <c r="J131" s="74" t="s">
        <v>0</v>
      </c>
      <c r="L131" s="271" t="s">
        <v>41</v>
      </c>
      <c r="M131" s="74">
        <v>25111</v>
      </c>
      <c r="N131" s="67" t="s">
        <v>479</v>
      </c>
      <c r="P131" s="23"/>
    </row>
    <row r="132" spans="2:16" ht="17" x14ac:dyDescent="0.2">
      <c r="B132" s="152" t="s">
        <v>154</v>
      </c>
      <c r="C132" s="19" t="s">
        <v>40</v>
      </c>
      <c r="E132" s="34" t="s">
        <v>0</v>
      </c>
      <c r="G132" s="62" t="s">
        <v>41</v>
      </c>
      <c r="H132" s="61">
        <v>18023</v>
      </c>
      <c r="J132" s="74" t="s">
        <v>0</v>
      </c>
      <c r="L132" s="271" t="s">
        <v>41</v>
      </c>
      <c r="M132" s="74">
        <v>25111</v>
      </c>
      <c r="N132" s="67" t="s">
        <v>479</v>
      </c>
      <c r="P132" s="23"/>
    </row>
    <row r="133" spans="2:16" ht="17" x14ac:dyDescent="0.2">
      <c r="B133" s="143" t="s">
        <v>155</v>
      </c>
      <c r="C133" s="19" t="s">
        <v>40</v>
      </c>
      <c r="E133" s="34" t="s">
        <v>0</v>
      </c>
      <c r="G133" s="62" t="s">
        <v>41</v>
      </c>
      <c r="H133" s="61">
        <v>18023</v>
      </c>
      <c r="J133" s="74" t="s">
        <v>0</v>
      </c>
      <c r="L133" s="271" t="s">
        <v>41</v>
      </c>
      <c r="M133" s="74">
        <v>25111</v>
      </c>
      <c r="N133" s="67" t="s">
        <v>479</v>
      </c>
      <c r="P133" s="23"/>
    </row>
    <row r="134" spans="2:16" x14ac:dyDescent="0.2">
      <c r="B134" s="153" t="s">
        <v>156</v>
      </c>
      <c r="G134" s="62"/>
      <c r="H134" s="61"/>
      <c r="L134" s="274"/>
      <c r="N134" s="67"/>
      <c r="P134" s="23"/>
    </row>
    <row r="135" spans="2:16" x14ac:dyDescent="0.2">
      <c r="B135" s="153" t="s">
        <v>157</v>
      </c>
      <c r="C135" s="19"/>
      <c r="G135" s="62"/>
      <c r="H135" s="61"/>
      <c r="L135" s="271"/>
      <c r="N135" s="67"/>
      <c r="P135" s="23"/>
    </row>
    <row r="136" spans="2:16" ht="17" x14ac:dyDescent="0.2">
      <c r="B136" s="154" t="s">
        <v>158</v>
      </c>
      <c r="C136" s="19" t="s">
        <v>40</v>
      </c>
      <c r="E136" s="34" t="s">
        <v>0</v>
      </c>
      <c r="G136" s="62" t="s">
        <v>41</v>
      </c>
      <c r="H136" s="61">
        <v>18023</v>
      </c>
      <c r="J136" s="74" t="s">
        <v>0</v>
      </c>
      <c r="L136" s="271" t="s">
        <v>41</v>
      </c>
      <c r="M136" s="74">
        <v>25111</v>
      </c>
      <c r="N136" s="67" t="s">
        <v>479</v>
      </c>
      <c r="P136" s="23"/>
    </row>
    <row r="137" spans="2:16" ht="17" x14ac:dyDescent="0.2">
      <c r="B137" s="155" t="s">
        <v>159</v>
      </c>
      <c r="C137" s="19" t="s">
        <v>40</v>
      </c>
      <c r="E137" s="34" t="s">
        <v>0</v>
      </c>
      <c r="G137" s="62" t="s">
        <v>41</v>
      </c>
      <c r="H137" s="61">
        <v>18023</v>
      </c>
      <c r="J137" s="74" t="s">
        <v>0</v>
      </c>
      <c r="L137" s="271" t="s">
        <v>41</v>
      </c>
      <c r="M137" s="74">
        <v>25111</v>
      </c>
      <c r="N137" s="67" t="s">
        <v>479</v>
      </c>
      <c r="P137" s="23"/>
    </row>
    <row r="138" spans="2:16" ht="17" x14ac:dyDescent="0.2">
      <c r="B138" s="151" t="s">
        <v>160</v>
      </c>
      <c r="C138" s="19" t="s">
        <v>40</v>
      </c>
      <c r="E138" s="34" t="s">
        <v>0</v>
      </c>
      <c r="G138" s="62" t="s">
        <v>41</v>
      </c>
      <c r="H138" s="61">
        <v>18023</v>
      </c>
      <c r="J138" s="74" t="s">
        <v>0</v>
      </c>
      <c r="L138" s="271" t="s">
        <v>41</v>
      </c>
      <c r="M138" s="74">
        <v>25111</v>
      </c>
      <c r="N138" s="67" t="s">
        <v>479</v>
      </c>
      <c r="P138" s="23"/>
    </row>
    <row r="139" spans="2:16" x14ac:dyDescent="0.2">
      <c r="B139" s="153" t="s">
        <v>161</v>
      </c>
      <c r="C139" s="19"/>
      <c r="G139" s="62"/>
      <c r="H139" s="61"/>
      <c r="L139" s="271"/>
      <c r="N139" s="67"/>
      <c r="P139" s="23"/>
    </row>
    <row r="140" spans="2:16" x14ac:dyDescent="0.2">
      <c r="B140" s="156" t="s">
        <v>162</v>
      </c>
      <c r="C140" s="19"/>
      <c r="G140" s="62"/>
      <c r="H140" s="61"/>
      <c r="L140" s="271"/>
      <c r="N140" s="67"/>
      <c r="P140" s="23"/>
    </row>
    <row r="141" spans="2:16" ht="48" x14ac:dyDescent="0.2">
      <c r="B141" s="151" t="s">
        <v>163</v>
      </c>
      <c r="C141" s="19" t="s">
        <v>40</v>
      </c>
      <c r="E141" s="34" t="s">
        <v>0</v>
      </c>
      <c r="G141" s="62" t="s">
        <v>41</v>
      </c>
      <c r="H141" s="61">
        <v>18023</v>
      </c>
      <c r="J141" s="74" t="s">
        <v>0</v>
      </c>
      <c r="L141" s="271" t="s">
        <v>41</v>
      </c>
      <c r="M141" s="74">
        <v>25111</v>
      </c>
      <c r="N141" s="67" t="s">
        <v>479</v>
      </c>
      <c r="P141" s="23"/>
    </row>
    <row r="142" spans="2:16" ht="17" x14ac:dyDescent="0.2">
      <c r="B142" s="138" t="s">
        <v>164</v>
      </c>
      <c r="C142" s="19" t="s">
        <v>40</v>
      </c>
      <c r="E142" s="34" t="s">
        <v>0</v>
      </c>
      <c r="G142" s="62" t="s">
        <v>41</v>
      </c>
      <c r="H142" s="61">
        <v>18023</v>
      </c>
      <c r="J142" s="74" t="s">
        <v>0</v>
      </c>
      <c r="L142" s="271" t="s">
        <v>41</v>
      </c>
      <c r="M142" s="74">
        <v>25111</v>
      </c>
      <c r="N142" s="67" t="s">
        <v>479</v>
      </c>
      <c r="P142" s="23"/>
    </row>
    <row r="143" spans="2:16" x14ac:dyDescent="0.2">
      <c r="B143" s="156" t="s">
        <v>165</v>
      </c>
      <c r="C143" s="19"/>
      <c r="G143" s="62"/>
      <c r="H143" s="61"/>
      <c r="L143" s="271"/>
      <c r="N143" s="67"/>
      <c r="P143" s="23"/>
    </row>
    <row r="144" spans="2:16" ht="48" x14ac:dyDescent="0.2">
      <c r="B144" s="151" t="s">
        <v>166</v>
      </c>
      <c r="C144" s="19" t="s">
        <v>40</v>
      </c>
      <c r="E144" s="34" t="s">
        <v>0</v>
      </c>
      <c r="G144" s="62" t="s">
        <v>41</v>
      </c>
      <c r="H144" s="61">
        <v>18023</v>
      </c>
      <c r="J144" s="74" t="s">
        <v>0</v>
      </c>
      <c r="L144" s="271" t="s">
        <v>41</v>
      </c>
      <c r="M144" s="74">
        <v>25111</v>
      </c>
      <c r="N144" s="67" t="s">
        <v>479</v>
      </c>
      <c r="P144" s="23"/>
    </row>
    <row r="145" spans="2:16" ht="17" x14ac:dyDescent="0.2">
      <c r="B145" s="138" t="s">
        <v>167</v>
      </c>
      <c r="C145" s="19" t="s">
        <v>40</v>
      </c>
      <c r="E145" s="34" t="s">
        <v>0</v>
      </c>
      <c r="G145" s="62" t="s">
        <v>41</v>
      </c>
      <c r="H145" s="61">
        <v>18023</v>
      </c>
      <c r="J145" s="74" t="s">
        <v>0</v>
      </c>
      <c r="L145" s="271" t="s">
        <v>41</v>
      </c>
      <c r="M145" s="74">
        <v>25111</v>
      </c>
      <c r="N145" s="67" t="s">
        <v>479</v>
      </c>
      <c r="P145" s="23"/>
    </row>
    <row r="146" spans="2:16" x14ac:dyDescent="0.2">
      <c r="B146" s="157" t="s">
        <v>168</v>
      </c>
      <c r="P146" s="23"/>
    </row>
    <row r="147" spans="2:16" ht="51" x14ac:dyDescent="0.2">
      <c r="B147" s="158" t="s">
        <v>169</v>
      </c>
      <c r="C147" s="19" t="s">
        <v>40</v>
      </c>
      <c r="E147" s="34" t="s">
        <v>0</v>
      </c>
      <c r="G147" s="62" t="s">
        <v>41</v>
      </c>
      <c r="H147" s="61">
        <v>18023</v>
      </c>
      <c r="J147" s="74" t="s">
        <v>0</v>
      </c>
      <c r="L147" s="271" t="s">
        <v>41</v>
      </c>
      <c r="M147" s="74">
        <v>25111</v>
      </c>
      <c r="N147" s="67" t="s">
        <v>479</v>
      </c>
      <c r="P147" s="23"/>
    </row>
    <row r="148" spans="2:16" ht="17" x14ac:dyDescent="0.2">
      <c r="B148" s="159" t="s">
        <v>170</v>
      </c>
      <c r="C148" s="19" t="s">
        <v>40</v>
      </c>
      <c r="E148" s="34" t="s">
        <v>0</v>
      </c>
      <c r="G148" s="62" t="s">
        <v>41</v>
      </c>
      <c r="H148" s="61">
        <v>18023</v>
      </c>
      <c r="J148" s="74" t="s">
        <v>0</v>
      </c>
      <c r="L148" s="271" t="s">
        <v>41</v>
      </c>
      <c r="M148" s="74">
        <v>25111</v>
      </c>
      <c r="N148" s="67" t="s">
        <v>479</v>
      </c>
      <c r="P148" s="23"/>
    </row>
    <row r="149" spans="2:16" x14ac:dyDescent="0.2">
      <c r="B149" s="157" t="s">
        <v>171</v>
      </c>
      <c r="C149" s="19"/>
      <c r="G149" s="35"/>
      <c r="H149" s="69"/>
      <c r="M149" s="276"/>
      <c r="N149" s="64"/>
      <c r="P149" s="23"/>
    </row>
    <row r="150" spans="2:16" ht="48" x14ac:dyDescent="0.2">
      <c r="B150" s="144" t="s">
        <v>172</v>
      </c>
      <c r="C150" s="19" t="s">
        <v>40</v>
      </c>
      <c r="E150" s="34" t="s">
        <v>0</v>
      </c>
      <c r="G150" s="62" t="s">
        <v>41</v>
      </c>
      <c r="H150" s="61">
        <v>18023</v>
      </c>
      <c r="J150" s="74" t="s">
        <v>0</v>
      </c>
      <c r="L150" s="271" t="s">
        <v>41</v>
      </c>
      <c r="M150" s="74">
        <v>25111</v>
      </c>
      <c r="N150" s="67" t="s">
        <v>479</v>
      </c>
      <c r="P150" s="23"/>
    </row>
    <row r="151" spans="2:16" ht="17" x14ac:dyDescent="0.2">
      <c r="B151" s="160" t="s">
        <v>173</v>
      </c>
      <c r="C151" s="19" t="s">
        <v>40</v>
      </c>
      <c r="E151" s="34" t="s">
        <v>0</v>
      </c>
      <c r="G151" s="62" t="s">
        <v>41</v>
      </c>
      <c r="H151" s="61">
        <v>18023</v>
      </c>
      <c r="J151" s="74" t="s">
        <v>0</v>
      </c>
      <c r="L151" s="271" t="s">
        <v>41</v>
      </c>
      <c r="M151" s="74">
        <v>25111</v>
      </c>
      <c r="N151" s="67" t="s">
        <v>479</v>
      </c>
      <c r="P151" s="23"/>
    </row>
    <row r="152" spans="2:16" ht="17" x14ac:dyDescent="0.2">
      <c r="B152" s="161" t="s">
        <v>174</v>
      </c>
      <c r="P152" s="23"/>
    </row>
    <row r="153" spans="2:16" ht="51" x14ac:dyDescent="0.2">
      <c r="B153" s="161" t="s">
        <v>175</v>
      </c>
      <c r="C153" s="19"/>
      <c r="G153" s="35"/>
      <c r="H153" s="69"/>
      <c r="M153" s="276"/>
      <c r="N153" s="64"/>
      <c r="P153" s="23"/>
    </row>
    <row r="154" spans="2:16" ht="17" x14ac:dyDescent="0.2">
      <c r="B154" s="131" t="s">
        <v>176</v>
      </c>
      <c r="C154" s="19" t="s">
        <v>40</v>
      </c>
      <c r="E154" s="34" t="s">
        <v>0</v>
      </c>
      <c r="G154" s="62" t="s">
        <v>41</v>
      </c>
      <c r="H154" s="61">
        <v>18023</v>
      </c>
      <c r="J154" s="74" t="s">
        <v>0</v>
      </c>
      <c r="L154" s="271" t="s">
        <v>41</v>
      </c>
      <c r="M154" s="74">
        <v>25111</v>
      </c>
      <c r="N154" s="67" t="s">
        <v>479</v>
      </c>
      <c r="P154" s="23"/>
    </row>
    <row r="155" spans="2:16" ht="17" x14ac:dyDescent="0.2">
      <c r="B155" s="160" t="s">
        <v>177</v>
      </c>
      <c r="C155" s="19" t="s">
        <v>40</v>
      </c>
      <c r="E155" s="34" t="s">
        <v>0</v>
      </c>
      <c r="G155" s="62" t="s">
        <v>41</v>
      </c>
      <c r="H155" s="61">
        <v>18023</v>
      </c>
      <c r="J155" s="74" t="s">
        <v>0</v>
      </c>
      <c r="L155" s="271" t="s">
        <v>41</v>
      </c>
      <c r="M155" s="74">
        <v>25111</v>
      </c>
      <c r="N155" s="67" t="s">
        <v>479</v>
      </c>
      <c r="P155" s="23"/>
    </row>
    <row r="156" spans="2:16" ht="17" x14ac:dyDescent="0.2">
      <c r="B156" s="131" t="s">
        <v>178</v>
      </c>
      <c r="C156" s="19" t="s">
        <v>40</v>
      </c>
      <c r="E156" s="34" t="s">
        <v>0</v>
      </c>
      <c r="G156" s="62" t="s">
        <v>41</v>
      </c>
      <c r="H156" s="61">
        <v>18023</v>
      </c>
      <c r="J156" s="74" t="s">
        <v>0</v>
      </c>
      <c r="L156" s="271" t="s">
        <v>41</v>
      </c>
      <c r="M156" s="74">
        <v>25111</v>
      </c>
      <c r="N156" s="67" t="s">
        <v>479</v>
      </c>
      <c r="P156" s="23"/>
    </row>
    <row r="157" spans="2:16" ht="68" x14ac:dyDescent="0.2">
      <c r="B157" s="165" t="s">
        <v>289</v>
      </c>
      <c r="C157" s="19" t="s">
        <v>40</v>
      </c>
      <c r="E157" s="34" t="s">
        <v>0</v>
      </c>
      <c r="G157" s="62" t="s">
        <v>41</v>
      </c>
      <c r="H157" s="61">
        <v>18023</v>
      </c>
      <c r="J157" s="74" t="s">
        <v>0</v>
      </c>
      <c r="L157" s="271" t="s">
        <v>41</v>
      </c>
      <c r="M157" s="74">
        <v>25111</v>
      </c>
      <c r="N157" s="67" t="s">
        <v>479</v>
      </c>
      <c r="P157" s="23"/>
    </row>
    <row r="158" spans="2:16" ht="17" x14ac:dyDescent="0.2">
      <c r="B158" s="131" t="s">
        <v>180</v>
      </c>
      <c r="C158" s="19" t="s">
        <v>40</v>
      </c>
      <c r="E158" s="34" t="s">
        <v>0</v>
      </c>
      <c r="G158" s="62" t="s">
        <v>41</v>
      </c>
      <c r="H158" s="61">
        <v>18023</v>
      </c>
      <c r="J158" s="74" t="s">
        <v>0</v>
      </c>
      <c r="L158" s="271" t="s">
        <v>41</v>
      </c>
      <c r="M158" s="74">
        <v>25111</v>
      </c>
      <c r="N158" s="67" t="s">
        <v>479</v>
      </c>
      <c r="P158" s="23"/>
    </row>
    <row r="159" spans="2:16" ht="68" x14ac:dyDescent="0.2">
      <c r="B159" s="165" t="s">
        <v>503</v>
      </c>
      <c r="C159" s="19" t="s">
        <v>40</v>
      </c>
      <c r="E159" s="34" t="s">
        <v>0</v>
      </c>
      <c r="G159" s="62" t="s">
        <v>41</v>
      </c>
      <c r="H159" s="61">
        <v>18023</v>
      </c>
      <c r="J159" s="74" t="s">
        <v>0</v>
      </c>
      <c r="L159" s="271" t="s">
        <v>41</v>
      </c>
      <c r="M159" s="74">
        <v>25111</v>
      </c>
      <c r="N159" s="67" t="s">
        <v>479</v>
      </c>
      <c r="P159" s="23"/>
    </row>
    <row r="160" spans="2:16" ht="17" x14ac:dyDescent="0.2">
      <c r="B160" s="160" t="s">
        <v>182</v>
      </c>
      <c r="C160" s="19" t="s">
        <v>40</v>
      </c>
      <c r="E160" s="34" t="s">
        <v>0</v>
      </c>
      <c r="G160" s="62" t="s">
        <v>41</v>
      </c>
      <c r="H160" s="61">
        <v>18023</v>
      </c>
      <c r="J160" s="74" t="s">
        <v>0</v>
      </c>
      <c r="L160" s="271" t="s">
        <v>41</v>
      </c>
      <c r="M160" s="74">
        <v>25111</v>
      </c>
      <c r="N160" s="67" t="s">
        <v>479</v>
      </c>
      <c r="P160" s="23"/>
    </row>
    <row r="161" spans="2:16" ht="68" x14ac:dyDescent="0.2">
      <c r="B161" s="160" t="s">
        <v>504</v>
      </c>
      <c r="C161" s="19" t="s">
        <v>40</v>
      </c>
      <c r="E161" s="34" t="s">
        <v>0</v>
      </c>
      <c r="G161" s="62" t="s">
        <v>41</v>
      </c>
      <c r="H161" s="61">
        <v>18023</v>
      </c>
      <c r="J161" s="74" t="s">
        <v>0</v>
      </c>
      <c r="L161" s="271" t="s">
        <v>41</v>
      </c>
      <c r="M161" s="74">
        <v>25111</v>
      </c>
      <c r="N161" s="67" t="s">
        <v>479</v>
      </c>
      <c r="P161" s="23"/>
    </row>
    <row r="162" spans="2:16" ht="17" x14ac:dyDescent="0.2">
      <c r="B162" s="162" t="s">
        <v>184</v>
      </c>
      <c r="C162" s="19" t="s">
        <v>40</v>
      </c>
      <c r="E162" s="34" t="s">
        <v>0</v>
      </c>
      <c r="G162" s="62" t="s">
        <v>41</v>
      </c>
      <c r="H162" s="61">
        <v>18023</v>
      </c>
      <c r="J162" s="74" t="s">
        <v>0</v>
      </c>
      <c r="L162" s="271" t="s">
        <v>41</v>
      </c>
      <c r="M162" s="74">
        <v>25111</v>
      </c>
      <c r="N162" s="67" t="s">
        <v>479</v>
      </c>
      <c r="P162" s="23"/>
    </row>
    <row r="163" spans="2:16" ht="18.75" customHeight="1" x14ac:dyDescent="0.2">
      <c r="B163" s="162" t="s">
        <v>185</v>
      </c>
      <c r="C163" s="19" t="s">
        <v>40</v>
      </c>
      <c r="E163" s="34" t="s">
        <v>0</v>
      </c>
      <c r="G163" s="62" t="s">
        <v>41</v>
      </c>
      <c r="H163" s="61">
        <v>18023</v>
      </c>
      <c r="J163" s="74" t="s">
        <v>0</v>
      </c>
      <c r="L163" s="271" t="s">
        <v>41</v>
      </c>
      <c r="M163" s="74">
        <v>25111</v>
      </c>
      <c r="N163" s="67" t="s">
        <v>479</v>
      </c>
      <c r="P163" s="23"/>
    </row>
    <row r="164" spans="2:16" x14ac:dyDescent="0.2">
      <c r="B164"/>
      <c r="C164" s="19"/>
      <c r="G164" s="35"/>
      <c r="H164" s="69"/>
      <c r="J164" s="34"/>
      <c r="K164" s="34"/>
      <c r="L164" s="35"/>
      <c r="M164" s="68"/>
      <c r="N164" s="64"/>
      <c r="P164" s="23"/>
    </row>
    <row r="165" spans="2:16" ht="50" x14ac:dyDescent="0.3">
      <c r="B165" s="125" t="s">
        <v>473</v>
      </c>
      <c r="C165" s="59"/>
      <c r="L165" s="277"/>
      <c r="N165" s="67"/>
    </row>
    <row r="166" spans="2:16" ht="69" x14ac:dyDescent="0.2">
      <c r="B166" s="170" t="s">
        <v>540</v>
      </c>
      <c r="C166" s="19"/>
    </row>
    <row r="167" spans="2:16" ht="17" x14ac:dyDescent="0.2">
      <c r="B167" s="127" t="s">
        <v>31</v>
      </c>
      <c r="C167" s="19"/>
    </row>
    <row r="168" spans="2:16" ht="17" x14ac:dyDescent="0.2">
      <c r="B168" s="127" t="s">
        <v>328</v>
      </c>
      <c r="L168" s="277"/>
      <c r="N168" s="67"/>
    </row>
    <row r="169" spans="2:16" ht="17" x14ac:dyDescent="0.2">
      <c r="B169" s="128" t="s">
        <v>33</v>
      </c>
      <c r="L169" s="277"/>
      <c r="N169" s="67"/>
    </row>
    <row r="170" spans="2:16" ht="17" x14ac:dyDescent="0.2">
      <c r="B170" s="127" t="s">
        <v>34</v>
      </c>
      <c r="C170" s="19"/>
      <c r="L170" s="277"/>
      <c r="N170" s="67"/>
    </row>
    <row r="171" spans="2:16" ht="17" x14ac:dyDescent="0.2">
      <c r="B171" s="127" t="s">
        <v>475</v>
      </c>
      <c r="C171" s="19"/>
      <c r="L171" s="277"/>
      <c r="N171" s="67"/>
    </row>
    <row r="172" spans="2:16" ht="34" x14ac:dyDescent="0.2">
      <c r="B172" s="127" t="s">
        <v>476</v>
      </c>
      <c r="C172" s="19"/>
      <c r="L172" s="277"/>
      <c r="N172" s="67"/>
    </row>
    <row r="173" spans="2:16" ht="17" x14ac:dyDescent="0.2">
      <c r="B173" s="129" t="s">
        <v>36</v>
      </c>
      <c r="C173" s="19"/>
    </row>
    <row r="174" spans="2:16" ht="17" x14ac:dyDescent="0.2">
      <c r="B174" s="129" t="s">
        <v>37</v>
      </c>
      <c r="C174" s="19"/>
      <c r="L174" s="277"/>
      <c r="N174" s="67"/>
    </row>
    <row r="175" spans="2:16" ht="17" x14ac:dyDescent="0.2">
      <c r="B175" s="128" t="s">
        <v>38</v>
      </c>
      <c r="C175" s="19"/>
      <c r="L175" s="277"/>
      <c r="N175" s="67"/>
    </row>
    <row r="176" spans="2:16" ht="48" x14ac:dyDescent="0.2">
      <c r="B176" s="130" t="s">
        <v>477</v>
      </c>
      <c r="C176" s="19" t="s">
        <v>40</v>
      </c>
      <c r="E176" s="34" t="s">
        <v>0</v>
      </c>
      <c r="G176" s="62" t="s">
        <v>41</v>
      </c>
      <c r="H176" s="61">
        <v>18023</v>
      </c>
      <c r="J176" s="74" t="s">
        <v>0</v>
      </c>
      <c r="L176" s="271" t="s">
        <v>41</v>
      </c>
      <c r="M176" s="74">
        <v>25111</v>
      </c>
      <c r="N176" s="67" t="s">
        <v>479</v>
      </c>
    </row>
    <row r="177" spans="2:14" ht="48" x14ac:dyDescent="0.2">
      <c r="B177" s="130" t="s">
        <v>480</v>
      </c>
      <c r="C177" s="19" t="s">
        <v>40</v>
      </c>
      <c r="E177" s="34" t="s">
        <v>0</v>
      </c>
      <c r="G177" s="62" t="s">
        <v>41</v>
      </c>
      <c r="H177" s="61">
        <v>18023</v>
      </c>
      <c r="J177" s="74" t="s">
        <v>0</v>
      </c>
      <c r="L177" s="271" t="s">
        <v>41</v>
      </c>
      <c r="M177" s="74">
        <v>25111</v>
      </c>
      <c r="N177" s="67" t="s">
        <v>479</v>
      </c>
    </row>
    <row r="178" spans="2:14" ht="17" x14ac:dyDescent="0.2">
      <c r="B178" s="128" t="s">
        <v>44</v>
      </c>
      <c r="C178" s="19"/>
      <c r="L178" s="277"/>
      <c r="N178" s="67"/>
    </row>
    <row r="179" spans="2:14" ht="17" x14ac:dyDescent="0.2">
      <c r="B179" s="130" t="s">
        <v>46</v>
      </c>
      <c r="C179" s="19" t="s">
        <v>40</v>
      </c>
      <c r="E179" s="34" t="s">
        <v>0</v>
      </c>
      <c r="G179" s="62" t="s">
        <v>41</v>
      </c>
      <c r="H179" s="61">
        <v>18023</v>
      </c>
      <c r="J179" s="74" t="s">
        <v>0</v>
      </c>
      <c r="L179" s="271" t="s">
        <v>41</v>
      </c>
      <c r="M179" s="74">
        <v>25111</v>
      </c>
      <c r="N179" s="67" t="s">
        <v>479</v>
      </c>
    </row>
    <row r="180" spans="2:14" ht="17" x14ac:dyDescent="0.2">
      <c r="B180" s="128" t="s">
        <v>47</v>
      </c>
    </row>
    <row r="181" spans="2:14" ht="17" x14ac:dyDescent="0.2">
      <c r="B181" s="131" t="s">
        <v>481</v>
      </c>
      <c r="C181" s="19" t="s">
        <v>40</v>
      </c>
      <c r="E181" s="34" t="s">
        <v>0</v>
      </c>
      <c r="G181" s="62" t="s">
        <v>41</v>
      </c>
      <c r="H181" s="61">
        <v>18023</v>
      </c>
      <c r="J181" s="74" t="s">
        <v>0</v>
      </c>
      <c r="L181" s="271" t="s">
        <v>41</v>
      </c>
      <c r="M181" s="74">
        <v>25111</v>
      </c>
      <c r="N181" s="67" t="s">
        <v>479</v>
      </c>
    </row>
    <row r="182" spans="2:14" ht="17" x14ac:dyDescent="0.2">
      <c r="B182" s="131" t="s">
        <v>49</v>
      </c>
      <c r="C182" s="19" t="s">
        <v>40</v>
      </c>
      <c r="E182" s="34" t="s">
        <v>0</v>
      </c>
      <c r="G182" s="62" t="s">
        <v>41</v>
      </c>
      <c r="H182" s="61">
        <v>18023</v>
      </c>
      <c r="J182" s="74" t="s">
        <v>0</v>
      </c>
      <c r="L182" s="271" t="s">
        <v>41</v>
      </c>
      <c r="M182" s="74">
        <v>25111</v>
      </c>
      <c r="N182" s="67" t="s">
        <v>479</v>
      </c>
    </row>
    <row r="183" spans="2:14" ht="17" x14ac:dyDescent="0.2">
      <c r="B183" s="128" t="s">
        <v>482</v>
      </c>
      <c r="L183" s="277"/>
      <c r="N183" s="67"/>
    </row>
    <row r="184" spans="2:14" ht="17" x14ac:dyDescent="0.2">
      <c r="B184" s="131" t="s">
        <v>66</v>
      </c>
      <c r="C184" s="19" t="s">
        <v>40</v>
      </c>
      <c r="E184" s="34" t="s">
        <v>0</v>
      </c>
      <c r="G184" s="62" t="s">
        <v>41</v>
      </c>
      <c r="H184" s="61">
        <v>18023</v>
      </c>
      <c r="J184" s="74" t="s">
        <v>0</v>
      </c>
      <c r="L184" s="271" t="s">
        <v>41</v>
      </c>
      <c r="M184" s="74">
        <v>25111</v>
      </c>
      <c r="N184" s="67" t="s">
        <v>479</v>
      </c>
    </row>
    <row r="185" spans="2:14" ht="17" x14ac:dyDescent="0.2">
      <c r="B185" s="138" t="s">
        <v>67</v>
      </c>
      <c r="C185" s="19" t="s">
        <v>40</v>
      </c>
      <c r="E185" s="34" t="s">
        <v>0</v>
      </c>
      <c r="G185" s="62" t="s">
        <v>41</v>
      </c>
      <c r="H185" s="61">
        <v>18023</v>
      </c>
      <c r="J185" s="74" t="s">
        <v>0</v>
      </c>
      <c r="L185" s="271" t="s">
        <v>41</v>
      </c>
      <c r="M185" s="74">
        <v>25111</v>
      </c>
      <c r="N185" s="67" t="s">
        <v>479</v>
      </c>
    </row>
    <row r="186" spans="2:14" ht="17" x14ac:dyDescent="0.2">
      <c r="B186" s="138" t="s">
        <v>68</v>
      </c>
      <c r="C186" s="19" t="s">
        <v>40</v>
      </c>
      <c r="E186" s="34" t="s">
        <v>0</v>
      </c>
      <c r="G186" s="62" t="s">
        <v>41</v>
      </c>
      <c r="H186" s="61">
        <v>18023</v>
      </c>
      <c r="J186" s="74" t="s">
        <v>0</v>
      </c>
      <c r="L186" s="271" t="s">
        <v>41</v>
      </c>
      <c r="M186" s="74">
        <v>25111</v>
      </c>
      <c r="N186" s="67" t="s">
        <v>479</v>
      </c>
    </row>
    <row r="187" spans="2:14" ht="17" x14ac:dyDescent="0.2">
      <c r="B187" s="138" t="s">
        <v>69</v>
      </c>
      <c r="C187" s="19" t="s">
        <v>40</v>
      </c>
      <c r="E187" s="34" t="s">
        <v>0</v>
      </c>
      <c r="G187" s="62" t="s">
        <v>41</v>
      </c>
      <c r="H187" s="61">
        <v>18023</v>
      </c>
      <c r="J187" s="74" t="s">
        <v>0</v>
      </c>
      <c r="L187" s="271" t="s">
        <v>41</v>
      </c>
      <c r="M187" s="74">
        <v>25111</v>
      </c>
      <c r="N187" s="67" t="s">
        <v>479</v>
      </c>
    </row>
    <row r="188" spans="2:14" ht="17" x14ac:dyDescent="0.2">
      <c r="B188" s="138" t="s">
        <v>70</v>
      </c>
      <c r="C188" s="19" t="s">
        <v>40</v>
      </c>
      <c r="E188" s="34" t="s">
        <v>0</v>
      </c>
      <c r="G188" s="62" t="s">
        <v>41</v>
      </c>
      <c r="H188" s="61">
        <v>18023</v>
      </c>
      <c r="J188" s="74" t="s">
        <v>0</v>
      </c>
      <c r="L188" s="271" t="s">
        <v>41</v>
      </c>
      <c r="M188" s="74">
        <v>25111</v>
      </c>
      <c r="N188" s="67" t="s">
        <v>479</v>
      </c>
    </row>
    <row r="189" spans="2:14" ht="17" x14ac:dyDescent="0.2">
      <c r="B189" s="138" t="s">
        <v>71</v>
      </c>
      <c r="C189" s="19" t="s">
        <v>40</v>
      </c>
      <c r="E189" s="34" t="s">
        <v>0</v>
      </c>
      <c r="G189" s="62" t="s">
        <v>41</v>
      </c>
      <c r="H189" s="61">
        <v>18023</v>
      </c>
      <c r="J189" s="74" t="s">
        <v>0</v>
      </c>
      <c r="L189" s="271" t="s">
        <v>41</v>
      </c>
      <c r="M189" s="74">
        <v>25111</v>
      </c>
      <c r="N189" s="67" t="s">
        <v>479</v>
      </c>
    </row>
    <row r="190" spans="2:14" ht="17" x14ac:dyDescent="0.2">
      <c r="B190" s="139" t="s">
        <v>72</v>
      </c>
      <c r="C190" s="19" t="s">
        <v>40</v>
      </c>
      <c r="E190" s="34" t="s">
        <v>0</v>
      </c>
      <c r="G190" s="62" t="s">
        <v>41</v>
      </c>
      <c r="H190" s="61">
        <v>18023</v>
      </c>
      <c r="J190" s="74" t="s">
        <v>0</v>
      </c>
      <c r="L190" s="271" t="s">
        <v>41</v>
      </c>
      <c r="M190" s="74">
        <v>25111</v>
      </c>
      <c r="N190" s="67" t="s">
        <v>479</v>
      </c>
    </row>
    <row r="191" spans="2:14" ht="17" x14ac:dyDescent="0.2">
      <c r="B191" s="138" t="s">
        <v>483</v>
      </c>
      <c r="C191" s="19" t="s">
        <v>40</v>
      </c>
      <c r="E191" s="34" t="s">
        <v>0</v>
      </c>
      <c r="G191" s="62" t="s">
        <v>41</v>
      </c>
      <c r="H191" s="61">
        <v>18023</v>
      </c>
      <c r="J191" s="74" t="s">
        <v>0</v>
      </c>
      <c r="L191" s="271" t="s">
        <v>41</v>
      </c>
      <c r="M191" s="74">
        <v>25111</v>
      </c>
      <c r="N191" s="67" t="s">
        <v>479</v>
      </c>
    </row>
    <row r="192" spans="2:14" ht="17" x14ac:dyDescent="0.2">
      <c r="B192" s="138" t="s">
        <v>484</v>
      </c>
      <c r="C192" s="19" t="s">
        <v>40</v>
      </c>
      <c r="E192" s="34" t="s">
        <v>0</v>
      </c>
      <c r="G192" s="62" t="s">
        <v>41</v>
      </c>
      <c r="H192" s="61">
        <v>18023</v>
      </c>
      <c r="J192" s="74" t="s">
        <v>0</v>
      </c>
      <c r="L192" s="271" t="s">
        <v>41</v>
      </c>
      <c r="M192" s="74">
        <v>25111</v>
      </c>
      <c r="N192" s="67" t="s">
        <v>479</v>
      </c>
    </row>
    <row r="193" spans="2:14" ht="17" x14ac:dyDescent="0.2">
      <c r="B193" s="139" t="s">
        <v>485</v>
      </c>
      <c r="C193" s="19" t="s">
        <v>40</v>
      </c>
      <c r="E193" s="34" t="s">
        <v>0</v>
      </c>
      <c r="G193" s="62" t="s">
        <v>41</v>
      </c>
      <c r="H193" s="61">
        <v>18023</v>
      </c>
      <c r="J193" s="74" t="s">
        <v>0</v>
      </c>
      <c r="L193" s="271" t="s">
        <v>41</v>
      </c>
      <c r="M193" s="74">
        <v>25111</v>
      </c>
      <c r="N193" s="67" t="s">
        <v>479</v>
      </c>
    </row>
    <row r="194" spans="2:14" ht="17" x14ac:dyDescent="0.2">
      <c r="B194" s="242" t="s">
        <v>486</v>
      </c>
      <c r="C194" s="19" t="s">
        <v>40</v>
      </c>
      <c r="L194" s="277"/>
      <c r="N194" s="67"/>
    </row>
    <row r="195" spans="2:14" ht="17" x14ac:dyDescent="0.2">
      <c r="B195" s="139" t="s">
        <v>487</v>
      </c>
      <c r="C195" s="19" t="s">
        <v>40</v>
      </c>
      <c r="E195" s="34" t="s">
        <v>0</v>
      </c>
      <c r="G195" s="62" t="s">
        <v>41</v>
      </c>
      <c r="H195" s="61">
        <v>18023</v>
      </c>
      <c r="J195" s="74" t="s">
        <v>0</v>
      </c>
      <c r="L195" s="271" t="s">
        <v>41</v>
      </c>
      <c r="M195" s="74">
        <v>25111</v>
      </c>
      <c r="N195" s="67" t="s">
        <v>479</v>
      </c>
    </row>
    <row r="196" spans="2:14" ht="17" x14ac:dyDescent="0.2">
      <c r="B196" s="139" t="s">
        <v>488</v>
      </c>
      <c r="C196" s="19" t="s">
        <v>40</v>
      </c>
      <c r="E196" s="34" t="s">
        <v>0</v>
      </c>
      <c r="G196" s="62" t="s">
        <v>41</v>
      </c>
      <c r="H196" s="61">
        <v>18023</v>
      </c>
      <c r="J196" s="74" t="s">
        <v>0</v>
      </c>
      <c r="L196" s="271" t="s">
        <v>41</v>
      </c>
      <c r="M196" s="74">
        <v>25111</v>
      </c>
      <c r="N196" s="67" t="s">
        <v>479</v>
      </c>
    </row>
    <row r="197" spans="2:14" ht="17" x14ac:dyDescent="0.2">
      <c r="B197" s="139" t="s">
        <v>489</v>
      </c>
      <c r="C197" s="19" t="s">
        <v>40</v>
      </c>
      <c r="E197" s="34" t="s">
        <v>0</v>
      </c>
      <c r="G197" s="62" t="s">
        <v>41</v>
      </c>
      <c r="H197" s="61">
        <v>18023</v>
      </c>
      <c r="J197" s="74" t="s">
        <v>0</v>
      </c>
      <c r="L197" s="271" t="s">
        <v>41</v>
      </c>
      <c r="M197" s="74">
        <v>25111</v>
      </c>
      <c r="N197" s="67" t="s">
        <v>479</v>
      </c>
    </row>
    <row r="198" spans="2:14" ht="17" x14ac:dyDescent="0.2">
      <c r="B198" s="167" t="s">
        <v>490</v>
      </c>
      <c r="C198" s="19" t="s">
        <v>40</v>
      </c>
      <c r="E198" s="34" t="s">
        <v>0</v>
      </c>
      <c r="G198" s="62" t="s">
        <v>41</v>
      </c>
      <c r="H198" s="61">
        <v>18023</v>
      </c>
      <c r="J198" s="74" t="s">
        <v>0</v>
      </c>
      <c r="L198" s="271" t="s">
        <v>41</v>
      </c>
      <c r="M198" s="74">
        <v>25111</v>
      </c>
      <c r="N198" s="67" t="s">
        <v>479</v>
      </c>
    </row>
    <row r="199" spans="2:14" ht="17" x14ac:dyDescent="0.2">
      <c r="B199" s="168" t="s">
        <v>134</v>
      </c>
      <c r="C199" s="19" t="s">
        <v>40</v>
      </c>
      <c r="E199" s="34" t="s">
        <v>0</v>
      </c>
      <c r="G199" s="62" t="s">
        <v>41</v>
      </c>
      <c r="H199" s="61">
        <v>18023</v>
      </c>
      <c r="J199" s="74" t="s">
        <v>0</v>
      </c>
      <c r="L199" s="271" t="s">
        <v>41</v>
      </c>
      <c r="M199" s="74">
        <v>25111</v>
      </c>
      <c r="N199" s="67" t="s">
        <v>479</v>
      </c>
    </row>
    <row r="200" spans="2:14" ht="17" x14ac:dyDescent="0.2">
      <c r="B200" s="139" t="s">
        <v>491</v>
      </c>
      <c r="C200" s="19" t="s">
        <v>40</v>
      </c>
      <c r="E200" s="34" t="s">
        <v>0</v>
      </c>
      <c r="G200" s="62" t="s">
        <v>41</v>
      </c>
      <c r="H200" s="61">
        <v>18023</v>
      </c>
      <c r="J200" s="74" t="s">
        <v>0</v>
      </c>
      <c r="L200" s="271" t="s">
        <v>41</v>
      </c>
      <c r="M200" s="74">
        <v>25111</v>
      </c>
      <c r="N200" s="67" t="s">
        <v>479</v>
      </c>
    </row>
    <row r="201" spans="2:14" ht="17" x14ac:dyDescent="0.2">
      <c r="B201" s="167" t="s">
        <v>492</v>
      </c>
      <c r="C201" s="19" t="s">
        <v>40</v>
      </c>
      <c r="E201" s="34" t="s">
        <v>0</v>
      </c>
      <c r="G201" s="62" t="s">
        <v>41</v>
      </c>
      <c r="H201" s="61">
        <v>18023</v>
      </c>
      <c r="J201" s="74" t="s">
        <v>0</v>
      </c>
      <c r="L201" s="271" t="s">
        <v>41</v>
      </c>
      <c r="M201" s="74">
        <v>25111</v>
      </c>
      <c r="N201" s="67" t="s">
        <v>479</v>
      </c>
    </row>
    <row r="202" spans="2:14" ht="17" x14ac:dyDescent="0.2">
      <c r="B202" s="139" t="s">
        <v>493</v>
      </c>
      <c r="C202" s="19" t="s">
        <v>40</v>
      </c>
      <c r="E202" s="34" t="s">
        <v>0</v>
      </c>
      <c r="G202" s="62" t="s">
        <v>41</v>
      </c>
      <c r="H202" s="61">
        <v>18023</v>
      </c>
      <c r="J202" s="74" t="s">
        <v>0</v>
      </c>
      <c r="L202" s="271" t="s">
        <v>41</v>
      </c>
      <c r="M202" s="74">
        <v>25111</v>
      </c>
      <c r="N202" s="67" t="s">
        <v>479</v>
      </c>
    </row>
    <row r="203" spans="2:14" ht="17" x14ac:dyDescent="0.2">
      <c r="B203" s="138" t="s">
        <v>78</v>
      </c>
      <c r="C203" s="19" t="s">
        <v>40</v>
      </c>
      <c r="E203" s="34" t="s">
        <v>0</v>
      </c>
      <c r="G203" s="62" t="s">
        <v>41</v>
      </c>
      <c r="H203" s="61">
        <v>18023</v>
      </c>
      <c r="J203" s="74" t="s">
        <v>0</v>
      </c>
      <c r="L203" s="271" t="s">
        <v>41</v>
      </c>
      <c r="M203" s="74">
        <v>25111</v>
      </c>
      <c r="N203" s="67" t="s">
        <v>479</v>
      </c>
    </row>
    <row r="204" spans="2:14" ht="17" x14ac:dyDescent="0.2">
      <c r="B204" s="138" t="s">
        <v>79</v>
      </c>
      <c r="C204" s="19" t="s">
        <v>40</v>
      </c>
      <c r="E204" s="34" t="s">
        <v>0</v>
      </c>
      <c r="G204" s="62" t="s">
        <v>41</v>
      </c>
      <c r="H204" s="61">
        <v>18023</v>
      </c>
      <c r="J204" s="74" t="s">
        <v>0</v>
      </c>
      <c r="L204" s="271" t="s">
        <v>41</v>
      </c>
      <c r="M204" s="74">
        <v>25111</v>
      </c>
      <c r="N204" s="67" t="s">
        <v>479</v>
      </c>
    </row>
    <row r="205" spans="2:14" ht="17" x14ac:dyDescent="0.2">
      <c r="B205" s="166" t="s">
        <v>80</v>
      </c>
      <c r="C205" s="19" t="s">
        <v>40</v>
      </c>
      <c r="E205" s="34" t="s">
        <v>0</v>
      </c>
      <c r="G205" s="62" t="s">
        <v>41</v>
      </c>
      <c r="H205" s="61">
        <v>18023</v>
      </c>
      <c r="J205" s="74" t="s">
        <v>0</v>
      </c>
      <c r="L205" s="271" t="s">
        <v>41</v>
      </c>
      <c r="M205" s="74">
        <v>25111</v>
      </c>
      <c r="N205" s="67" t="s">
        <v>479</v>
      </c>
    </row>
    <row r="206" spans="2:14" ht="17" x14ac:dyDescent="0.2">
      <c r="B206" s="138" t="s">
        <v>81</v>
      </c>
      <c r="C206" s="19" t="s">
        <v>40</v>
      </c>
      <c r="E206" s="34" t="s">
        <v>0</v>
      </c>
      <c r="G206" s="62" t="s">
        <v>41</v>
      </c>
      <c r="H206" s="61">
        <v>18023</v>
      </c>
      <c r="J206" s="74" t="s">
        <v>0</v>
      </c>
      <c r="L206" s="271" t="s">
        <v>41</v>
      </c>
      <c r="M206" s="74">
        <v>25111</v>
      </c>
      <c r="N206" s="67" t="s">
        <v>479</v>
      </c>
    </row>
    <row r="207" spans="2:14" ht="17" x14ac:dyDescent="0.2">
      <c r="B207" s="138" t="s">
        <v>82</v>
      </c>
      <c r="C207" s="19" t="s">
        <v>40</v>
      </c>
      <c r="E207" s="34" t="s">
        <v>0</v>
      </c>
      <c r="G207" s="62" t="s">
        <v>41</v>
      </c>
      <c r="H207" s="61">
        <v>18023</v>
      </c>
      <c r="J207" s="74" t="s">
        <v>0</v>
      </c>
      <c r="L207" s="271" t="s">
        <v>41</v>
      </c>
      <c r="M207" s="74">
        <v>25111</v>
      </c>
      <c r="N207" s="67" t="s">
        <v>479</v>
      </c>
    </row>
    <row r="208" spans="2:14" ht="17" x14ac:dyDescent="0.2">
      <c r="B208" s="138" t="s">
        <v>494</v>
      </c>
      <c r="C208" s="19" t="s">
        <v>40</v>
      </c>
      <c r="E208" s="34" t="s">
        <v>0</v>
      </c>
      <c r="G208" s="62" t="s">
        <v>41</v>
      </c>
      <c r="H208" s="61">
        <v>18023</v>
      </c>
      <c r="J208" s="74" t="s">
        <v>0</v>
      </c>
      <c r="L208" s="271" t="s">
        <v>41</v>
      </c>
      <c r="M208" s="74">
        <v>25111</v>
      </c>
      <c r="N208" s="67" t="s">
        <v>479</v>
      </c>
    </row>
    <row r="209" spans="2:14" ht="17" x14ac:dyDescent="0.2">
      <c r="B209" s="166" t="s">
        <v>495</v>
      </c>
      <c r="C209" s="19" t="s">
        <v>40</v>
      </c>
      <c r="E209" s="34" t="s">
        <v>0</v>
      </c>
      <c r="G209" s="62" t="s">
        <v>41</v>
      </c>
      <c r="H209" s="61">
        <v>18023</v>
      </c>
      <c r="J209" s="74" t="s">
        <v>0</v>
      </c>
      <c r="L209" s="271" t="s">
        <v>41</v>
      </c>
      <c r="M209" s="74">
        <v>25111</v>
      </c>
      <c r="N209" s="67" t="s">
        <v>479</v>
      </c>
    </row>
    <row r="210" spans="2:14" ht="17" x14ac:dyDescent="0.2">
      <c r="B210" s="242" t="s">
        <v>496</v>
      </c>
      <c r="C210" s="19"/>
    </row>
    <row r="211" spans="2:14" ht="17" x14ac:dyDescent="0.2">
      <c r="B211" s="147" t="s">
        <v>134</v>
      </c>
      <c r="C211" s="19" t="s">
        <v>40</v>
      </c>
      <c r="E211" s="34" t="s">
        <v>0</v>
      </c>
      <c r="G211" s="62" t="s">
        <v>41</v>
      </c>
      <c r="H211" s="61">
        <v>18023</v>
      </c>
      <c r="J211" s="74" t="s">
        <v>0</v>
      </c>
      <c r="L211" s="271" t="s">
        <v>41</v>
      </c>
      <c r="M211" s="74">
        <v>25111</v>
      </c>
      <c r="N211" s="67" t="s">
        <v>479</v>
      </c>
    </row>
    <row r="212" spans="2:14" ht="17" x14ac:dyDescent="0.2">
      <c r="B212" s="139" t="s">
        <v>497</v>
      </c>
      <c r="C212" s="19" t="s">
        <v>40</v>
      </c>
      <c r="E212" s="34" t="s">
        <v>0</v>
      </c>
      <c r="G212" s="62" t="s">
        <v>41</v>
      </c>
      <c r="H212" s="61">
        <v>18023</v>
      </c>
      <c r="J212" s="74" t="s">
        <v>0</v>
      </c>
      <c r="L212" s="271" t="s">
        <v>41</v>
      </c>
      <c r="M212" s="74">
        <v>25111</v>
      </c>
      <c r="N212" s="67" t="s">
        <v>479</v>
      </c>
    </row>
    <row r="213" spans="2:14" ht="17" x14ac:dyDescent="0.2">
      <c r="B213" s="138" t="s">
        <v>498</v>
      </c>
      <c r="C213" s="19" t="s">
        <v>40</v>
      </c>
      <c r="E213" s="34" t="s">
        <v>0</v>
      </c>
      <c r="G213" s="62" t="s">
        <v>41</v>
      </c>
      <c r="H213" s="61">
        <v>18023</v>
      </c>
      <c r="J213" s="74" t="s">
        <v>0</v>
      </c>
      <c r="L213" s="271" t="s">
        <v>41</v>
      </c>
      <c r="M213" s="74">
        <v>25111</v>
      </c>
      <c r="N213" s="67" t="s">
        <v>479</v>
      </c>
    </row>
    <row r="214" spans="2:14" ht="17" x14ac:dyDescent="0.2">
      <c r="B214" s="139" t="s">
        <v>499</v>
      </c>
      <c r="C214" s="19" t="s">
        <v>40</v>
      </c>
      <c r="E214" s="34" t="s">
        <v>0</v>
      </c>
      <c r="G214" s="62" t="s">
        <v>41</v>
      </c>
      <c r="H214" s="61">
        <v>18023</v>
      </c>
      <c r="J214" s="74" t="s">
        <v>0</v>
      </c>
      <c r="L214" s="271" t="s">
        <v>41</v>
      </c>
      <c r="M214" s="74">
        <v>25111</v>
      </c>
      <c r="N214" s="67" t="s">
        <v>479</v>
      </c>
    </row>
    <row r="215" spans="2:14" x14ac:dyDescent="0.2">
      <c r="B215" s="140" t="s">
        <v>86</v>
      </c>
      <c r="L215" s="277"/>
      <c r="N215" s="67"/>
    </row>
    <row r="216" spans="2:14" x14ac:dyDescent="0.2">
      <c r="B216" s="140" t="s">
        <v>500</v>
      </c>
      <c r="L216" s="277"/>
      <c r="N216" s="67"/>
    </row>
    <row r="217" spans="2:14" ht="17" x14ac:dyDescent="0.2">
      <c r="B217" s="141" t="s">
        <v>87</v>
      </c>
      <c r="C217" s="19" t="s">
        <v>40</v>
      </c>
      <c r="G217" s="62" t="s">
        <v>41</v>
      </c>
      <c r="H217" s="61">
        <v>18023</v>
      </c>
      <c r="J217" s="74" t="s">
        <v>0</v>
      </c>
      <c r="L217" s="271" t="s">
        <v>41</v>
      </c>
      <c r="M217" s="74">
        <v>25111</v>
      </c>
      <c r="N217" s="67" t="s">
        <v>479</v>
      </c>
    </row>
    <row r="218" spans="2:14" ht="32" x14ac:dyDescent="0.2">
      <c r="B218" s="142" t="s">
        <v>102</v>
      </c>
      <c r="C218" s="19" t="s">
        <v>40</v>
      </c>
      <c r="E218" s="34" t="s">
        <v>0</v>
      </c>
      <c r="G218" s="62" t="s">
        <v>41</v>
      </c>
      <c r="H218" s="61">
        <v>18023</v>
      </c>
      <c r="J218" s="74" t="s">
        <v>0</v>
      </c>
      <c r="L218" s="271" t="s">
        <v>41</v>
      </c>
      <c r="M218" s="74">
        <v>25111</v>
      </c>
      <c r="N218" s="67" t="s">
        <v>479</v>
      </c>
    </row>
    <row r="219" spans="2:14" ht="48" x14ac:dyDescent="0.2">
      <c r="B219" s="143" t="s">
        <v>103</v>
      </c>
      <c r="C219" s="19" t="s">
        <v>40</v>
      </c>
      <c r="E219" s="34" t="s">
        <v>0</v>
      </c>
      <c r="G219" s="62" t="s">
        <v>41</v>
      </c>
      <c r="H219" s="61">
        <v>18023</v>
      </c>
      <c r="J219" s="74" t="s">
        <v>0</v>
      </c>
      <c r="L219" s="271" t="s">
        <v>41</v>
      </c>
      <c r="M219" s="74">
        <v>25111</v>
      </c>
      <c r="N219" s="67" t="s">
        <v>479</v>
      </c>
    </row>
    <row r="220" spans="2:14" ht="17" x14ac:dyDescent="0.2">
      <c r="B220" s="144" t="s">
        <v>96</v>
      </c>
      <c r="C220" s="19" t="s">
        <v>40</v>
      </c>
      <c r="E220" s="34" t="s">
        <v>0</v>
      </c>
      <c r="G220" s="62" t="s">
        <v>41</v>
      </c>
      <c r="H220" s="61">
        <v>18023</v>
      </c>
      <c r="J220" s="74" t="s">
        <v>0</v>
      </c>
      <c r="L220" s="271" t="s">
        <v>41</v>
      </c>
      <c r="M220" s="74">
        <v>25111</v>
      </c>
      <c r="N220" s="67" t="s">
        <v>479</v>
      </c>
    </row>
    <row r="221" spans="2:14" ht="32" x14ac:dyDescent="0.2">
      <c r="B221" s="143" t="s">
        <v>104</v>
      </c>
      <c r="C221" s="19" t="s">
        <v>40</v>
      </c>
      <c r="E221" s="34" t="s">
        <v>0</v>
      </c>
      <c r="G221" s="62" t="s">
        <v>41</v>
      </c>
      <c r="H221" s="61">
        <v>18023</v>
      </c>
      <c r="J221" s="74" t="s">
        <v>0</v>
      </c>
      <c r="L221" s="271" t="s">
        <v>41</v>
      </c>
      <c r="M221" s="74">
        <v>25111</v>
      </c>
      <c r="N221" s="67" t="s">
        <v>479</v>
      </c>
    </row>
    <row r="222" spans="2:14" ht="32" x14ac:dyDescent="0.2">
      <c r="B222" s="142" t="s">
        <v>105</v>
      </c>
      <c r="C222" s="19" t="s">
        <v>40</v>
      </c>
      <c r="E222" s="34" t="s">
        <v>0</v>
      </c>
      <c r="G222" s="62" t="s">
        <v>41</v>
      </c>
      <c r="H222" s="61">
        <v>18023</v>
      </c>
      <c r="J222" s="74" t="s">
        <v>0</v>
      </c>
      <c r="L222" s="271" t="s">
        <v>41</v>
      </c>
      <c r="M222" s="74">
        <v>25111</v>
      </c>
      <c r="N222" s="67" t="s">
        <v>479</v>
      </c>
    </row>
    <row r="223" spans="2:14" ht="17" x14ac:dyDescent="0.2">
      <c r="B223" s="144" t="s">
        <v>99</v>
      </c>
      <c r="C223" s="19" t="s">
        <v>40</v>
      </c>
      <c r="E223" s="34" t="s">
        <v>0</v>
      </c>
      <c r="G223" s="62" t="s">
        <v>41</v>
      </c>
      <c r="H223" s="61">
        <v>18023</v>
      </c>
      <c r="J223" s="74" t="s">
        <v>0</v>
      </c>
      <c r="L223" s="271" t="s">
        <v>41</v>
      </c>
      <c r="M223" s="74">
        <v>25111</v>
      </c>
      <c r="N223" s="67" t="s">
        <v>479</v>
      </c>
    </row>
    <row r="224" spans="2:14" ht="17" x14ac:dyDescent="0.2">
      <c r="B224" s="143" t="s">
        <v>106</v>
      </c>
      <c r="C224" s="19" t="s">
        <v>40</v>
      </c>
      <c r="G224" s="62" t="s">
        <v>41</v>
      </c>
      <c r="H224" s="61">
        <v>18023</v>
      </c>
      <c r="J224" s="74" t="s">
        <v>0</v>
      </c>
      <c r="L224" s="271" t="s">
        <v>41</v>
      </c>
      <c r="M224" s="74">
        <v>25111</v>
      </c>
      <c r="N224" s="67" t="s">
        <v>479</v>
      </c>
    </row>
    <row r="225" spans="2:14" x14ac:dyDescent="0.2">
      <c r="B225" s="140" t="s">
        <v>101</v>
      </c>
    </row>
    <row r="226" spans="2:14" ht="17" x14ac:dyDescent="0.2">
      <c r="B226" s="141" t="s">
        <v>87</v>
      </c>
      <c r="C226" s="19" t="s">
        <v>40</v>
      </c>
      <c r="E226" s="34" t="s">
        <v>0</v>
      </c>
      <c r="G226" s="62" t="s">
        <v>41</v>
      </c>
      <c r="H226" s="61">
        <v>18023</v>
      </c>
      <c r="J226" s="74" t="s">
        <v>0</v>
      </c>
      <c r="L226" s="271" t="s">
        <v>41</v>
      </c>
      <c r="M226" s="74">
        <v>25111</v>
      </c>
      <c r="N226" s="67" t="s">
        <v>479</v>
      </c>
    </row>
    <row r="227" spans="2:14" ht="32" x14ac:dyDescent="0.2">
      <c r="B227" s="142" t="s">
        <v>102</v>
      </c>
      <c r="C227" s="19" t="s">
        <v>40</v>
      </c>
      <c r="E227" s="34" t="s">
        <v>0</v>
      </c>
      <c r="G227" s="62" t="s">
        <v>41</v>
      </c>
      <c r="H227" s="61">
        <v>18023</v>
      </c>
      <c r="J227" s="74" t="s">
        <v>0</v>
      </c>
      <c r="L227" s="271" t="s">
        <v>41</v>
      </c>
      <c r="M227" s="74">
        <v>25111</v>
      </c>
      <c r="N227" s="67" t="s">
        <v>479</v>
      </c>
    </row>
    <row r="228" spans="2:14" ht="48" x14ac:dyDescent="0.2">
      <c r="B228" s="143" t="s">
        <v>108</v>
      </c>
      <c r="C228" s="19" t="s">
        <v>40</v>
      </c>
      <c r="E228" s="34" t="s">
        <v>0</v>
      </c>
      <c r="G228" s="62" t="s">
        <v>41</v>
      </c>
      <c r="H228" s="61">
        <v>18023</v>
      </c>
      <c r="J228" s="74" t="s">
        <v>0</v>
      </c>
      <c r="L228" s="271" t="s">
        <v>41</v>
      </c>
      <c r="M228" s="74">
        <v>25111</v>
      </c>
      <c r="N228" s="67" t="s">
        <v>479</v>
      </c>
    </row>
    <row r="229" spans="2:14" ht="17" x14ac:dyDescent="0.2">
      <c r="B229" s="144" t="s">
        <v>96</v>
      </c>
      <c r="C229" s="19" t="s">
        <v>40</v>
      </c>
      <c r="E229" s="34" t="s">
        <v>0</v>
      </c>
      <c r="G229" s="62" t="s">
        <v>41</v>
      </c>
      <c r="H229" s="61">
        <v>18023</v>
      </c>
      <c r="J229" s="74" t="s">
        <v>0</v>
      </c>
      <c r="L229" s="271" t="s">
        <v>41</v>
      </c>
      <c r="M229" s="74">
        <v>25111</v>
      </c>
      <c r="N229" s="67" t="s">
        <v>479</v>
      </c>
    </row>
    <row r="230" spans="2:14" ht="32" x14ac:dyDescent="0.2">
      <c r="B230" s="143" t="s">
        <v>109</v>
      </c>
      <c r="C230" s="19" t="s">
        <v>40</v>
      </c>
      <c r="E230" s="34" t="s">
        <v>0</v>
      </c>
      <c r="G230" s="62" t="s">
        <v>41</v>
      </c>
      <c r="H230" s="61">
        <v>18023</v>
      </c>
      <c r="J230" s="74" t="s">
        <v>0</v>
      </c>
      <c r="L230" s="271" t="s">
        <v>41</v>
      </c>
      <c r="M230" s="74">
        <v>25111</v>
      </c>
      <c r="N230" s="67" t="s">
        <v>479</v>
      </c>
    </row>
    <row r="231" spans="2:14" ht="32" x14ac:dyDescent="0.2">
      <c r="B231" s="142" t="s">
        <v>110</v>
      </c>
      <c r="C231" s="19" t="s">
        <v>40</v>
      </c>
      <c r="E231" s="34" t="s">
        <v>0</v>
      </c>
      <c r="G231" s="62" t="s">
        <v>41</v>
      </c>
      <c r="H231" s="61">
        <v>18023</v>
      </c>
      <c r="J231" s="74" t="s">
        <v>0</v>
      </c>
      <c r="L231" s="271" t="s">
        <v>41</v>
      </c>
      <c r="M231" s="74">
        <v>25111</v>
      </c>
      <c r="N231" s="67" t="s">
        <v>479</v>
      </c>
    </row>
    <row r="232" spans="2:14" ht="17" x14ac:dyDescent="0.2">
      <c r="B232" s="144" t="s">
        <v>99</v>
      </c>
      <c r="C232" s="19" t="s">
        <v>40</v>
      </c>
      <c r="E232" s="34" t="s">
        <v>0</v>
      </c>
      <c r="G232" s="62" t="s">
        <v>41</v>
      </c>
      <c r="H232" s="61">
        <v>18023</v>
      </c>
      <c r="J232" s="74" t="s">
        <v>0</v>
      </c>
      <c r="L232" s="271" t="s">
        <v>41</v>
      </c>
      <c r="M232" s="74">
        <v>25111</v>
      </c>
      <c r="N232" s="67" t="s">
        <v>479</v>
      </c>
    </row>
    <row r="233" spans="2:14" ht="17" x14ac:dyDescent="0.2">
      <c r="B233" s="143" t="s">
        <v>111</v>
      </c>
      <c r="C233" s="19" t="s">
        <v>40</v>
      </c>
      <c r="E233" s="34" t="s">
        <v>0</v>
      </c>
      <c r="G233" s="62" t="s">
        <v>41</v>
      </c>
      <c r="H233" s="61">
        <v>18023</v>
      </c>
      <c r="J233" s="74" t="s">
        <v>0</v>
      </c>
      <c r="L233" s="271" t="s">
        <v>41</v>
      </c>
      <c r="M233" s="74">
        <v>25111</v>
      </c>
      <c r="N233" s="67" t="s">
        <v>479</v>
      </c>
    </row>
    <row r="234" spans="2:14" x14ac:dyDescent="0.2">
      <c r="B234" s="140" t="s">
        <v>107</v>
      </c>
    </row>
    <row r="235" spans="2:14" ht="17" x14ac:dyDescent="0.2">
      <c r="B235" s="141" t="s">
        <v>87</v>
      </c>
      <c r="C235" s="19" t="s">
        <v>40</v>
      </c>
      <c r="E235" s="34" t="s">
        <v>0</v>
      </c>
      <c r="G235" s="62" t="s">
        <v>41</v>
      </c>
      <c r="H235" s="61">
        <v>18023</v>
      </c>
      <c r="J235" s="74" t="s">
        <v>0</v>
      </c>
      <c r="L235" s="271" t="s">
        <v>41</v>
      </c>
      <c r="M235" s="74">
        <v>25111</v>
      </c>
      <c r="N235" s="67" t="s">
        <v>479</v>
      </c>
    </row>
    <row r="236" spans="2:14" ht="32" x14ac:dyDescent="0.2">
      <c r="B236" s="142" t="s">
        <v>102</v>
      </c>
      <c r="C236" s="19" t="s">
        <v>40</v>
      </c>
      <c r="E236" s="34" t="s">
        <v>0</v>
      </c>
      <c r="G236" s="62" t="s">
        <v>41</v>
      </c>
      <c r="H236" s="61">
        <v>18023</v>
      </c>
      <c r="J236" s="74" t="s">
        <v>0</v>
      </c>
      <c r="L236" s="271" t="s">
        <v>41</v>
      </c>
      <c r="M236" s="74">
        <v>25111</v>
      </c>
      <c r="N236" s="67" t="s">
        <v>479</v>
      </c>
    </row>
    <row r="237" spans="2:14" ht="48" x14ac:dyDescent="0.2">
      <c r="B237" s="143" t="s">
        <v>113</v>
      </c>
      <c r="C237" s="19" t="s">
        <v>40</v>
      </c>
      <c r="E237" s="34" t="s">
        <v>0</v>
      </c>
      <c r="G237" s="62" t="s">
        <v>41</v>
      </c>
      <c r="H237" s="61">
        <v>18023</v>
      </c>
      <c r="J237" s="74" t="s">
        <v>0</v>
      </c>
      <c r="L237" s="271" t="s">
        <v>41</v>
      </c>
      <c r="M237" s="74">
        <v>25111</v>
      </c>
      <c r="N237" s="67" t="s">
        <v>479</v>
      </c>
    </row>
    <row r="238" spans="2:14" ht="17" x14ac:dyDescent="0.2">
      <c r="B238" s="144" t="s">
        <v>96</v>
      </c>
      <c r="C238" s="19" t="s">
        <v>40</v>
      </c>
      <c r="E238" s="34" t="s">
        <v>0</v>
      </c>
      <c r="G238" s="62" t="s">
        <v>41</v>
      </c>
      <c r="H238" s="61">
        <v>18023</v>
      </c>
      <c r="J238" s="74" t="s">
        <v>0</v>
      </c>
      <c r="L238" s="271" t="s">
        <v>41</v>
      </c>
      <c r="M238" s="74">
        <v>25111</v>
      </c>
      <c r="N238" s="67" t="s">
        <v>479</v>
      </c>
    </row>
    <row r="239" spans="2:14" ht="32" x14ac:dyDescent="0.2">
      <c r="B239" s="143" t="s">
        <v>97</v>
      </c>
      <c r="C239" s="19" t="s">
        <v>40</v>
      </c>
      <c r="E239" s="34" t="s">
        <v>0</v>
      </c>
      <c r="G239" s="62" t="s">
        <v>41</v>
      </c>
      <c r="H239" s="61">
        <v>18023</v>
      </c>
      <c r="J239" s="74" t="s">
        <v>0</v>
      </c>
      <c r="L239" s="271" t="s">
        <v>41</v>
      </c>
      <c r="M239" s="74">
        <v>25111</v>
      </c>
      <c r="N239" s="67" t="s">
        <v>479</v>
      </c>
    </row>
    <row r="240" spans="2:14" ht="32" x14ac:dyDescent="0.2">
      <c r="B240" s="142" t="s">
        <v>114</v>
      </c>
      <c r="C240" s="19" t="s">
        <v>40</v>
      </c>
      <c r="E240" s="34" t="s">
        <v>0</v>
      </c>
      <c r="G240" s="62" t="s">
        <v>41</v>
      </c>
      <c r="H240" s="61">
        <v>18023</v>
      </c>
      <c r="J240" s="74" t="s">
        <v>0</v>
      </c>
      <c r="L240" s="271" t="s">
        <v>41</v>
      </c>
      <c r="M240" s="74">
        <v>25111</v>
      </c>
      <c r="N240" s="67" t="s">
        <v>479</v>
      </c>
    </row>
    <row r="241" spans="2:14" ht="17" x14ac:dyDescent="0.2">
      <c r="B241" s="144" t="s">
        <v>99</v>
      </c>
      <c r="C241" s="19" t="s">
        <v>40</v>
      </c>
      <c r="E241" s="34" t="s">
        <v>0</v>
      </c>
      <c r="G241" s="62" t="s">
        <v>41</v>
      </c>
      <c r="H241" s="61">
        <v>18023</v>
      </c>
      <c r="J241" s="74" t="s">
        <v>0</v>
      </c>
      <c r="L241" s="271" t="s">
        <v>41</v>
      </c>
      <c r="M241" s="74">
        <v>25111</v>
      </c>
      <c r="N241" s="67" t="s">
        <v>479</v>
      </c>
    </row>
    <row r="242" spans="2:14" ht="17" x14ac:dyDescent="0.2">
      <c r="B242" s="143" t="s">
        <v>115</v>
      </c>
      <c r="C242" s="19" t="s">
        <v>40</v>
      </c>
      <c r="E242" s="34" t="s">
        <v>0</v>
      </c>
      <c r="G242" s="62" t="s">
        <v>41</v>
      </c>
      <c r="H242" s="61">
        <v>18023</v>
      </c>
      <c r="J242" s="74" t="s">
        <v>0</v>
      </c>
      <c r="L242" s="271" t="s">
        <v>41</v>
      </c>
      <c r="M242" s="74">
        <v>25111</v>
      </c>
      <c r="N242" s="67" t="s">
        <v>479</v>
      </c>
    </row>
    <row r="243" spans="2:14" ht="17" x14ac:dyDescent="0.2">
      <c r="B243" s="128" t="s">
        <v>121</v>
      </c>
      <c r="C243" s="19"/>
    </row>
    <row r="244" spans="2:14" ht="17" x14ac:dyDescent="0.2">
      <c r="B244" s="145" t="s">
        <v>122</v>
      </c>
      <c r="C244" s="19" t="s">
        <v>40</v>
      </c>
      <c r="E244" s="34" t="s">
        <v>0</v>
      </c>
      <c r="G244" s="62" t="s">
        <v>41</v>
      </c>
      <c r="H244" s="61">
        <v>18023</v>
      </c>
      <c r="J244" s="74" t="s">
        <v>0</v>
      </c>
      <c r="L244" s="271" t="s">
        <v>41</v>
      </c>
      <c r="M244" s="74">
        <v>25111</v>
      </c>
      <c r="N244" s="67" t="s">
        <v>479</v>
      </c>
    </row>
    <row r="245" spans="2:14" ht="17" x14ac:dyDescent="0.2">
      <c r="B245" s="139" t="s">
        <v>123</v>
      </c>
      <c r="C245" s="19" t="s">
        <v>40</v>
      </c>
      <c r="E245" s="34" t="s">
        <v>0</v>
      </c>
      <c r="G245" s="62" t="s">
        <v>41</v>
      </c>
      <c r="H245" s="61">
        <v>18023</v>
      </c>
      <c r="J245" s="74" t="s">
        <v>0</v>
      </c>
      <c r="L245" s="271" t="s">
        <v>41</v>
      </c>
      <c r="M245" s="74">
        <v>25111</v>
      </c>
      <c r="N245" s="67" t="s">
        <v>479</v>
      </c>
    </row>
    <row r="246" spans="2:14" ht="34" x14ac:dyDescent="0.2">
      <c r="B246" s="139" t="s">
        <v>329</v>
      </c>
      <c r="C246" s="19" t="s">
        <v>40</v>
      </c>
      <c r="E246" s="34" t="s">
        <v>0</v>
      </c>
      <c r="G246" s="62" t="s">
        <v>41</v>
      </c>
      <c r="H246" s="61">
        <v>18023</v>
      </c>
      <c r="J246" s="74" t="s">
        <v>0</v>
      </c>
      <c r="L246" s="271" t="s">
        <v>41</v>
      </c>
      <c r="M246" s="74">
        <v>25111</v>
      </c>
      <c r="N246" s="67" t="s">
        <v>479</v>
      </c>
    </row>
    <row r="247" spans="2:14" ht="17" x14ac:dyDescent="0.2">
      <c r="B247" s="249" t="s">
        <v>125</v>
      </c>
      <c r="C247" s="19" t="s">
        <v>40</v>
      </c>
      <c r="E247" s="34" t="s">
        <v>0</v>
      </c>
      <c r="G247" s="62" t="s">
        <v>41</v>
      </c>
      <c r="H247" s="61">
        <v>18023</v>
      </c>
      <c r="J247" s="74" t="s">
        <v>0</v>
      </c>
      <c r="L247" s="271" t="s">
        <v>41</v>
      </c>
      <c r="M247" s="74">
        <v>25111</v>
      </c>
      <c r="N247" s="67" t="s">
        <v>479</v>
      </c>
    </row>
    <row r="248" spans="2:14" ht="17" x14ac:dyDescent="0.2">
      <c r="B248" s="243" t="s">
        <v>126</v>
      </c>
      <c r="C248" s="19" t="s">
        <v>40</v>
      </c>
      <c r="E248" s="34" t="s">
        <v>0</v>
      </c>
      <c r="G248" s="62" t="s">
        <v>41</v>
      </c>
      <c r="H248" s="61">
        <v>18023</v>
      </c>
      <c r="J248" s="74" t="s">
        <v>0</v>
      </c>
      <c r="L248" s="271" t="s">
        <v>41</v>
      </c>
      <c r="M248" s="74">
        <v>25111</v>
      </c>
      <c r="N248" s="67" t="s">
        <v>479</v>
      </c>
    </row>
    <row r="249" spans="2:14" ht="17" x14ac:dyDescent="0.2">
      <c r="B249" s="244" t="s">
        <v>127</v>
      </c>
      <c r="C249" s="19" t="s">
        <v>40</v>
      </c>
      <c r="E249" s="34" t="s">
        <v>0</v>
      </c>
      <c r="G249" s="62" t="s">
        <v>41</v>
      </c>
      <c r="H249" s="61">
        <v>18023</v>
      </c>
      <c r="J249" s="74" t="s">
        <v>0</v>
      </c>
      <c r="L249" s="271" t="s">
        <v>41</v>
      </c>
      <c r="M249" s="74">
        <v>25111</v>
      </c>
      <c r="N249" s="67" t="s">
        <v>479</v>
      </c>
    </row>
    <row r="250" spans="2:14" ht="17" x14ac:dyDescent="0.2">
      <c r="B250" s="244" t="s">
        <v>128</v>
      </c>
      <c r="C250" s="19" t="s">
        <v>40</v>
      </c>
      <c r="E250" s="34" t="s">
        <v>0</v>
      </c>
      <c r="G250" s="62" t="s">
        <v>41</v>
      </c>
      <c r="H250" s="61">
        <v>18023</v>
      </c>
      <c r="J250" s="74" t="s">
        <v>0</v>
      </c>
      <c r="L250" s="271" t="s">
        <v>41</v>
      </c>
      <c r="M250" s="74">
        <v>25111</v>
      </c>
      <c r="N250" s="67" t="s">
        <v>479</v>
      </c>
    </row>
    <row r="251" spans="2:14" ht="17" x14ac:dyDescent="0.2">
      <c r="B251" s="245" t="s">
        <v>129</v>
      </c>
      <c r="C251" s="19" t="s">
        <v>40</v>
      </c>
      <c r="E251" s="34" t="s">
        <v>0</v>
      </c>
      <c r="G251" s="62" t="s">
        <v>41</v>
      </c>
      <c r="H251" s="61">
        <v>18023</v>
      </c>
      <c r="J251" s="74" t="s">
        <v>0</v>
      </c>
      <c r="L251" s="271" t="s">
        <v>41</v>
      </c>
      <c r="M251" s="74">
        <v>25111</v>
      </c>
      <c r="N251" s="67" t="s">
        <v>479</v>
      </c>
    </row>
    <row r="252" spans="2:14" ht="17" x14ac:dyDescent="0.2">
      <c r="B252" s="244" t="s">
        <v>130</v>
      </c>
      <c r="C252" s="19" t="s">
        <v>40</v>
      </c>
      <c r="E252" s="34" t="s">
        <v>0</v>
      </c>
      <c r="G252" s="62" t="s">
        <v>41</v>
      </c>
      <c r="H252" s="61">
        <v>18023</v>
      </c>
      <c r="J252" s="74" t="s">
        <v>0</v>
      </c>
      <c r="L252" s="271" t="s">
        <v>41</v>
      </c>
      <c r="M252" s="74">
        <v>25111</v>
      </c>
      <c r="N252" s="67" t="s">
        <v>479</v>
      </c>
    </row>
    <row r="253" spans="2:14" ht="17" x14ac:dyDescent="0.2">
      <c r="B253" s="247" t="s">
        <v>501</v>
      </c>
      <c r="C253" s="19" t="s">
        <v>40</v>
      </c>
      <c r="E253" s="34" t="s">
        <v>0</v>
      </c>
      <c r="G253" s="62" t="s">
        <v>41</v>
      </c>
      <c r="H253" s="61">
        <v>18023</v>
      </c>
      <c r="J253" s="74" t="s">
        <v>0</v>
      </c>
      <c r="L253" s="271" t="s">
        <v>41</v>
      </c>
      <c r="M253" s="74">
        <v>25111</v>
      </c>
      <c r="N253" s="67" t="s">
        <v>479</v>
      </c>
    </row>
    <row r="254" spans="2:14" ht="17" x14ac:dyDescent="0.2">
      <c r="B254" s="247" t="s">
        <v>132</v>
      </c>
      <c r="C254" s="19" t="s">
        <v>40</v>
      </c>
      <c r="E254" s="34" t="s">
        <v>0</v>
      </c>
      <c r="G254" s="62" t="s">
        <v>41</v>
      </c>
      <c r="H254" s="61">
        <v>18023</v>
      </c>
      <c r="J254" s="74" t="s">
        <v>0</v>
      </c>
      <c r="L254" s="271" t="s">
        <v>41</v>
      </c>
      <c r="M254" s="74">
        <v>25111</v>
      </c>
      <c r="N254" s="67" t="s">
        <v>479</v>
      </c>
    </row>
    <row r="255" spans="2:14" ht="17" x14ac:dyDescent="0.2">
      <c r="B255" s="247" t="s">
        <v>134</v>
      </c>
      <c r="C255" s="19" t="s">
        <v>40</v>
      </c>
      <c r="E255" s="34" t="s">
        <v>0</v>
      </c>
      <c r="G255" s="62" t="s">
        <v>41</v>
      </c>
      <c r="H255" s="61">
        <v>18023</v>
      </c>
      <c r="J255" s="74" t="s">
        <v>0</v>
      </c>
      <c r="L255" s="271" t="s">
        <v>41</v>
      </c>
      <c r="M255" s="74">
        <v>25111</v>
      </c>
      <c r="N255" s="67" t="s">
        <v>479</v>
      </c>
    </row>
    <row r="256" spans="2:14" ht="17" x14ac:dyDescent="0.2">
      <c r="B256" s="247" t="s">
        <v>136</v>
      </c>
      <c r="C256" s="19" t="s">
        <v>40</v>
      </c>
      <c r="E256" s="34" t="s">
        <v>0</v>
      </c>
      <c r="G256" s="62" t="s">
        <v>41</v>
      </c>
      <c r="H256" s="61">
        <v>18023</v>
      </c>
      <c r="J256" s="74" t="s">
        <v>0</v>
      </c>
      <c r="L256" s="271" t="s">
        <v>41</v>
      </c>
      <c r="M256" s="74">
        <v>25111</v>
      </c>
      <c r="N256" s="67" t="s">
        <v>479</v>
      </c>
    </row>
    <row r="257" spans="2:14" ht="23" x14ac:dyDescent="0.3">
      <c r="B257" s="148" t="s">
        <v>137</v>
      </c>
      <c r="C257" s="19"/>
      <c r="G257" s="62"/>
      <c r="H257" s="61"/>
      <c r="L257" s="271"/>
      <c r="N257" s="67"/>
    </row>
    <row r="258" spans="2:14" ht="23" x14ac:dyDescent="0.3">
      <c r="B258" s="148" t="s">
        <v>138</v>
      </c>
      <c r="C258" s="19"/>
    </row>
    <row r="259" spans="2:14" ht="17" x14ac:dyDescent="0.2">
      <c r="B259" s="147" t="s">
        <v>330</v>
      </c>
      <c r="C259" s="19" t="s">
        <v>40</v>
      </c>
      <c r="E259" s="34" t="s">
        <v>0</v>
      </c>
      <c r="G259" s="62" t="s">
        <v>41</v>
      </c>
      <c r="H259" s="61">
        <v>18023</v>
      </c>
      <c r="J259" s="74" t="s">
        <v>0</v>
      </c>
      <c r="L259" s="271" t="s">
        <v>41</v>
      </c>
      <c r="M259" s="74">
        <v>25111</v>
      </c>
      <c r="N259" s="67" t="s">
        <v>479</v>
      </c>
    </row>
    <row r="260" spans="2:14" ht="34" x14ac:dyDescent="0.2">
      <c r="B260" s="147" t="s">
        <v>331</v>
      </c>
      <c r="C260" s="19" t="s">
        <v>40</v>
      </c>
      <c r="E260" s="34" t="s">
        <v>0</v>
      </c>
      <c r="G260" s="62" t="s">
        <v>41</v>
      </c>
      <c r="H260" s="61">
        <v>18023</v>
      </c>
      <c r="J260" s="74" t="s">
        <v>0</v>
      </c>
      <c r="L260" s="271" t="s">
        <v>41</v>
      </c>
      <c r="M260" s="74">
        <v>25111</v>
      </c>
      <c r="N260" s="67" t="s">
        <v>479</v>
      </c>
    </row>
    <row r="261" spans="2:14" ht="17" x14ac:dyDescent="0.2">
      <c r="B261" s="147" t="s">
        <v>332</v>
      </c>
      <c r="C261" s="19" t="s">
        <v>40</v>
      </c>
      <c r="E261" s="34" t="s">
        <v>0</v>
      </c>
      <c r="G261" s="62" t="s">
        <v>41</v>
      </c>
      <c r="H261" s="61">
        <v>18023</v>
      </c>
      <c r="J261" s="74" t="s">
        <v>0</v>
      </c>
      <c r="L261" s="271" t="s">
        <v>41</v>
      </c>
      <c r="M261" s="74">
        <v>25111</v>
      </c>
      <c r="N261" s="67" t="s">
        <v>479</v>
      </c>
    </row>
    <row r="262" spans="2:14" ht="17" x14ac:dyDescent="0.2">
      <c r="B262" s="147" t="s">
        <v>333</v>
      </c>
      <c r="C262" s="19" t="s">
        <v>40</v>
      </c>
      <c r="E262" s="34" t="s">
        <v>0</v>
      </c>
      <c r="G262" s="62" t="s">
        <v>41</v>
      </c>
      <c r="H262" s="61">
        <v>18023</v>
      </c>
      <c r="J262" s="74" t="s">
        <v>0</v>
      </c>
      <c r="L262" s="271" t="s">
        <v>41</v>
      </c>
      <c r="M262" s="74">
        <v>25111</v>
      </c>
      <c r="N262" s="67" t="s">
        <v>479</v>
      </c>
    </row>
    <row r="263" spans="2:14" ht="17" x14ac:dyDescent="0.2">
      <c r="B263" s="147" t="s">
        <v>143</v>
      </c>
      <c r="C263" s="19" t="s">
        <v>40</v>
      </c>
      <c r="E263" s="34" t="s">
        <v>0</v>
      </c>
      <c r="G263" s="62" t="s">
        <v>41</v>
      </c>
      <c r="H263" s="61">
        <v>18023</v>
      </c>
      <c r="J263" s="74" t="s">
        <v>0</v>
      </c>
      <c r="L263" s="271" t="s">
        <v>41</v>
      </c>
      <c r="M263" s="74">
        <v>25111</v>
      </c>
      <c r="N263" s="67" t="s">
        <v>479</v>
      </c>
    </row>
    <row r="264" spans="2:14" ht="23" x14ac:dyDescent="0.3">
      <c r="B264" s="148" t="s">
        <v>144</v>
      </c>
      <c r="C264" s="19"/>
    </row>
    <row r="265" spans="2:14" ht="17" x14ac:dyDescent="0.2">
      <c r="B265" s="147" t="s">
        <v>145</v>
      </c>
      <c r="C265" s="19" t="s">
        <v>40</v>
      </c>
      <c r="E265" s="34" t="s">
        <v>0</v>
      </c>
      <c r="G265" s="62" t="s">
        <v>41</v>
      </c>
      <c r="H265" s="61">
        <v>18023</v>
      </c>
      <c r="J265" s="74" t="s">
        <v>0</v>
      </c>
      <c r="L265" s="271" t="s">
        <v>41</v>
      </c>
      <c r="M265" s="74">
        <v>25111</v>
      </c>
      <c r="N265" s="67" t="s">
        <v>479</v>
      </c>
    </row>
    <row r="266" spans="2:14" ht="17" x14ac:dyDescent="0.2">
      <c r="B266" s="147" t="s">
        <v>146</v>
      </c>
      <c r="C266" s="19" t="s">
        <v>40</v>
      </c>
      <c r="E266" s="34" t="s">
        <v>0</v>
      </c>
      <c r="G266" s="62" t="s">
        <v>41</v>
      </c>
      <c r="H266" s="61">
        <v>18023</v>
      </c>
      <c r="J266" s="74" t="s">
        <v>0</v>
      </c>
      <c r="L266" s="271" t="s">
        <v>41</v>
      </c>
      <c r="M266" s="74">
        <v>25111</v>
      </c>
      <c r="N266" s="67" t="s">
        <v>479</v>
      </c>
    </row>
    <row r="267" spans="2:14" ht="17" x14ac:dyDescent="0.2">
      <c r="B267" s="147" t="s">
        <v>147</v>
      </c>
      <c r="C267" s="19" t="s">
        <v>40</v>
      </c>
      <c r="E267" s="34" t="s">
        <v>0</v>
      </c>
      <c r="G267" s="62" t="s">
        <v>41</v>
      </c>
      <c r="H267" s="61">
        <v>18023</v>
      </c>
      <c r="J267" s="74" t="s">
        <v>0</v>
      </c>
      <c r="L267" s="271" t="s">
        <v>41</v>
      </c>
      <c r="M267" s="74">
        <v>25111</v>
      </c>
      <c r="N267" s="67" t="s">
        <v>479</v>
      </c>
    </row>
    <row r="268" spans="2:14" ht="17" x14ac:dyDescent="0.2">
      <c r="B268" s="147" t="s">
        <v>148</v>
      </c>
      <c r="C268" s="19" t="s">
        <v>40</v>
      </c>
      <c r="E268" s="34" t="s">
        <v>0</v>
      </c>
      <c r="G268" s="62" t="s">
        <v>41</v>
      </c>
      <c r="H268" s="61">
        <v>18023</v>
      </c>
      <c r="J268" s="74" t="s">
        <v>0</v>
      </c>
      <c r="L268" s="271" t="s">
        <v>41</v>
      </c>
      <c r="M268" s="74">
        <v>25111</v>
      </c>
      <c r="N268" s="67" t="s">
        <v>479</v>
      </c>
    </row>
    <row r="269" spans="2:14" ht="17" x14ac:dyDescent="0.2">
      <c r="B269" s="147" t="s">
        <v>149</v>
      </c>
      <c r="C269" s="19" t="s">
        <v>40</v>
      </c>
      <c r="E269" s="34" t="s">
        <v>0</v>
      </c>
      <c r="G269" s="62" t="s">
        <v>41</v>
      </c>
      <c r="H269" s="61">
        <v>18023</v>
      </c>
      <c r="J269" s="74" t="s">
        <v>0</v>
      </c>
      <c r="L269" s="271" t="s">
        <v>41</v>
      </c>
      <c r="M269" s="74">
        <v>25111</v>
      </c>
      <c r="N269" s="67" t="s">
        <v>479</v>
      </c>
    </row>
    <row r="270" spans="2:14" ht="20" x14ac:dyDescent="0.2">
      <c r="B270" s="177" t="s">
        <v>51</v>
      </c>
      <c r="C270" s="19"/>
    </row>
    <row r="271" spans="2:14" ht="17" x14ac:dyDescent="0.2">
      <c r="B271" s="128" t="s">
        <v>502</v>
      </c>
    </row>
    <row r="272" spans="2:14" ht="17" x14ac:dyDescent="0.2">
      <c r="B272" s="132" t="s">
        <v>60</v>
      </c>
      <c r="C272" s="19"/>
    </row>
    <row r="273" spans="2:14" ht="17" x14ac:dyDescent="0.2">
      <c r="B273" s="135" t="s">
        <v>61</v>
      </c>
      <c r="C273" s="19" t="s">
        <v>40</v>
      </c>
      <c r="E273" s="34" t="s">
        <v>0</v>
      </c>
      <c r="G273" s="62" t="s">
        <v>41</v>
      </c>
      <c r="H273" s="61">
        <v>18023</v>
      </c>
      <c r="J273" s="74" t="s">
        <v>0</v>
      </c>
      <c r="L273" s="271" t="s">
        <v>41</v>
      </c>
      <c r="M273" s="74">
        <v>25111</v>
      </c>
      <c r="N273" s="67" t="s">
        <v>479</v>
      </c>
    </row>
    <row r="274" spans="2:14" ht="17" x14ac:dyDescent="0.2">
      <c r="B274" s="136" t="s">
        <v>62</v>
      </c>
      <c r="C274" s="19" t="s">
        <v>40</v>
      </c>
      <c r="E274" s="34" t="s">
        <v>0</v>
      </c>
      <c r="G274" s="62" t="s">
        <v>41</v>
      </c>
      <c r="H274" s="61">
        <v>18023</v>
      </c>
      <c r="J274" s="74" t="s">
        <v>0</v>
      </c>
      <c r="L274" s="271" t="s">
        <v>41</v>
      </c>
      <c r="M274" s="74">
        <v>25111</v>
      </c>
      <c r="N274" s="67" t="s">
        <v>479</v>
      </c>
    </row>
    <row r="275" spans="2:14" ht="96" x14ac:dyDescent="0.2">
      <c r="B275" s="137" t="s">
        <v>63</v>
      </c>
      <c r="C275" s="19" t="s">
        <v>40</v>
      </c>
      <c r="E275" s="34" t="s">
        <v>0</v>
      </c>
      <c r="G275" s="62" t="s">
        <v>41</v>
      </c>
      <c r="H275" s="61">
        <v>18023</v>
      </c>
      <c r="J275" s="74" t="s">
        <v>0</v>
      </c>
      <c r="L275" s="271" t="s">
        <v>41</v>
      </c>
      <c r="M275" s="74">
        <v>25111</v>
      </c>
      <c r="N275" s="67" t="s">
        <v>479</v>
      </c>
    </row>
    <row r="276" spans="2:14" ht="17" x14ac:dyDescent="0.2">
      <c r="B276" s="136" t="s">
        <v>64</v>
      </c>
      <c r="C276" s="19" t="s">
        <v>40</v>
      </c>
      <c r="E276" s="34" t="s">
        <v>0</v>
      </c>
      <c r="G276" s="62" t="s">
        <v>41</v>
      </c>
      <c r="H276" s="61">
        <v>18023</v>
      </c>
      <c r="J276" s="74" t="s">
        <v>0</v>
      </c>
      <c r="L276" s="271" t="s">
        <v>41</v>
      </c>
      <c r="M276" s="74">
        <v>25111</v>
      </c>
      <c r="N276" s="67" t="s">
        <v>479</v>
      </c>
    </row>
    <row r="277" spans="2:14" ht="20" x14ac:dyDescent="0.25">
      <c r="B277" s="149" t="s">
        <v>150</v>
      </c>
      <c r="C277" s="19"/>
    </row>
    <row r="278" spans="2:14" x14ac:dyDescent="0.2">
      <c r="B278" s="150" t="s">
        <v>151</v>
      </c>
      <c r="C278" s="19"/>
    </row>
    <row r="279" spans="2:14" ht="17" x14ac:dyDescent="0.2">
      <c r="B279" s="151" t="s">
        <v>152</v>
      </c>
      <c r="C279" s="19" t="s">
        <v>40</v>
      </c>
      <c r="E279" s="34" t="s">
        <v>0</v>
      </c>
      <c r="G279" s="62" t="s">
        <v>41</v>
      </c>
      <c r="H279" s="61">
        <v>18023</v>
      </c>
      <c r="J279" s="74" t="s">
        <v>0</v>
      </c>
      <c r="L279" s="271" t="s">
        <v>41</v>
      </c>
      <c r="M279" s="74">
        <v>25111</v>
      </c>
      <c r="N279" s="67" t="s">
        <v>479</v>
      </c>
    </row>
    <row r="280" spans="2:14" ht="17" x14ac:dyDescent="0.2">
      <c r="B280" s="151" t="s">
        <v>153</v>
      </c>
      <c r="C280" s="19" t="s">
        <v>40</v>
      </c>
      <c r="E280" s="34" t="s">
        <v>0</v>
      </c>
      <c r="G280" s="62" t="s">
        <v>41</v>
      </c>
      <c r="H280" s="61">
        <v>18023</v>
      </c>
      <c r="J280" s="74" t="s">
        <v>0</v>
      </c>
      <c r="L280" s="271" t="s">
        <v>41</v>
      </c>
      <c r="M280" s="74">
        <v>25111</v>
      </c>
      <c r="N280" s="67" t="s">
        <v>479</v>
      </c>
    </row>
    <row r="281" spans="2:14" ht="17" x14ac:dyDescent="0.2">
      <c r="B281" s="152" t="s">
        <v>154</v>
      </c>
      <c r="C281" s="19" t="s">
        <v>40</v>
      </c>
      <c r="E281" s="34" t="s">
        <v>0</v>
      </c>
      <c r="G281" s="62" t="s">
        <v>41</v>
      </c>
      <c r="H281" s="61">
        <v>18023</v>
      </c>
      <c r="J281" s="74" t="s">
        <v>0</v>
      </c>
      <c r="L281" s="271" t="s">
        <v>41</v>
      </c>
      <c r="M281" s="74">
        <v>25111</v>
      </c>
      <c r="N281" s="67" t="s">
        <v>479</v>
      </c>
    </row>
    <row r="282" spans="2:14" ht="17" x14ac:dyDescent="0.2">
      <c r="B282" s="143" t="s">
        <v>155</v>
      </c>
      <c r="C282" s="19" t="s">
        <v>40</v>
      </c>
      <c r="E282" s="34" t="s">
        <v>0</v>
      </c>
      <c r="G282" s="62" t="s">
        <v>41</v>
      </c>
      <c r="H282" s="61">
        <v>18023</v>
      </c>
      <c r="J282" s="74" t="s">
        <v>0</v>
      </c>
      <c r="L282" s="271" t="s">
        <v>41</v>
      </c>
      <c r="M282" s="74">
        <v>25111</v>
      </c>
      <c r="N282" s="67" t="s">
        <v>479</v>
      </c>
    </row>
    <row r="283" spans="2:14" x14ac:dyDescent="0.2">
      <c r="B283" s="153" t="s">
        <v>156</v>
      </c>
    </row>
    <row r="284" spans="2:14" x14ac:dyDescent="0.2">
      <c r="B284" s="153" t="s">
        <v>157</v>
      </c>
      <c r="C284" s="19"/>
    </row>
    <row r="285" spans="2:14" ht="17" x14ac:dyDescent="0.2">
      <c r="B285" s="154" t="s">
        <v>158</v>
      </c>
      <c r="C285" s="19" t="s">
        <v>40</v>
      </c>
      <c r="E285" s="34" t="s">
        <v>0</v>
      </c>
      <c r="G285" s="62" t="s">
        <v>41</v>
      </c>
      <c r="H285" s="61">
        <v>18023</v>
      </c>
      <c r="J285" s="74" t="s">
        <v>0</v>
      </c>
      <c r="L285" s="271" t="s">
        <v>41</v>
      </c>
      <c r="M285" s="74">
        <v>25111</v>
      </c>
      <c r="N285" s="67" t="s">
        <v>479</v>
      </c>
    </row>
    <row r="286" spans="2:14" ht="17" x14ac:dyDescent="0.2">
      <c r="B286" s="155" t="s">
        <v>159</v>
      </c>
      <c r="C286" s="19" t="s">
        <v>40</v>
      </c>
      <c r="E286" s="34" t="s">
        <v>0</v>
      </c>
      <c r="G286" s="62" t="s">
        <v>41</v>
      </c>
      <c r="H286" s="61">
        <v>18023</v>
      </c>
      <c r="J286" s="74" t="s">
        <v>0</v>
      </c>
      <c r="L286" s="271" t="s">
        <v>41</v>
      </c>
      <c r="M286" s="74">
        <v>25111</v>
      </c>
      <c r="N286" s="67" t="s">
        <v>479</v>
      </c>
    </row>
    <row r="287" spans="2:14" ht="17" x14ac:dyDescent="0.2">
      <c r="B287" s="151" t="s">
        <v>160</v>
      </c>
      <c r="C287" s="19" t="s">
        <v>40</v>
      </c>
      <c r="E287" s="34" t="s">
        <v>0</v>
      </c>
      <c r="G287" s="62" t="s">
        <v>41</v>
      </c>
      <c r="H287" s="61">
        <v>18023</v>
      </c>
      <c r="J287" s="74" t="s">
        <v>0</v>
      </c>
      <c r="L287" s="271" t="s">
        <v>41</v>
      </c>
      <c r="M287" s="74">
        <v>25111</v>
      </c>
      <c r="N287" s="67" t="s">
        <v>479</v>
      </c>
    </row>
    <row r="288" spans="2:14" x14ac:dyDescent="0.2">
      <c r="B288" s="153" t="s">
        <v>161</v>
      </c>
      <c r="C288" s="19"/>
    </row>
    <row r="289" spans="2:14" x14ac:dyDescent="0.2">
      <c r="B289" s="156" t="s">
        <v>162</v>
      </c>
      <c r="C289" s="19"/>
    </row>
    <row r="290" spans="2:14" ht="48" x14ac:dyDescent="0.2">
      <c r="B290" s="151" t="s">
        <v>163</v>
      </c>
      <c r="C290" s="19" t="s">
        <v>40</v>
      </c>
      <c r="E290" s="34" t="s">
        <v>0</v>
      </c>
      <c r="G290" s="62" t="s">
        <v>41</v>
      </c>
      <c r="H290" s="61">
        <v>18023</v>
      </c>
      <c r="J290" s="74" t="s">
        <v>0</v>
      </c>
      <c r="L290" s="271" t="s">
        <v>41</v>
      </c>
      <c r="M290" s="74">
        <v>25111</v>
      </c>
      <c r="N290" s="67" t="s">
        <v>479</v>
      </c>
    </row>
    <row r="291" spans="2:14" ht="17" x14ac:dyDescent="0.2">
      <c r="B291" s="138" t="s">
        <v>164</v>
      </c>
      <c r="C291" s="19" t="s">
        <v>40</v>
      </c>
      <c r="E291" s="34" t="s">
        <v>0</v>
      </c>
      <c r="G291" s="62" t="s">
        <v>41</v>
      </c>
      <c r="H291" s="61">
        <v>18023</v>
      </c>
      <c r="J291" s="74" t="s">
        <v>0</v>
      </c>
      <c r="L291" s="271" t="s">
        <v>41</v>
      </c>
      <c r="M291" s="74">
        <v>25111</v>
      </c>
      <c r="N291" s="67" t="s">
        <v>479</v>
      </c>
    </row>
    <row r="292" spans="2:14" x14ac:dyDescent="0.2">
      <c r="B292" s="156" t="s">
        <v>165</v>
      </c>
      <c r="C292" s="19"/>
    </row>
    <row r="293" spans="2:14" ht="48" x14ac:dyDescent="0.2">
      <c r="B293" s="151" t="s">
        <v>166</v>
      </c>
      <c r="C293" s="19" t="s">
        <v>40</v>
      </c>
      <c r="E293" s="34" t="s">
        <v>0</v>
      </c>
      <c r="G293" s="62" t="s">
        <v>41</v>
      </c>
      <c r="H293" s="61">
        <v>18023</v>
      </c>
      <c r="J293" s="74" t="s">
        <v>0</v>
      </c>
      <c r="L293" s="271" t="s">
        <v>41</v>
      </c>
      <c r="M293" s="74">
        <v>25111</v>
      </c>
      <c r="N293" s="67" t="s">
        <v>479</v>
      </c>
    </row>
    <row r="294" spans="2:14" ht="17" x14ac:dyDescent="0.2">
      <c r="B294" s="138" t="s">
        <v>167</v>
      </c>
      <c r="C294" s="19" t="s">
        <v>40</v>
      </c>
      <c r="E294" s="34" t="s">
        <v>0</v>
      </c>
      <c r="G294" s="62" t="s">
        <v>41</v>
      </c>
      <c r="H294" s="61">
        <v>18023</v>
      </c>
      <c r="J294" s="74" t="s">
        <v>0</v>
      </c>
      <c r="L294" s="271" t="s">
        <v>41</v>
      </c>
      <c r="M294" s="74">
        <v>25111</v>
      </c>
      <c r="N294" s="67" t="s">
        <v>479</v>
      </c>
    </row>
    <row r="295" spans="2:14" x14ac:dyDescent="0.2">
      <c r="B295" s="157" t="s">
        <v>168</v>
      </c>
    </row>
    <row r="296" spans="2:14" ht="51" x14ac:dyDescent="0.2">
      <c r="B296" s="158" t="s">
        <v>169</v>
      </c>
      <c r="C296" s="19" t="s">
        <v>40</v>
      </c>
      <c r="E296" s="34" t="s">
        <v>0</v>
      </c>
      <c r="G296" s="62" t="s">
        <v>41</v>
      </c>
      <c r="H296" s="61">
        <v>18023</v>
      </c>
      <c r="J296" s="74" t="s">
        <v>0</v>
      </c>
      <c r="L296" s="271" t="s">
        <v>41</v>
      </c>
      <c r="M296" s="74">
        <v>25111</v>
      </c>
      <c r="N296" s="67" t="s">
        <v>479</v>
      </c>
    </row>
    <row r="297" spans="2:14" ht="17" x14ac:dyDescent="0.2">
      <c r="B297" s="159" t="s">
        <v>170</v>
      </c>
      <c r="C297" s="19" t="s">
        <v>40</v>
      </c>
      <c r="E297" s="34" t="s">
        <v>0</v>
      </c>
      <c r="G297" s="62" t="s">
        <v>41</v>
      </c>
      <c r="H297" s="61">
        <v>18023</v>
      </c>
      <c r="J297" s="74" t="s">
        <v>0</v>
      </c>
      <c r="L297" s="271" t="s">
        <v>41</v>
      </c>
      <c r="M297" s="74">
        <v>25111</v>
      </c>
      <c r="N297" s="67" t="s">
        <v>479</v>
      </c>
    </row>
    <row r="298" spans="2:14" x14ac:dyDescent="0.2">
      <c r="B298" s="157" t="s">
        <v>171</v>
      </c>
      <c r="C298" s="19"/>
    </row>
    <row r="299" spans="2:14" ht="48" x14ac:dyDescent="0.2">
      <c r="B299" s="144" t="s">
        <v>172</v>
      </c>
      <c r="C299" s="19" t="s">
        <v>40</v>
      </c>
      <c r="E299" s="34" t="s">
        <v>0</v>
      </c>
      <c r="G299" s="62" t="s">
        <v>41</v>
      </c>
      <c r="H299" s="61">
        <v>18023</v>
      </c>
      <c r="J299" s="74" t="s">
        <v>0</v>
      </c>
      <c r="L299" s="271" t="s">
        <v>41</v>
      </c>
      <c r="M299" s="74">
        <v>25111</v>
      </c>
      <c r="N299" s="67" t="s">
        <v>479</v>
      </c>
    </row>
    <row r="300" spans="2:14" ht="17" x14ac:dyDescent="0.2">
      <c r="B300" s="160" t="s">
        <v>173</v>
      </c>
      <c r="C300" s="19" t="s">
        <v>40</v>
      </c>
      <c r="E300" s="34" t="s">
        <v>0</v>
      </c>
      <c r="G300" s="62" t="s">
        <v>41</v>
      </c>
      <c r="H300" s="61">
        <v>18023</v>
      </c>
      <c r="J300" s="74" t="s">
        <v>0</v>
      </c>
      <c r="L300" s="271" t="s">
        <v>41</v>
      </c>
      <c r="M300" s="74">
        <v>25111</v>
      </c>
      <c r="N300" s="67" t="s">
        <v>479</v>
      </c>
    </row>
    <row r="301" spans="2:14" ht="17" x14ac:dyDescent="0.2">
      <c r="B301" s="161" t="s">
        <v>174</v>
      </c>
    </row>
    <row r="302" spans="2:14" ht="51" x14ac:dyDescent="0.2">
      <c r="B302" s="161" t="s">
        <v>175</v>
      </c>
      <c r="C302" s="19"/>
    </row>
    <row r="303" spans="2:14" ht="17" x14ac:dyDescent="0.2">
      <c r="B303" s="131" t="s">
        <v>176</v>
      </c>
      <c r="C303" s="19" t="s">
        <v>40</v>
      </c>
      <c r="E303" s="34" t="s">
        <v>0</v>
      </c>
      <c r="G303" s="62" t="s">
        <v>41</v>
      </c>
      <c r="H303" s="61">
        <v>18023</v>
      </c>
      <c r="J303" s="74" t="s">
        <v>0</v>
      </c>
      <c r="L303" s="271" t="s">
        <v>41</v>
      </c>
      <c r="M303" s="74">
        <v>25111</v>
      </c>
      <c r="N303" s="67" t="s">
        <v>479</v>
      </c>
    </row>
    <row r="304" spans="2:14" ht="17" x14ac:dyDescent="0.2">
      <c r="B304" s="160" t="s">
        <v>177</v>
      </c>
      <c r="C304" s="19" t="s">
        <v>40</v>
      </c>
      <c r="E304" s="34" t="s">
        <v>0</v>
      </c>
      <c r="G304" s="62" t="s">
        <v>41</v>
      </c>
      <c r="H304" s="61">
        <v>18023</v>
      </c>
      <c r="J304" s="74" t="s">
        <v>0</v>
      </c>
      <c r="L304" s="271" t="s">
        <v>41</v>
      </c>
      <c r="M304" s="74">
        <v>25111</v>
      </c>
      <c r="N304" s="67" t="s">
        <v>479</v>
      </c>
    </row>
    <row r="305" spans="2:14" ht="17" x14ac:dyDescent="0.2">
      <c r="B305" s="131" t="s">
        <v>178</v>
      </c>
      <c r="C305" s="19" t="s">
        <v>40</v>
      </c>
      <c r="E305" s="34" t="s">
        <v>0</v>
      </c>
      <c r="G305" s="62" t="s">
        <v>41</v>
      </c>
      <c r="H305" s="61">
        <v>18023</v>
      </c>
      <c r="J305" s="74" t="s">
        <v>0</v>
      </c>
      <c r="L305" s="271" t="s">
        <v>41</v>
      </c>
      <c r="M305" s="74">
        <v>25111</v>
      </c>
      <c r="N305" s="67" t="s">
        <v>479</v>
      </c>
    </row>
    <row r="306" spans="2:14" ht="68" x14ac:dyDescent="0.2">
      <c r="B306" s="131" t="s">
        <v>289</v>
      </c>
      <c r="C306" s="19" t="s">
        <v>40</v>
      </c>
      <c r="E306" s="34" t="s">
        <v>0</v>
      </c>
      <c r="G306" s="62" t="s">
        <v>41</v>
      </c>
      <c r="H306" s="61">
        <v>18023</v>
      </c>
      <c r="J306" s="74" t="s">
        <v>0</v>
      </c>
      <c r="L306" s="271" t="s">
        <v>41</v>
      </c>
      <c r="M306" s="74">
        <v>25111</v>
      </c>
      <c r="N306" s="67" t="s">
        <v>479</v>
      </c>
    </row>
    <row r="307" spans="2:14" ht="17" x14ac:dyDescent="0.2">
      <c r="B307" s="131" t="s">
        <v>180</v>
      </c>
      <c r="C307" s="19" t="s">
        <v>40</v>
      </c>
      <c r="E307" s="34" t="s">
        <v>0</v>
      </c>
      <c r="G307" s="62" t="s">
        <v>41</v>
      </c>
      <c r="H307" s="61">
        <v>18023</v>
      </c>
      <c r="J307" s="74" t="s">
        <v>0</v>
      </c>
      <c r="L307" s="271" t="s">
        <v>41</v>
      </c>
      <c r="M307" s="74">
        <v>25111</v>
      </c>
      <c r="N307" s="67" t="s">
        <v>479</v>
      </c>
    </row>
    <row r="308" spans="2:14" ht="68" x14ac:dyDescent="0.2">
      <c r="B308" s="131" t="s">
        <v>503</v>
      </c>
      <c r="C308" s="19" t="s">
        <v>40</v>
      </c>
      <c r="E308" s="34" t="s">
        <v>0</v>
      </c>
      <c r="G308" s="62" t="s">
        <v>41</v>
      </c>
      <c r="H308" s="61">
        <v>18023</v>
      </c>
      <c r="J308" s="74" t="s">
        <v>0</v>
      </c>
      <c r="L308" s="271" t="s">
        <v>41</v>
      </c>
      <c r="M308" s="74">
        <v>25111</v>
      </c>
      <c r="N308" s="67" t="s">
        <v>479</v>
      </c>
    </row>
    <row r="309" spans="2:14" ht="17" x14ac:dyDescent="0.2">
      <c r="B309" s="160" t="s">
        <v>182</v>
      </c>
      <c r="C309" s="19" t="s">
        <v>40</v>
      </c>
      <c r="E309" s="34" t="s">
        <v>0</v>
      </c>
      <c r="G309" s="62" t="s">
        <v>41</v>
      </c>
      <c r="H309" s="61">
        <v>18023</v>
      </c>
      <c r="J309" s="74" t="s">
        <v>0</v>
      </c>
      <c r="L309" s="271" t="s">
        <v>41</v>
      </c>
      <c r="M309" s="74">
        <v>25111</v>
      </c>
      <c r="N309" s="67" t="s">
        <v>479</v>
      </c>
    </row>
    <row r="310" spans="2:14" ht="68" x14ac:dyDescent="0.2">
      <c r="B310" s="160" t="s">
        <v>504</v>
      </c>
      <c r="C310" s="19" t="s">
        <v>40</v>
      </c>
      <c r="E310" s="34" t="s">
        <v>0</v>
      </c>
      <c r="G310" s="62" t="s">
        <v>41</v>
      </c>
      <c r="H310" s="61">
        <v>18023</v>
      </c>
      <c r="J310" s="74" t="s">
        <v>0</v>
      </c>
      <c r="L310" s="271" t="s">
        <v>41</v>
      </c>
      <c r="M310" s="74">
        <v>25111</v>
      </c>
      <c r="N310" s="67" t="s">
        <v>479</v>
      </c>
    </row>
    <row r="311" spans="2:14" ht="17" x14ac:dyDescent="0.2">
      <c r="B311" s="162" t="s">
        <v>184</v>
      </c>
      <c r="C311" s="19" t="s">
        <v>40</v>
      </c>
      <c r="E311" s="34" t="s">
        <v>0</v>
      </c>
      <c r="G311" s="62" t="s">
        <v>41</v>
      </c>
      <c r="H311" s="61">
        <v>18023</v>
      </c>
      <c r="J311" s="74" t="s">
        <v>0</v>
      </c>
      <c r="L311" s="271" t="s">
        <v>41</v>
      </c>
      <c r="M311" s="74">
        <v>25111</v>
      </c>
      <c r="N311" s="67" t="s">
        <v>479</v>
      </c>
    </row>
    <row r="312" spans="2:14" ht="17" x14ac:dyDescent="0.2">
      <c r="B312" s="162" t="s">
        <v>185</v>
      </c>
      <c r="C312" s="19" t="s">
        <v>40</v>
      </c>
      <c r="E312" s="34" t="s">
        <v>0</v>
      </c>
      <c r="G312" s="62" t="s">
        <v>41</v>
      </c>
      <c r="H312" s="61">
        <v>18023</v>
      </c>
      <c r="J312" s="74" t="s">
        <v>0</v>
      </c>
      <c r="L312" s="271" t="s">
        <v>41</v>
      </c>
      <c r="M312" s="74">
        <v>25111</v>
      </c>
      <c r="N312" s="67" t="s">
        <v>479</v>
      </c>
    </row>
    <row r="315" spans="2:14" ht="69" x14ac:dyDescent="0.2">
      <c r="B315" s="170" t="s">
        <v>541</v>
      </c>
      <c r="C315" s="19"/>
    </row>
    <row r="316" spans="2:14" ht="17" x14ac:dyDescent="0.2">
      <c r="B316" s="127" t="s">
        <v>31</v>
      </c>
      <c r="C316" s="19"/>
    </row>
    <row r="317" spans="2:14" ht="17" x14ac:dyDescent="0.2">
      <c r="B317" s="127" t="s">
        <v>328</v>
      </c>
    </row>
    <row r="318" spans="2:14" ht="17" x14ac:dyDescent="0.2">
      <c r="B318" s="128" t="s">
        <v>33</v>
      </c>
    </row>
    <row r="319" spans="2:14" ht="17" x14ac:dyDescent="0.2">
      <c r="B319" s="127" t="s">
        <v>34</v>
      </c>
      <c r="C319" s="19"/>
    </row>
    <row r="320" spans="2:14" ht="17" x14ac:dyDescent="0.2">
      <c r="B320" s="127" t="s">
        <v>475</v>
      </c>
      <c r="C320" s="19"/>
    </row>
    <row r="321" spans="2:14" ht="34" x14ac:dyDescent="0.2">
      <c r="B321" s="127" t="s">
        <v>476</v>
      </c>
      <c r="C321" s="19"/>
    </row>
    <row r="322" spans="2:14" ht="17" x14ac:dyDescent="0.2">
      <c r="B322" s="129" t="s">
        <v>36</v>
      </c>
      <c r="C322" s="19"/>
    </row>
    <row r="323" spans="2:14" ht="17" x14ac:dyDescent="0.2">
      <c r="B323" s="129" t="s">
        <v>37</v>
      </c>
      <c r="C323" s="19"/>
    </row>
    <row r="324" spans="2:14" ht="17" x14ac:dyDescent="0.2">
      <c r="B324" s="128" t="s">
        <v>38</v>
      </c>
      <c r="C324" s="19"/>
    </row>
    <row r="325" spans="2:14" ht="48" x14ac:dyDescent="0.2">
      <c r="B325" s="164" t="s">
        <v>477</v>
      </c>
      <c r="C325" s="19" t="s">
        <v>40</v>
      </c>
      <c r="E325" s="34" t="s">
        <v>0</v>
      </c>
      <c r="G325" s="62" t="s">
        <v>41</v>
      </c>
      <c r="H325" s="61">
        <v>18023</v>
      </c>
      <c r="J325" s="74" t="s">
        <v>0</v>
      </c>
      <c r="L325" s="271" t="s">
        <v>41</v>
      </c>
      <c r="M325" s="74">
        <v>25111</v>
      </c>
      <c r="N325" s="67" t="s">
        <v>479</v>
      </c>
    </row>
    <row r="326" spans="2:14" ht="48" x14ac:dyDescent="0.2">
      <c r="B326" s="164" t="s">
        <v>542</v>
      </c>
      <c r="C326" s="19" t="s">
        <v>40</v>
      </c>
      <c r="E326" s="34" t="s">
        <v>0</v>
      </c>
      <c r="G326" s="62" t="s">
        <v>41</v>
      </c>
      <c r="H326" s="61">
        <v>18023</v>
      </c>
      <c r="J326" s="74" t="s">
        <v>0</v>
      </c>
      <c r="L326" s="271" t="s">
        <v>41</v>
      </c>
      <c r="M326" s="74">
        <v>25111</v>
      </c>
      <c r="N326" s="67" t="s">
        <v>479</v>
      </c>
    </row>
    <row r="327" spans="2:14" ht="17" x14ac:dyDescent="0.2">
      <c r="B327" s="128" t="s">
        <v>44</v>
      </c>
      <c r="C327" s="19"/>
    </row>
    <row r="328" spans="2:14" ht="17" x14ac:dyDescent="0.2">
      <c r="B328" s="164" t="s">
        <v>543</v>
      </c>
      <c r="C328" s="19" t="s">
        <v>40</v>
      </c>
      <c r="E328" s="34" t="s">
        <v>0</v>
      </c>
      <c r="G328" s="62" t="s">
        <v>41</v>
      </c>
      <c r="H328" s="61">
        <v>18023</v>
      </c>
      <c r="J328" s="74" t="s">
        <v>0</v>
      </c>
      <c r="L328" s="271" t="s">
        <v>41</v>
      </c>
      <c r="M328" s="74">
        <v>25111</v>
      </c>
      <c r="N328" s="67" t="s">
        <v>479</v>
      </c>
    </row>
    <row r="329" spans="2:14" ht="17" x14ac:dyDescent="0.2">
      <c r="B329" s="128" t="s">
        <v>47</v>
      </c>
    </row>
    <row r="330" spans="2:14" ht="17" x14ac:dyDescent="0.2">
      <c r="B330" s="131" t="s">
        <v>481</v>
      </c>
      <c r="C330" s="19" t="s">
        <v>40</v>
      </c>
      <c r="E330" s="34" t="s">
        <v>0</v>
      </c>
      <c r="G330" s="62" t="s">
        <v>41</v>
      </c>
      <c r="H330" s="61">
        <v>18023</v>
      </c>
      <c r="J330" s="74" t="s">
        <v>0</v>
      </c>
      <c r="L330" s="271" t="s">
        <v>41</v>
      </c>
      <c r="M330" s="74">
        <v>25111</v>
      </c>
      <c r="N330" s="67" t="s">
        <v>479</v>
      </c>
    </row>
    <row r="331" spans="2:14" ht="17" x14ac:dyDescent="0.2">
      <c r="B331" s="131" t="s">
        <v>49</v>
      </c>
      <c r="C331" s="19" t="s">
        <v>40</v>
      </c>
      <c r="E331" s="34" t="s">
        <v>0</v>
      </c>
      <c r="G331" s="62" t="s">
        <v>41</v>
      </c>
      <c r="H331" s="61">
        <v>18023</v>
      </c>
      <c r="J331" s="74" t="s">
        <v>0</v>
      </c>
      <c r="L331" s="271" t="s">
        <v>41</v>
      </c>
      <c r="M331" s="74">
        <v>25111</v>
      </c>
      <c r="N331" s="67" t="s">
        <v>479</v>
      </c>
    </row>
    <row r="332" spans="2:14" ht="17" x14ac:dyDescent="0.2">
      <c r="B332" s="128" t="s">
        <v>482</v>
      </c>
    </row>
    <row r="333" spans="2:14" ht="17" x14ac:dyDescent="0.2">
      <c r="B333" s="165" t="s">
        <v>66</v>
      </c>
      <c r="C333" s="19" t="s">
        <v>40</v>
      </c>
      <c r="E333" s="34" t="s">
        <v>0</v>
      </c>
      <c r="G333" s="62" t="s">
        <v>41</v>
      </c>
      <c r="H333" s="61">
        <v>18023</v>
      </c>
      <c r="J333" s="74" t="s">
        <v>0</v>
      </c>
      <c r="L333" s="271" t="s">
        <v>41</v>
      </c>
      <c r="M333" s="74">
        <v>25111</v>
      </c>
      <c r="N333" s="67" t="s">
        <v>479</v>
      </c>
    </row>
    <row r="334" spans="2:14" ht="17" x14ac:dyDescent="0.2">
      <c r="B334" s="138" t="s">
        <v>67</v>
      </c>
      <c r="C334" s="19" t="s">
        <v>40</v>
      </c>
      <c r="E334" s="34" t="s">
        <v>0</v>
      </c>
      <c r="G334" s="62" t="s">
        <v>41</v>
      </c>
      <c r="H334" s="61">
        <v>18023</v>
      </c>
      <c r="J334" s="74" t="s">
        <v>0</v>
      </c>
      <c r="L334" s="271" t="s">
        <v>41</v>
      </c>
      <c r="M334" s="74">
        <v>25111</v>
      </c>
      <c r="N334" s="67" t="s">
        <v>479</v>
      </c>
    </row>
    <row r="335" spans="2:14" ht="17" x14ac:dyDescent="0.2">
      <c r="B335" s="166" t="s">
        <v>68</v>
      </c>
      <c r="C335" s="19" t="s">
        <v>40</v>
      </c>
      <c r="E335" s="34" t="s">
        <v>0</v>
      </c>
      <c r="G335" s="62" t="s">
        <v>41</v>
      </c>
      <c r="H335" s="61">
        <v>18023</v>
      </c>
      <c r="J335" s="74" t="s">
        <v>0</v>
      </c>
      <c r="L335" s="271" t="s">
        <v>41</v>
      </c>
      <c r="M335" s="74">
        <v>25111</v>
      </c>
      <c r="N335" s="67" t="s">
        <v>479</v>
      </c>
    </row>
    <row r="336" spans="2:14" ht="17" x14ac:dyDescent="0.2">
      <c r="B336" s="166" t="s">
        <v>69</v>
      </c>
      <c r="C336" s="19" t="s">
        <v>40</v>
      </c>
      <c r="E336" s="34" t="s">
        <v>0</v>
      </c>
      <c r="G336" s="62" t="s">
        <v>41</v>
      </c>
      <c r="H336" s="61">
        <v>18023</v>
      </c>
      <c r="J336" s="74" t="s">
        <v>0</v>
      </c>
      <c r="L336" s="271" t="s">
        <v>41</v>
      </c>
      <c r="M336" s="74">
        <v>25111</v>
      </c>
      <c r="N336" s="67" t="s">
        <v>479</v>
      </c>
    </row>
    <row r="337" spans="2:14" ht="17" x14ac:dyDescent="0.2">
      <c r="B337" s="166" t="s">
        <v>70</v>
      </c>
      <c r="C337" s="19" t="s">
        <v>40</v>
      </c>
      <c r="E337" s="34" t="s">
        <v>0</v>
      </c>
      <c r="G337" s="62" t="s">
        <v>41</v>
      </c>
      <c r="H337" s="61">
        <v>18023</v>
      </c>
      <c r="J337" s="74" t="s">
        <v>0</v>
      </c>
      <c r="L337" s="271" t="s">
        <v>41</v>
      </c>
      <c r="M337" s="74">
        <v>25111</v>
      </c>
      <c r="N337" s="67" t="s">
        <v>479</v>
      </c>
    </row>
    <row r="338" spans="2:14" ht="17" x14ac:dyDescent="0.2">
      <c r="B338" s="138" t="s">
        <v>71</v>
      </c>
      <c r="C338" s="19" t="s">
        <v>40</v>
      </c>
      <c r="E338" s="34" t="s">
        <v>0</v>
      </c>
      <c r="G338" s="62" t="s">
        <v>41</v>
      </c>
      <c r="H338" s="61">
        <v>18023</v>
      </c>
      <c r="J338" s="74" t="s">
        <v>0</v>
      </c>
      <c r="L338" s="271" t="s">
        <v>41</v>
      </c>
      <c r="M338" s="74">
        <v>25111</v>
      </c>
      <c r="N338" s="67" t="s">
        <v>479</v>
      </c>
    </row>
    <row r="339" spans="2:14" ht="17" x14ac:dyDescent="0.2">
      <c r="B339" s="139" t="s">
        <v>72</v>
      </c>
      <c r="C339" s="19" t="s">
        <v>40</v>
      </c>
      <c r="E339" s="34" t="s">
        <v>0</v>
      </c>
      <c r="G339" s="62" t="s">
        <v>41</v>
      </c>
      <c r="H339" s="61">
        <v>18023</v>
      </c>
      <c r="J339" s="74" t="s">
        <v>0</v>
      </c>
      <c r="L339" s="271" t="s">
        <v>41</v>
      </c>
      <c r="M339" s="74">
        <v>25111</v>
      </c>
      <c r="N339" s="67" t="s">
        <v>479</v>
      </c>
    </row>
    <row r="340" spans="2:14" ht="17" x14ac:dyDescent="0.2">
      <c r="B340" s="166" t="s">
        <v>483</v>
      </c>
      <c r="C340" s="19" t="s">
        <v>40</v>
      </c>
      <c r="E340" s="34" t="s">
        <v>0</v>
      </c>
      <c r="G340" s="62" t="s">
        <v>41</v>
      </c>
      <c r="H340" s="61">
        <v>18023</v>
      </c>
      <c r="J340" s="74" t="s">
        <v>0</v>
      </c>
      <c r="L340" s="271" t="s">
        <v>41</v>
      </c>
      <c r="M340" s="74">
        <v>25111</v>
      </c>
      <c r="N340" s="67" t="s">
        <v>479</v>
      </c>
    </row>
    <row r="341" spans="2:14" ht="17" x14ac:dyDescent="0.2">
      <c r="B341" s="166" t="s">
        <v>484</v>
      </c>
      <c r="C341" s="19" t="s">
        <v>40</v>
      </c>
      <c r="E341" s="34" t="s">
        <v>0</v>
      </c>
      <c r="G341" s="62" t="s">
        <v>41</v>
      </c>
      <c r="H341" s="61">
        <v>18023</v>
      </c>
      <c r="J341" s="74" t="s">
        <v>0</v>
      </c>
      <c r="L341" s="271" t="s">
        <v>41</v>
      </c>
      <c r="M341" s="74">
        <v>25111</v>
      </c>
      <c r="N341" s="67" t="s">
        <v>479</v>
      </c>
    </row>
    <row r="342" spans="2:14" ht="17" x14ac:dyDescent="0.2">
      <c r="B342" s="167" t="s">
        <v>485</v>
      </c>
      <c r="C342" s="19" t="s">
        <v>40</v>
      </c>
      <c r="E342" s="34" t="s">
        <v>0</v>
      </c>
      <c r="G342" s="62" t="s">
        <v>41</v>
      </c>
      <c r="H342" s="61">
        <v>18023</v>
      </c>
      <c r="J342" s="74" t="s">
        <v>0</v>
      </c>
      <c r="L342" s="271" t="s">
        <v>41</v>
      </c>
      <c r="M342" s="74">
        <v>25111</v>
      </c>
      <c r="N342" s="67" t="s">
        <v>479</v>
      </c>
    </row>
    <row r="343" spans="2:14" ht="17" x14ac:dyDescent="0.2">
      <c r="B343" s="169" t="s">
        <v>486</v>
      </c>
      <c r="C343" s="19"/>
    </row>
    <row r="344" spans="2:14" ht="17" x14ac:dyDescent="0.2">
      <c r="B344" s="139" t="s">
        <v>487</v>
      </c>
      <c r="C344" s="19" t="s">
        <v>40</v>
      </c>
      <c r="E344" s="34" t="s">
        <v>0</v>
      </c>
      <c r="G344" s="62" t="s">
        <v>41</v>
      </c>
      <c r="H344" s="61">
        <v>18023</v>
      </c>
      <c r="J344" s="74" t="s">
        <v>0</v>
      </c>
      <c r="L344" s="271" t="s">
        <v>41</v>
      </c>
      <c r="M344" s="74">
        <v>25111</v>
      </c>
      <c r="N344" s="67" t="s">
        <v>479</v>
      </c>
    </row>
    <row r="345" spans="2:14" ht="17" x14ac:dyDescent="0.2">
      <c r="B345" s="139" t="s">
        <v>488</v>
      </c>
      <c r="C345" s="19" t="s">
        <v>40</v>
      </c>
      <c r="E345" s="34" t="s">
        <v>299</v>
      </c>
      <c r="G345" s="62" t="s">
        <v>41</v>
      </c>
      <c r="H345" s="61">
        <v>18023</v>
      </c>
      <c r="J345" s="74" t="s">
        <v>0</v>
      </c>
      <c r="L345" s="271" t="s">
        <v>41</v>
      </c>
      <c r="M345" s="74">
        <v>25111</v>
      </c>
      <c r="N345" s="67"/>
    </row>
    <row r="346" spans="2:14" ht="17" x14ac:dyDescent="0.2">
      <c r="B346" s="139" t="s">
        <v>489</v>
      </c>
      <c r="C346" s="19" t="s">
        <v>40</v>
      </c>
      <c r="E346" s="34" t="s">
        <v>299</v>
      </c>
      <c r="G346" s="62" t="s">
        <v>41</v>
      </c>
      <c r="H346" s="61">
        <v>18023</v>
      </c>
      <c r="J346" s="74" t="s">
        <v>0</v>
      </c>
      <c r="L346" s="271" t="s">
        <v>41</v>
      </c>
      <c r="M346" s="74">
        <v>25111</v>
      </c>
      <c r="N346" s="67"/>
    </row>
    <row r="347" spans="2:14" ht="17" x14ac:dyDescent="0.2">
      <c r="B347" s="167" t="s">
        <v>490</v>
      </c>
      <c r="C347" s="19" t="s">
        <v>40</v>
      </c>
      <c r="E347" s="34" t="s">
        <v>299</v>
      </c>
      <c r="G347" s="62" t="s">
        <v>41</v>
      </c>
      <c r="H347" s="61">
        <v>18023</v>
      </c>
      <c r="J347" s="74" t="s">
        <v>0</v>
      </c>
      <c r="L347" s="271" t="s">
        <v>41</v>
      </c>
      <c r="M347" s="74">
        <v>25111</v>
      </c>
      <c r="N347" s="67"/>
    </row>
    <row r="348" spans="2:14" ht="18.75" customHeight="1" x14ac:dyDescent="0.2">
      <c r="B348" s="168" t="s">
        <v>134</v>
      </c>
      <c r="C348" s="19" t="s">
        <v>40</v>
      </c>
      <c r="E348" s="34" t="s">
        <v>0</v>
      </c>
      <c r="G348" s="62" t="s">
        <v>41</v>
      </c>
      <c r="H348" s="61">
        <v>18023</v>
      </c>
      <c r="J348" s="74" t="s">
        <v>0</v>
      </c>
      <c r="L348" s="271" t="s">
        <v>41</v>
      </c>
      <c r="M348" s="74">
        <v>25111</v>
      </c>
      <c r="N348" s="67" t="s">
        <v>479</v>
      </c>
    </row>
    <row r="349" spans="2:14" ht="23.25" customHeight="1" x14ac:dyDescent="0.2">
      <c r="B349" s="167" t="s">
        <v>544</v>
      </c>
      <c r="C349" s="19" t="s">
        <v>40</v>
      </c>
      <c r="E349" s="34" t="s">
        <v>0</v>
      </c>
      <c r="G349" s="62" t="s">
        <v>41</v>
      </c>
      <c r="H349" s="61">
        <v>18023</v>
      </c>
      <c r="J349" s="74" t="s">
        <v>0</v>
      </c>
      <c r="L349" s="271" t="s">
        <v>41</v>
      </c>
      <c r="M349" s="74">
        <v>25111</v>
      </c>
      <c r="N349" s="67" t="s">
        <v>479</v>
      </c>
    </row>
    <row r="350" spans="2:14" ht="17" x14ac:dyDescent="0.2">
      <c r="B350" s="167" t="s">
        <v>492</v>
      </c>
      <c r="C350" s="19" t="s">
        <v>40</v>
      </c>
      <c r="E350" s="34" t="s">
        <v>0</v>
      </c>
      <c r="G350" s="62" t="s">
        <v>41</v>
      </c>
      <c r="H350" s="61">
        <v>18023</v>
      </c>
      <c r="J350" s="74" t="s">
        <v>0</v>
      </c>
      <c r="L350" s="271" t="s">
        <v>41</v>
      </c>
      <c r="M350" s="74">
        <v>25111</v>
      </c>
      <c r="N350" s="67" t="s">
        <v>479</v>
      </c>
    </row>
    <row r="351" spans="2:14" ht="17" x14ac:dyDescent="0.2">
      <c r="B351" s="167" t="s">
        <v>493</v>
      </c>
      <c r="C351" s="19" t="s">
        <v>40</v>
      </c>
      <c r="E351" s="34" t="s">
        <v>0</v>
      </c>
      <c r="G351" s="62" t="s">
        <v>41</v>
      </c>
      <c r="H351" s="61">
        <v>18023</v>
      </c>
      <c r="J351" s="74" t="s">
        <v>0</v>
      </c>
      <c r="L351" s="271" t="s">
        <v>41</v>
      </c>
      <c r="M351" s="74">
        <v>25111</v>
      </c>
      <c r="N351" s="67" t="s">
        <v>479</v>
      </c>
    </row>
    <row r="352" spans="2:14" ht="17" x14ac:dyDescent="0.2">
      <c r="B352" s="166" t="s">
        <v>237</v>
      </c>
      <c r="C352" s="19" t="s">
        <v>40</v>
      </c>
      <c r="E352" s="34" t="s">
        <v>0</v>
      </c>
      <c r="G352" s="62" t="s">
        <v>41</v>
      </c>
      <c r="H352" s="61">
        <v>18023</v>
      </c>
      <c r="J352" s="74" t="s">
        <v>0</v>
      </c>
      <c r="L352" s="271" t="s">
        <v>41</v>
      </c>
      <c r="M352" s="74">
        <v>25111</v>
      </c>
      <c r="N352" s="67" t="s">
        <v>479</v>
      </c>
    </row>
    <row r="353" spans="2:14" ht="17" x14ac:dyDescent="0.2">
      <c r="B353" s="166" t="s">
        <v>79</v>
      </c>
      <c r="C353" s="19" t="s">
        <v>40</v>
      </c>
      <c r="E353" s="34" t="s">
        <v>0</v>
      </c>
      <c r="G353" s="62" t="s">
        <v>41</v>
      </c>
      <c r="H353" s="61">
        <v>18023</v>
      </c>
      <c r="J353" s="74" t="s">
        <v>0</v>
      </c>
      <c r="L353" s="271" t="s">
        <v>41</v>
      </c>
      <c r="M353" s="74">
        <v>25111</v>
      </c>
      <c r="N353" s="67" t="s">
        <v>479</v>
      </c>
    </row>
    <row r="354" spans="2:14" ht="17" x14ac:dyDescent="0.2">
      <c r="B354" s="166" t="s">
        <v>80</v>
      </c>
      <c r="C354" s="19" t="s">
        <v>40</v>
      </c>
      <c r="E354" s="34" t="s">
        <v>0</v>
      </c>
      <c r="G354" s="62" t="s">
        <v>41</v>
      </c>
      <c r="H354" s="61">
        <v>18023</v>
      </c>
      <c r="J354" s="74" t="s">
        <v>0</v>
      </c>
      <c r="L354" s="271" t="s">
        <v>41</v>
      </c>
      <c r="M354" s="74">
        <v>25111</v>
      </c>
      <c r="N354" s="67" t="s">
        <v>479</v>
      </c>
    </row>
    <row r="355" spans="2:14" ht="17" x14ac:dyDescent="0.2">
      <c r="B355" s="138" t="s">
        <v>81</v>
      </c>
      <c r="C355" s="19" t="s">
        <v>40</v>
      </c>
      <c r="E355" s="34" t="s">
        <v>0</v>
      </c>
      <c r="G355" s="62" t="s">
        <v>41</v>
      </c>
      <c r="H355" s="61">
        <v>18023</v>
      </c>
      <c r="J355" s="74" t="s">
        <v>0</v>
      </c>
      <c r="L355" s="271" t="s">
        <v>41</v>
      </c>
      <c r="M355" s="74">
        <v>25111</v>
      </c>
      <c r="N355" s="67" t="s">
        <v>479</v>
      </c>
    </row>
    <row r="356" spans="2:14" ht="17" x14ac:dyDescent="0.2">
      <c r="B356" s="166" t="s">
        <v>82</v>
      </c>
      <c r="C356" s="19" t="s">
        <v>40</v>
      </c>
      <c r="E356" s="34" t="s">
        <v>0</v>
      </c>
      <c r="G356" s="62" t="s">
        <v>41</v>
      </c>
      <c r="H356" s="61">
        <v>18023</v>
      </c>
      <c r="J356" s="74" t="s">
        <v>0</v>
      </c>
      <c r="L356" s="271" t="s">
        <v>41</v>
      </c>
      <c r="M356" s="74">
        <v>25111</v>
      </c>
      <c r="N356" s="67" t="s">
        <v>479</v>
      </c>
    </row>
    <row r="357" spans="2:14" ht="17" x14ac:dyDescent="0.2">
      <c r="B357" s="166" t="s">
        <v>494</v>
      </c>
      <c r="C357" s="19" t="s">
        <v>40</v>
      </c>
      <c r="E357" s="34" t="s">
        <v>0</v>
      </c>
      <c r="G357" s="62" t="s">
        <v>41</v>
      </c>
      <c r="H357" s="61">
        <v>18023</v>
      </c>
      <c r="J357" s="74" t="s">
        <v>0</v>
      </c>
      <c r="L357" s="271" t="s">
        <v>41</v>
      </c>
      <c r="M357" s="74">
        <v>25111</v>
      </c>
      <c r="N357" s="67" t="s">
        <v>479</v>
      </c>
    </row>
    <row r="358" spans="2:14" ht="17" x14ac:dyDescent="0.2">
      <c r="B358" s="166" t="s">
        <v>495</v>
      </c>
      <c r="C358" s="19" t="s">
        <v>40</v>
      </c>
      <c r="E358" s="34" t="s">
        <v>0</v>
      </c>
      <c r="G358" s="62" t="s">
        <v>41</v>
      </c>
      <c r="H358" s="61">
        <v>18023</v>
      </c>
      <c r="J358" s="74" t="s">
        <v>0</v>
      </c>
      <c r="L358" s="271" t="s">
        <v>41</v>
      </c>
      <c r="M358" s="74">
        <v>25111</v>
      </c>
      <c r="N358" s="67" t="s">
        <v>479</v>
      </c>
    </row>
    <row r="359" spans="2:14" ht="17" x14ac:dyDescent="0.2">
      <c r="B359" s="242" t="s">
        <v>496</v>
      </c>
      <c r="C359" s="19"/>
    </row>
    <row r="360" spans="2:14" ht="17" x14ac:dyDescent="0.2">
      <c r="B360" s="147" t="s">
        <v>134</v>
      </c>
      <c r="C360" s="19" t="s">
        <v>40</v>
      </c>
      <c r="E360" s="34" t="s">
        <v>0</v>
      </c>
      <c r="G360" s="62" t="s">
        <v>41</v>
      </c>
      <c r="H360" s="61">
        <v>18023</v>
      </c>
      <c r="J360" s="74" t="s">
        <v>0</v>
      </c>
      <c r="L360" s="271" t="s">
        <v>41</v>
      </c>
      <c r="M360" s="74">
        <v>25111</v>
      </c>
      <c r="N360" s="67" t="s">
        <v>479</v>
      </c>
    </row>
    <row r="361" spans="2:14" ht="17" x14ac:dyDescent="0.2">
      <c r="B361" s="139" t="s">
        <v>497</v>
      </c>
      <c r="C361" s="19" t="s">
        <v>40</v>
      </c>
      <c r="E361" s="34" t="s">
        <v>0</v>
      </c>
      <c r="G361" s="62" t="s">
        <v>41</v>
      </c>
      <c r="H361" s="61">
        <v>18023</v>
      </c>
      <c r="J361" s="74" t="s">
        <v>0</v>
      </c>
      <c r="L361" s="271" t="s">
        <v>41</v>
      </c>
      <c r="M361" s="74">
        <v>25111</v>
      </c>
      <c r="N361" s="67" t="s">
        <v>479</v>
      </c>
    </row>
    <row r="362" spans="2:14" ht="34" x14ac:dyDescent="0.2">
      <c r="B362" s="166" t="s">
        <v>520</v>
      </c>
      <c r="C362" s="19" t="s">
        <v>40</v>
      </c>
      <c r="E362" s="34" t="s">
        <v>0</v>
      </c>
      <c r="G362" s="62" t="s">
        <v>41</v>
      </c>
      <c r="H362" s="61">
        <v>18023</v>
      </c>
      <c r="J362" s="74" t="s">
        <v>0</v>
      </c>
      <c r="L362" s="271" t="s">
        <v>41</v>
      </c>
      <c r="M362" s="74">
        <v>25111</v>
      </c>
      <c r="N362" s="67" t="s">
        <v>479</v>
      </c>
    </row>
    <row r="363" spans="2:14" ht="17" x14ac:dyDescent="0.2">
      <c r="B363" s="167" t="s">
        <v>499</v>
      </c>
      <c r="C363" s="19" t="s">
        <v>40</v>
      </c>
      <c r="E363" s="34" t="s">
        <v>0</v>
      </c>
      <c r="G363" s="62" t="s">
        <v>41</v>
      </c>
      <c r="H363" s="61">
        <v>18023</v>
      </c>
      <c r="J363" s="74" t="s">
        <v>0</v>
      </c>
      <c r="L363" s="271" t="s">
        <v>41</v>
      </c>
      <c r="M363" s="74">
        <v>25111</v>
      </c>
      <c r="N363" s="67" t="s">
        <v>479</v>
      </c>
    </row>
    <row r="364" spans="2:14" x14ac:dyDescent="0.2">
      <c r="B364" s="140" t="s">
        <v>86</v>
      </c>
    </row>
    <row r="365" spans="2:14" x14ac:dyDescent="0.2">
      <c r="B365" s="140" t="s">
        <v>500</v>
      </c>
    </row>
    <row r="366" spans="2:14" ht="17" x14ac:dyDescent="0.2">
      <c r="B366" s="141" t="s">
        <v>87</v>
      </c>
      <c r="C366" s="19" t="s">
        <v>40</v>
      </c>
      <c r="E366" s="34" t="s">
        <v>0</v>
      </c>
      <c r="G366" s="62" t="s">
        <v>41</v>
      </c>
      <c r="H366" s="61">
        <v>18023</v>
      </c>
      <c r="J366" s="74" t="s">
        <v>0</v>
      </c>
      <c r="L366" s="271" t="s">
        <v>41</v>
      </c>
      <c r="M366" s="74">
        <v>25111</v>
      </c>
      <c r="N366" s="67" t="s">
        <v>479</v>
      </c>
    </row>
    <row r="367" spans="2:14" ht="32" x14ac:dyDescent="0.2">
      <c r="B367" s="142" t="s">
        <v>102</v>
      </c>
      <c r="C367" s="19" t="s">
        <v>40</v>
      </c>
      <c r="E367" s="34" t="s">
        <v>0</v>
      </c>
      <c r="G367" s="62" t="s">
        <v>41</v>
      </c>
      <c r="H367" s="61">
        <v>18023</v>
      </c>
      <c r="J367" s="74" t="s">
        <v>0</v>
      </c>
      <c r="L367" s="271" t="s">
        <v>41</v>
      </c>
      <c r="M367" s="74">
        <v>25111</v>
      </c>
      <c r="N367" s="67" t="s">
        <v>479</v>
      </c>
    </row>
    <row r="368" spans="2:14" ht="48" x14ac:dyDescent="0.2">
      <c r="B368" s="143" t="s">
        <v>103</v>
      </c>
      <c r="C368" s="19" t="s">
        <v>40</v>
      </c>
      <c r="E368" s="34" t="s">
        <v>0</v>
      </c>
      <c r="G368" s="62" t="s">
        <v>41</v>
      </c>
      <c r="H368" s="61">
        <v>18023</v>
      </c>
      <c r="J368" s="74" t="s">
        <v>0</v>
      </c>
      <c r="L368" s="271" t="s">
        <v>41</v>
      </c>
      <c r="M368" s="74">
        <v>25111</v>
      </c>
      <c r="N368" s="67" t="s">
        <v>479</v>
      </c>
    </row>
    <row r="369" spans="2:14" ht="17" x14ac:dyDescent="0.2">
      <c r="B369" s="144" t="s">
        <v>96</v>
      </c>
      <c r="C369" s="19" t="s">
        <v>40</v>
      </c>
      <c r="E369" s="34" t="s">
        <v>0</v>
      </c>
      <c r="G369" s="62" t="s">
        <v>41</v>
      </c>
      <c r="H369" s="61">
        <v>18023</v>
      </c>
      <c r="J369" s="74" t="s">
        <v>0</v>
      </c>
      <c r="L369" s="271" t="s">
        <v>41</v>
      </c>
      <c r="M369" s="74">
        <v>25111</v>
      </c>
      <c r="N369" s="67" t="s">
        <v>479</v>
      </c>
    </row>
    <row r="370" spans="2:14" ht="32" x14ac:dyDescent="0.2">
      <c r="B370" s="143" t="s">
        <v>104</v>
      </c>
      <c r="C370" s="19" t="s">
        <v>40</v>
      </c>
      <c r="E370" s="34" t="s">
        <v>0</v>
      </c>
      <c r="G370" s="62" t="s">
        <v>41</v>
      </c>
      <c r="H370" s="61">
        <v>18023</v>
      </c>
      <c r="J370" s="74" t="s">
        <v>0</v>
      </c>
      <c r="L370" s="271" t="s">
        <v>41</v>
      </c>
      <c r="M370" s="74">
        <v>25111</v>
      </c>
      <c r="N370" s="67" t="s">
        <v>479</v>
      </c>
    </row>
    <row r="371" spans="2:14" ht="32" x14ac:dyDescent="0.2">
      <c r="B371" s="142" t="s">
        <v>105</v>
      </c>
      <c r="C371" s="19" t="s">
        <v>40</v>
      </c>
      <c r="E371" s="34" t="s">
        <v>0</v>
      </c>
      <c r="G371" s="62" t="s">
        <v>41</v>
      </c>
      <c r="H371" s="61">
        <v>18023</v>
      </c>
      <c r="J371" s="74" t="s">
        <v>0</v>
      </c>
      <c r="L371" s="271" t="s">
        <v>41</v>
      </c>
      <c r="M371" s="74">
        <v>25111</v>
      </c>
      <c r="N371" s="67" t="s">
        <v>479</v>
      </c>
    </row>
    <row r="372" spans="2:14" ht="17" x14ac:dyDescent="0.2">
      <c r="B372" s="144" t="s">
        <v>99</v>
      </c>
      <c r="C372" s="19" t="s">
        <v>40</v>
      </c>
      <c r="E372" s="34" t="s">
        <v>0</v>
      </c>
      <c r="G372" s="62" t="s">
        <v>41</v>
      </c>
      <c r="H372" s="61">
        <v>18023</v>
      </c>
      <c r="J372" s="74" t="s">
        <v>0</v>
      </c>
      <c r="L372" s="271" t="s">
        <v>41</v>
      </c>
      <c r="M372" s="74">
        <v>25111</v>
      </c>
      <c r="N372" s="67" t="s">
        <v>479</v>
      </c>
    </row>
    <row r="373" spans="2:14" ht="17" x14ac:dyDescent="0.2">
      <c r="B373" s="143" t="s">
        <v>106</v>
      </c>
      <c r="C373" s="19" t="s">
        <v>40</v>
      </c>
      <c r="E373" s="34" t="s">
        <v>0</v>
      </c>
      <c r="G373" s="62" t="s">
        <v>41</v>
      </c>
      <c r="H373" s="61">
        <v>18023</v>
      </c>
      <c r="J373" s="74" t="s">
        <v>0</v>
      </c>
      <c r="L373" s="271" t="s">
        <v>41</v>
      </c>
      <c r="M373" s="74">
        <v>25111</v>
      </c>
      <c r="N373" s="67" t="s">
        <v>479</v>
      </c>
    </row>
    <row r="374" spans="2:14" x14ac:dyDescent="0.2">
      <c r="B374" s="140" t="s">
        <v>101</v>
      </c>
    </row>
    <row r="375" spans="2:14" ht="17" x14ac:dyDescent="0.2">
      <c r="B375" s="141" t="s">
        <v>87</v>
      </c>
      <c r="C375" s="19" t="s">
        <v>40</v>
      </c>
      <c r="E375" s="34" t="s">
        <v>0</v>
      </c>
      <c r="G375" s="62" t="s">
        <v>41</v>
      </c>
      <c r="H375" s="61">
        <v>18023</v>
      </c>
      <c r="J375" s="74" t="s">
        <v>0</v>
      </c>
      <c r="L375" s="271" t="s">
        <v>41</v>
      </c>
      <c r="M375" s="74">
        <v>25111</v>
      </c>
      <c r="N375" s="67" t="s">
        <v>479</v>
      </c>
    </row>
    <row r="376" spans="2:14" ht="32" x14ac:dyDescent="0.2">
      <c r="B376" s="142" t="s">
        <v>102</v>
      </c>
      <c r="C376" s="19" t="s">
        <v>40</v>
      </c>
      <c r="E376" s="34" t="s">
        <v>0</v>
      </c>
      <c r="G376" s="62" t="s">
        <v>41</v>
      </c>
      <c r="H376" s="61">
        <v>18023</v>
      </c>
      <c r="J376" s="74" t="s">
        <v>0</v>
      </c>
      <c r="L376" s="271" t="s">
        <v>41</v>
      </c>
      <c r="M376" s="74">
        <v>25111</v>
      </c>
      <c r="N376" s="67" t="s">
        <v>479</v>
      </c>
    </row>
    <row r="377" spans="2:14" ht="48" x14ac:dyDescent="0.2">
      <c r="B377" s="143" t="s">
        <v>108</v>
      </c>
      <c r="C377" s="19" t="s">
        <v>40</v>
      </c>
      <c r="E377" s="34" t="s">
        <v>0</v>
      </c>
      <c r="G377" s="62" t="s">
        <v>41</v>
      </c>
      <c r="H377" s="61">
        <v>18023</v>
      </c>
      <c r="J377" s="74" t="s">
        <v>0</v>
      </c>
      <c r="L377" s="271" t="s">
        <v>41</v>
      </c>
      <c r="M377" s="74">
        <v>25111</v>
      </c>
      <c r="N377" s="67" t="s">
        <v>479</v>
      </c>
    </row>
    <row r="378" spans="2:14" ht="17" x14ac:dyDescent="0.2">
      <c r="B378" s="144" t="s">
        <v>96</v>
      </c>
      <c r="C378" s="19" t="s">
        <v>40</v>
      </c>
      <c r="E378" s="34" t="s">
        <v>0</v>
      </c>
      <c r="G378" s="62" t="s">
        <v>41</v>
      </c>
      <c r="H378" s="61">
        <v>18023</v>
      </c>
      <c r="J378" s="74" t="s">
        <v>0</v>
      </c>
      <c r="L378" s="271" t="s">
        <v>41</v>
      </c>
      <c r="M378" s="74">
        <v>25111</v>
      </c>
      <c r="N378" s="67" t="s">
        <v>479</v>
      </c>
    </row>
    <row r="379" spans="2:14" ht="32" x14ac:dyDescent="0.2">
      <c r="B379" s="143" t="s">
        <v>109</v>
      </c>
      <c r="C379" s="19" t="s">
        <v>40</v>
      </c>
      <c r="E379" s="34" t="s">
        <v>0</v>
      </c>
      <c r="G379" s="62" t="s">
        <v>41</v>
      </c>
      <c r="H379" s="61">
        <v>18023</v>
      </c>
      <c r="J379" s="74" t="s">
        <v>0</v>
      </c>
      <c r="L379" s="271" t="s">
        <v>41</v>
      </c>
      <c r="M379" s="74">
        <v>25111</v>
      </c>
      <c r="N379" s="67" t="s">
        <v>479</v>
      </c>
    </row>
    <row r="380" spans="2:14" ht="32" x14ac:dyDescent="0.2">
      <c r="B380" s="142" t="s">
        <v>110</v>
      </c>
      <c r="C380" s="19" t="s">
        <v>40</v>
      </c>
      <c r="E380" s="34" t="s">
        <v>0</v>
      </c>
      <c r="G380" s="62" t="s">
        <v>41</v>
      </c>
      <c r="H380" s="61">
        <v>18023</v>
      </c>
      <c r="J380" s="74" t="s">
        <v>0</v>
      </c>
      <c r="L380" s="271" t="s">
        <v>41</v>
      </c>
      <c r="M380" s="74">
        <v>25111</v>
      </c>
      <c r="N380" s="67" t="s">
        <v>479</v>
      </c>
    </row>
    <row r="381" spans="2:14" ht="17" x14ac:dyDescent="0.2">
      <c r="B381" s="144" t="s">
        <v>99</v>
      </c>
      <c r="C381" s="19" t="s">
        <v>40</v>
      </c>
      <c r="E381" s="34" t="s">
        <v>0</v>
      </c>
      <c r="G381" s="62" t="s">
        <v>41</v>
      </c>
      <c r="H381" s="61">
        <v>18023</v>
      </c>
      <c r="J381" s="74" t="s">
        <v>0</v>
      </c>
      <c r="L381" s="271" t="s">
        <v>41</v>
      </c>
      <c r="M381" s="74">
        <v>25111</v>
      </c>
      <c r="N381" s="67" t="s">
        <v>479</v>
      </c>
    </row>
    <row r="382" spans="2:14" ht="17" x14ac:dyDescent="0.2">
      <c r="B382" s="143" t="s">
        <v>111</v>
      </c>
      <c r="C382" s="19" t="s">
        <v>40</v>
      </c>
      <c r="E382" s="34" t="s">
        <v>0</v>
      </c>
      <c r="G382" s="62" t="s">
        <v>41</v>
      </c>
      <c r="H382" s="61">
        <v>18023</v>
      </c>
      <c r="J382" s="74" t="s">
        <v>0</v>
      </c>
      <c r="L382" s="271" t="s">
        <v>41</v>
      </c>
      <c r="M382" s="74">
        <v>25111</v>
      </c>
      <c r="N382" s="67" t="s">
        <v>479</v>
      </c>
    </row>
    <row r="383" spans="2:14" x14ac:dyDescent="0.2">
      <c r="B383" s="140" t="s">
        <v>107</v>
      </c>
    </row>
    <row r="384" spans="2:14" ht="17" x14ac:dyDescent="0.2">
      <c r="B384" s="141" t="s">
        <v>87</v>
      </c>
      <c r="C384" s="19" t="s">
        <v>40</v>
      </c>
      <c r="E384" s="34" t="s">
        <v>0</v>
      </c>
      <c r="G384" s="62" t="s">
        <v>41</v>
      </c>
      <c r="H384" s="61">
        <v>18023</v>
      </c>
      <c r="J384" s="74" t="s">
        <v>0</v>
      </c>
      <c r="L384" s="271" t="s">
        <v>41</v>
      </c>
      <c r="M384" s="74">
        <v>25111</v>
      </c>
      <c r="N384" s="67" t="s">
        <v>479</v>
      </c>
    </row>
    <row r="385" spans="2:14" ht="32" x14ac:dyDescent="0.2">
      <c r="B385" s="142" t="s">
        <v>102</v>
      </c>
      <c r="C385" s="19" t="s">
        <v>40</v>
      </c>
      <c r="E385" s="34" t="s">
        <v>0</v>
      </c>
      <c r="G385" s="62" t="s">
        <v>41</v>
      </c>
      <c r="H385" s="61">
        <v>18023</v>
      </c>
      <c r="J385" s="74" t="s">
        <v>0</v>
      </c>
      <c r="L385" s="271" t="s">
        <v>41</v>
      </c>
      <c r="M385" s="74">
        <v>25111</v>
      </c>
      <c r="N385" s="67" t="s">
        <v>479</v>
      </c>
    </row>
    <row r="386" spans="2:14" ht="48" x14ac:dyDescent="0.2">
      <c r="B386" s="143" t="s">
        <v>113</v>
      </c>
      <c r="C386" s="19" t="s">
        <v>40</v>
      </c>
      <c r="E386" s="34" t="s">
        <v>0</v>
      </c>
      <c r="G386" s="62" t="s">
        <v>41</v>
      </c>
      <c r="H386" s="61">
        <v>18023</v>
      </c>
      <c r="J386" s="74" t="s">
        <v>0</v>
      </c>
      <c r="L386" s="271" t="s">
        <v>41</v>
      </c>
      <c r="M386" s="74">
        <v>25111</v>
      </c>
      <c r="N386" s="67" t="s">
        <v>479</v>
      </c>
    </row>
    <row r="387" spans="2:14" ht="17" x14ac:dyDescent="0.2">
      <c r="B387" s="144" t="s">
        <v>96</v>
      </c>
      <c r="C387" s="19" t="s">
        <v>40</v>
      </c>
      <c r="E387" s="34" t="s">
        <v>0</v>
      </c>
      <c r="G387" s="62" t="s">
        <v>41</v>
      </c>
      <c r="H387" s="61">
        <v>18023</v>
      </c>
      <c r="J387" s="74" t="s">
        <v>0</v>
      </c>
      <c r="L387" s="271" t="s">
        <v>41</v>
      </c>
      <c r="M387" s="74">
        <v>25111</v>
      </c>
      <c r="N387" s="67" t="s">
        <v>479</v>
      </c>
    </row>
    <row r="388" spans="2:14" ht="32" x14ac:dyDescent="0.2">
      <c r="B388" s="143" t="s">
        <v>97</v>
      </c>
      <c r="C388" s="19" t="s">
        <v>40</v>
      </c>
      <c r="E388" s="34" t="s">
        <v>0</v>
      </c>
      <c r="G388" s="62" t="s">
        <v>41</v>
      </c>
      <c r="H388" s="61">
        <v>18023</v>
      </c>
      <c r="J388" s="74" t="s">
        <v>0</v>
      </c>
      <c r="L388" s="271" t="s">
        <v>41</v>
      </c>
      <c r="M388" s="74">
        <v>25111</v>
      </c>
      <c r="N388" s="67" t="s">
        <v>479</v>
      </c>
    </row>
    <row r="389" spans="2:14" ht="32" x14ac:dyDescent="0.2">
      <c r="B389" s="142" t="s">
        <v>114</v>
      </c>
      <c r="C389" s="19" t="s">
        <v>40</v>
      </c>
      <c r="E389" s="34" t="s">
        <v>0</v>
      </c>
      <c r="G389" s="62" t="s">
        <v>41</v>
      </c>
      <c r="H389" s="61">
        <v>18023</v>
      </c>
      <c r="J389" s="74" t="s">
        <v>0</v>
      </c>
      <c r="L389" s="271" t="s">
        <v>41</v>
      </c>
      <c r="M389" s="74">
        <v>25111</v>
      </c>
      <c r="N389" s="67" t="s">
        <v>479</v>
      </c>
    </row>
    <row r="390" spans="2:14" ht="17" x14ac:dyDescent="0.2">
      <c r="B390" s="144" t="s">
        <v>99</v>
      </c>
      <c r="C390" s="19" t="s">
        <v>40</v>
      </c>
      <c r="E390" s="34" t="s">
        <v>0</v>
      </c>
      <c r="G390" s="62" t="s">
        <v>41</v>
      </c>
      <c r="H390" s="61">
        <v>18023</v>
      </c>
      <c r="J390" s="74" t="s">
        <v>0</v>
      </c>
      <c r="L390" s="271" t="s">
        <v>41</v>
      </c>
      <c r="M390" s="74">
        <v>25111</v>
      </c>
      <c r="N390" s="67" t="s">
        <v>479</v>
      </c>
    </row>
    <row r="391" spans="2:14" ht="17" x14ac:dyDescent="0.2">
      <c r="B391" s="143" t="s">
        <v>115</v>
      </c>
      <c r="C391" s="19" t="s">
        <v>40</v>
      </c>
      <c r="E391" s="34" t="s">
        <v>0</v>
      </c>
      <c r="G391" s="62" t="s">
        <v>41</v>
      </c>
      <c r="H391" s="61">
        <v>18023</v>
      </c>
      <c r="J391" s="74" t="s">
        <v>0</v>
      </c>
      <c r="L391" s="271" t="s">
        <v>41</v>
      </c>
      <c r="M391" s="74">
        <v>25111</v>
      </c>
      <c r="N391" s="67" t="s">
        <v>479</v>
      </c>
    </row>
    <row r="392" spans="2:14" ht="17" x14ac:dyDescent="0.2">
      <c r="B392" s="128" t="s">
        <v>121</v>
      </c>
      <c r="C392" s="19"/>
    </row>
    <row r="393" spans="2:14" ht="17" x14ac:dyDescent="0.2">
      <c r="B393" s="145" t="s">
        <v>122</v>
      </c>
      <c r="C393" s="19" t="s">
        <v>40</v>
      </c>
      <c r="E393" s="34" t="s">
        <v>0</v>
      </c>
      <c r="G393" s="62" t="s">
        <v>41</v>
      </c>
      <c r="H393" s="61">
        <v>18023</v>
      </c>
      <c r="J393" s="74" t="s">
        <v>0</v>
      </c>
      <c r="L393" s="271" t="s">
        <v>41</v>
      </c>
      <c r="M393" s="74">
        <v>25111</v>
      </c>
      <c r="N393" s="67" t="s">
        <v>479</v>
      </c>
    </row>
    <row r="394" spans="2:14" ht="17" x14ac:dyDescent="0.2">
      <c r="B394" s="139" t="s">
        <v>123</v>
      </c>
      <c r="C394" s="19" t="s">
        <v>40</v>
      </c>
      <c r="E394" s="34" t="s">
        <v>0</v>
      </c>
      <c r="G394" s="62" t="s">
        <v>41</v>
      </c>
      <c r="H394" s="61">
        <v>18023</v>
      </c>
      <c r="J394" s="74" t="s">
        <v>0</v>
      </c>
      <c r="L394" s="271" t="s">
        <v>41</v>
      </c>
      <c r="M394" s="74">
        <v>25111</v>
      </c>
      <c r="N394" s="67" t="s">
        <v>479</v>
      </c>
    </row>
    <row r="395" spans="2:14" ht="17" x14ac:dyDescent="0.2">
      <c r="B395" s="260" t="s">
        <v>545</v>
      </c>
      <c r="C395" s="19" t="s">
        <v>40</v>
      </c>
      <c r="E395" s="34" t="s">
        <v>0</v>
      </c>
      <c r="G395" s="62" t="s">
        <v>41</v>
      </c>
      <c r="H395" s="61">
        <v>18023</v>
      </c>
      <c r="J395" s="74" t="s">
        <v>0</v>
      </c>
      <c r="L395" s="271" t="s">
        <v>41</v>
      </c>
      <c r="M395" s="74">
        <v>25111</v>
      </c>
      <c r="N395" s="67" t="s">
        <v>479</v>
      </c>
    </row>
    <row r="396" spans="2:14" ht="17" x14ac:dyDescent="0.2">
      <c r="B396" s="249" t="s">
        <v>125</v>
      </c>
      <c r="C396" s="19" t="s">
        <v>40</v>
      </c>
      <c r="E396" s="34" t="s">
        <v>0</v>
      </c>
      <c r="G396" s="62" t="s">
        <v>41</v>
      </c>
      <c r="H396" s="61">
        <v>18023</v>
      </c>
      <c r="J396" s="74" t="s">
        <v>0</v>
      </c>
      <c r="L396" s="271" t="s">
        <v>41</v>
      </c>
      <c r="M396" s="74">
        <v>25111</v>
      </c>
      <c r="N396" s="67" t="s">
        <v>479</v>
      </c>
    </row>
    <row r="397" spans="2:14" ht="17" x14ac:dyDescent="0.2">
      <c r="B397" s="243" t="s">
        <v>126</v>
      </c>
      <c r="C397" s="19" t="s">
        <v>40</v>
      </c>
      <c r="E397" s="34" t="s">
        <v>0</v>
      </c>
      <c r="G397" s="62" t="s">
        <v>41</v>
      </c>
      <c r="H397" s="61">
        <v>18023</v>
      </c>
      <c r="J397" s="74" t="s">
        <v>0</v>
      </c>
      <c r="L397" s="271" t="s">
        <v>41</v>
      </c>
      <c r="M397" s="74">
        <v>25111</v>
      </c>
      <c r="N397" s="67" t="s">
        <v>479</v>
      </c>
    </row>
    <row r="398" spans="2:14" ht="17" x14ac:dyDescent="0.2">
      <c r="B398" s="244" t="s">
        <v>127</v>
      </c>
      <c r="C398" s="19" t="s">
        <v>40</v>
      </c>
      <c r="E398" s="34" t="s">
        <v>0</v>
      </c>
      <c r="G398" s="62" t="s">
        <v>41</v>
      </c>
      <c r="H398" s="61">
        <v>18023</v>
      </c>
      <c r="J398" s="74" t="s">
        <v>0</v>
      </c>
      <c r="L398" s="271" t="s">
        <v>41</v>
      </c>
      <c r="M398" s="74">
        <v>25111</v>
      </c>
      <c r="N398" s="67" t="s">
        <v>479</v>
      </c>
    </row>
    <row r="399" spans="2:14" ht="17" x14ac:dyDescent="0.2">
      <c r="B399" s="244" t="s">
        <v>128</v>
      </c>
      <c r="C399" s="19" t="s">
        <v>40</v>
      </c>
      <c r="E399" s="34" t="s">
        <v>0</v>
      </c>
      <c r="G399" s="62" t="s">
        <v>41</v>
      </c>
      <c r="H399" s="61">
        <v>18023</v>
      </c>
      <c r="J399" s="74" t="s">
        <v>0</v>
      </c>
      <c r="L399" s="271" t="s">
        <v>41</v>
      </c>
      <c r="M399" s="74">
        <v>25111</v>
      </c>
      <c r="N399" s="67" t="s">
        <v>479</v>
      </c>
    </row>
    <row r="400" spans="2:14" ht="17" x14ac:dyDescent="0.2">
      <c r="B400" s="245" t="s">
        <v>129</v>
      </c>
      <c r="C400" s="19" t="s">
        <v>40</v>
      </c>
      <c r="E400" s="34" t="s">
        <v>0</v>
      </c>
      <c r="G400" s="62" t="s">
        <v>41</v>
      </c>
      <c r="H400" s="61">
        <v>18023</v>
      </c>
      <c r="J400" s="74" t="s">
        <v>0</v>
      </c>
      <c r="L400" s="271" t="s">
        <v>41</v>
      </c>
      <c r="M400" s="74">
        <v>25111</v>
      </c>
      <c r="N400" s="67" t="s">
        <v>479</v>
      </c>
    </row>
    <row r="401" spans="2:14" ht="17" x14ac:dyDescent="0.2">
      <c r="B401" s="244" t="s">
        <v>130</v>
      </c>
      <c r="C401" s="19" t="s">
        <v>40</v>
      </c>
      <c r="E401" s="34" t="s">
        <v>0</v>
      </c>
      <c r="G401" s="62" t="s">
        <v>41</v>
      </c>
      <c r="H401" s="61">
        <v>18023</v>
      </c>
      <c r="J401" s="74" t="s">
        <v>0</v>
      </c>
      <c r="L401" s="271" t="s">
        <v>41</v>
      </c>
      <c r="M401" s="74">
        <v>25111</v>
      </c>
      <c r="N401" s="67" t="s">
        <v>479</v>
      </c>
    </row>
    <row r="402" spans="2:14" ht="17" x14ac:dyDescent="0.2">
      <c r="B402" s="247" t="s">
        <v>501</v>
      </c>
      <c r="C402" s="19" t="s">
        <v>40</v>
      </c>
      <c r="E402" s="34" t="s">
        <v>0</v>
      </c>
      <c r="G402" s="62" t="s">
        <v>41</v>
      </c>
      <c r="H402" s="61">
        <v>18023</v>
      </c>
      <c r="J402" s="74" t="s">
        <v>0</v>
      </c>
      <c r="L402" s="271" t="s">
        <v>41</v>
      </c>
      <c r="M402" s="74">
        <v>25111</v>
      </c>
      <c r="N402" s="67" t="s">
        <v>479</v>
      </c>
    </row>
    <row r="403" spans="2:14" ht="17" x14ac:dyDescent="0.2">
      <c r="B403" s="247" t="s">
        <v>132</v>
      </c>
      <c r="C403" s="19" t="s">
        <v>40</v>
      </c>
      <c r="E403" s="34" t="s">
        <v>0</v>
      </c>
      <c r="G403" s="62" t="s">
        <v>41</v>
      </c>
      <c r="H403" s="61">
        <v>18023</v>
      </c>
      <c r="J403" s="74" t="s">
        <v>0</v>
      </c>
      <c r="L403" s="271" t="s">
        <v>41</v>
      </c>
      <c r="M403" s="74">
        <v>25111</v>
      </c>
      <c r="N403" s="67" t="s">
        <v>479</v>
      </c>
    </row>
    <row r="404" spans="2:14" ht="17" x14ac:dyDescent="0.2">
      <c r="B404" s="247" t="s">
        <v>134</v>
      </c>
      <c r="C404" s="19" t="s">
        <v>40</v>
      </c>
      <c r="E404" s="34" t="s">
        <v>0</v>
      </c>
      <c r="G404" s="62" t="s">
        <v>41</v>
      </c>
      <c r="H404" s="61">
        <v>18023</v>
      </c>
      <c r="J404" s="74" t="s">
        <v>0</v>
      </c>
      <c r="L404" s="271" t="s">
        <v>41</v>
      </c>
      <c r="M404" s="74">
        <v>25111</v>
      </c>
      <c r="N404" s="67" t="s">
        <v>479</v>
      </c>
    </row>
    <row r="405" spans="2:14" ht="17" x14ac:dyDescent="0.2">
      <c r="B405" s="247" t="s">
        <v>136</v>
      </c>
      <c r="C405" s="19" t="s">
        <v>40</v>
      </c>
      <c r="E405" s="34" t="s">
        <v>0</v>
      </c>
      <c r="G405" s="62" t="s">
        <v>41</v>
      </c>
      <c r="H405" s="61">
        <v>18023</v>
      </c>
      <c r="J405" s="74" t="s">
        <v>0</v>
      </c>
      <c r="L405" s="271" t="s">
        <v>41</v>
      </c>
      <c r="M405" s="74">
        <v>25111</v>
      </c>
      <c r="N405" s="67" t="s">
        <v>479</v>
      </c>
    </row>
    <row r="406" spans="2:14" ht="23" x14ac:dyDescent="0.3">
      <c r="B406" s="148" t="s">
        <v>137</v>
      </c>
      <c r="C406" s="19"/>
    </row>
    <row r="407" spans="2:14" ht="23" x14ac:dyDescent="0.3">
      <c r="B407" s="148" t="s">
        <v>138</v>
      </c>
      <c r="C407" s="19"/>
    </row>
    <row r="408" spans="2:14" ht="17" x14ac:dyDescent="0.2">
      <c r="B408" s="168" t="s">
        <v>546</v>
      </c>
      <c r="C408" s="19" t="s">
        <v>40</v>
      </c>
      <c r="E408" s="34" t="s">
        <v>0</v>
      </c>
      <c r="G408" s="62" t="s">
        <v>41</v>
      </c>
      <c r="H408" s="61">
        <v>18023</v>
      </c>
      <c r="J408" s="74" t="s">
        <v>0</v>
      </c>
      <c r="L408" s="271" t="s">
        <v>41</v>
      </c>
      <c r="M408" s="74">
        <v>25111</v>
      </c>
      <c r="N408" s="67" t="s">
        <v>479</v>
      </c>
    </row>
    <row r="409" spans="2:14" ht="34" x14ac:dyDescent="0.2">
      <c r="B409" s="168" t="s">
        <v>538</v>
      </c>
      <c r="C409" s="19" t="s">
        <v>40</v>
      </c>
      <c r="E409" s="34" t="s">
        <v>0</v>
      </c>
      <c r="G409" s="62" t="s">
        <v>41</v>
      </c>
      <c r="H409" s="61">
        <v>18023</v>
      </c>
      <c r="J409" s="74" t="s">
        <v>0</v>
      </c>
      <c r="L409" s="271" t="s">
        <v>41</v>
      </c>
      <c r="M409" s="74">
        <v>25111</v>
      </c>
      <c r="N409" s="67" t="s">
        <v>479</v>
      </c>
    </row>
    <row r="410" spans="2:14" ht="17" x14ac:dyDescent="0.2">
      <c r="B410" s="168" t="s">
        <v>547</v>
      </c>
      <c r="C410" s="19" t="s">
        <v>40</v>
      </c>
      <c r="E410" s="34" t="s">
        <v>0</v>
      </c>
      <c r="G410" s="62" t="s">
        <v>41</v>
      </c>
      <c r="H410" s="61">
        <v>18023</v>
      </c>
      <c r="J410" s="74" t="s">
        <v>0</v>
      </c>
      <c r="L410" s="271" t="s">
        <v>41</v>
      </c>
      <c r="M410" s="74">
        <v>25111</v>
      </c>
      <c r="N410" s="67" t="s">
        <v>479</v>
      </c>
    </row>
    <row r="411" spans="2:14" ht="17" x14ac:dyDescent="0.2">
      <c r="B411" s="168" t="s">
        <v>539</v>
      </c>
      <c r="C411" s="19" t="s">
        <v>40</v>
      </c>
      <c r="E411" s="34" t="s">
        <v>0</v>
      </c>
      <c r="G411" s="62" t="s">
        <v>41</v>
      </c>
      <c r="H411" s="61">
        <v>18023</v>
      </c>
      <c r="J411" s="74" t="s">
        <v>0</v>
      </c>
      <c r="L411" s="271" t="s">
        <v>41</v>
      </c>
      <c r="M411" s="74">
        <v>25111</v>
      </c>
      <c r="N411" s="67" t="s">
        <v>479</v>
      </c>
    </row>
    <row r="412" spans="2:14" ht="17" x14ac:dyDescent="0.2">
      <c r="B412" s="147" t="s">
        <v>143</v>
      </c>
      <c r="C412" s="19" t="s">
        <v>40</v>
      </c>
      <c r="E412" s="34" t="s">
        <v>0</v>
      </c>
      <c r="G412" s="62" t="s">
        <v>41</v>
      </c>
      <c r="H412" s="61">
        <v>18023</v>
      </c>
      <c r="J412" s="74" t="s">
        <v>0</v>
      </c>
      <c r="L412" s="271" t="s">
        <v>41</v>
      </c>
      <c r="M412" s="74">
        <v>25111</v>
      </c>
      <c r="N412" s="67" t="s">
        <v>479</v>
      </c>
    </row>
    <row r="413" spans="2:14" ht="23" x14ac:dyDescent="0.3">
      <c r="B413" s="148" t="s">
        <v>144</v>
      </c>
      <c r="C413" s="19"/>
    </row>
    <row r="414" spans="2:14" ht="17" x14ac:dyDescent="0.2">
      <c r="B414" s="147" t="s">
        <v>145</v>
      </c>
      <c r="C414" s="19" t="s">
        <v>40</v>
      </c>
      <c r="E414" s="34" t="s">
        <v>0</v>
      </c>
      <c r="G414" s="62" t="s">
        <v>41</v>
      </c>
      <c r="H414" s="61">
        <v>18023</v>
      </c>
      <c r="J414" s="74" t="s">
        <v>0</v>
      </c>
      <c r="L414" s="271" t="s">
        <v>41</v>
      </c>
      <c r="M414" s="74">
        <v>25111</v>
      </c>
      <c r="N414" s="67" t="s">
        <v>479</v>
      </c>
    </row>
    <row r="415" spans="2:14" ht="17" x14ac:dyDescent="0.2">
      <c r="B415" s="147" t="s">
        <v>146</v>
      </c>
      <c r="C415" s="19" t="s">
        <v>40</v>
      </c>
      <c r="E415" s="34" t="s">
        <v>0</v>
      </c>
      <c r="G415" s="62" t="s">
        <v>41</v>
      </c>
      <c r="H415" s="61">
        <v>18023</v>
      </c>
      <c r="J415" s="74" t="s">
        <v>0</v>
      </c>
      <c r="L415" s="271" t="s">
        <v>41</v>
      </c>
      <c r="M415" s="74">
        <v>25111</v>
      </c>
      <c r="N415" s="67" t="s">
        <v>479</v>
      </c>
    </row>
    <row r="416" spans="2:14" ht="17" x14ac:dyDescent="0.2">
      <c r="B416" s="147" t="s">
        <v>147</v>
      </c>
      <c r="C416" s="19" t="s">
        <v>40</v>
      </c>
      <c r="E416" s="34" t="s">
        <v>0</v>
      </c>
      <c r="G416" s="62" t="s">
        <v>41</v>
      </c>
      <c r="H416" s="61">
        <v>18023</v>
      </c>
      <c r="J416" s="74" t="s">
        <v>0</v>
      </c>
      <c r="L416" s="271" t="s">
        <v>41</v>
      </c>
      <c r="M416" s="74">
        <v>25111</v>
      </c>
      <c r="N416" s="67" t="s">
        <v>479</v>
      </c>
    </row>
    <row r="417" spans="2:14" ht="17" x14ac:dyDescent="0.2">
      <c r="B417" s="147" t="s">
        <v>148</v>
      </c>
      <c r="C417" s="19" t="s">
        <v>40</v>
      </c>
      <c r="E417" s="34" t="s">
        <v>0</v>
      </c>
      <c r="G417" s="62" t="s">
        <v>41</v>
      </c>
      <c r="H417" s="61">
        <v>18023</v>
      </c>
      <c r="J417" s="74" t="s">
        <v>0</v>
      </c>
      <c r="L417" s="271" t="s">
        <v>41</v>
      </c>
      <c r="M417" s="74">
        <v>25111</v>
      </c>
      <c r="N417" s="67" t="s">
        <v>479</v>
      </c>
    </row>
    <row r="418" spans="2:14" ht="17" x14ac:dyDescent="0.2">
      <c r="B418" s="147" t="s">
        <v>149</v>
      </c>
      <c r="C418" s="19" t="s">
        <v>40</v>
      </c>
      <c r="E418" s="34" t="s">
        <v>0</v>
      </c>
      <c r="G418" s="62" t="s">
        <v>41</v>
      </c>
      <c r="H418" s="61">
        <v>18023</v>
      </c>
      <c r="J418" s="74" t="s">
        <v>0</v>
      </c>
      <c r="L418" s="271" t="s">
        <v>41</v>
      </c>
      <c r="M418" s="74">
        <v>25111</v>
      </c>
      <c r="N418" s="67" t="s">
        <v>479</v>
      </c>
    </row>
    <row r="419" spans="2:14" ht="20" x14ac:dyDescent="0.2">
      <c r="B419" s="177" t="s">
        <v>51</v>
      </c>
      <c r="C419" s="19"/>
    </row>
    <row r="420" spans="2:14" ht="17" x14ac:dyDescent="0.2">
      <c r="B420" s="128" t="s">
        <v>342</v>
      </c>
    </row>
    <row r="421" spans="2:14" x14ac:dyDescent="0.2">
      <c r="B421" s="231" t="s">
        <v>229</v>
      </c>
      <c r="C421" s="232"/>
    </row>
    <row r="422" spans="2:14" ht="17" x14ac:dyDescent="0.2">
      <c r="B422" s="233" t="s">
        <v>230</v>
      </c>
      <c r="C422" s="232" t="s">
        <v>40</v>
      </c>
      <c r="E422" s="34" t="s">
        <v>0</v>
      </c>
      <c r="G422" s="62" t="s">
        <v>41</v>
      </c>
      <c r="H422" s="61">
        <v>18023</v>
      </c>
      <c r="J422" s="74" t="s">
        <v>0</v>
      </c>
      <c r="L422" s="271" t="s">
        <v>41</v>
      </c>
      <c r="M422" s="74">
        <v>25111</v>
      </c>
      <c r="N422" s="67" t="s">
        <v>479</v>
      </c>
    </row>
    <row r="423" spans="2:14" ht="17" x14ac:dyDescent="0.2">
      <c r="B423" s="233" t="s">
        <v>231</v>
      </c>
      <c r="C423" s="232" t="s">
        <v>40</v>
      </c>
      <c r="E423" s="34" t="s">
        <v>0</v>
      </c>
      <c r="G423" s="62" t="s">
        <v>41</v>
      </c>
      <c r="H423" s="61">
        <v>18023</v>
      </c>
      <c r="J423" s="74" t="s">
        <v>0</v>
      </c>
      <c r="L423" s="271" t="s">
        <v>41</v>
      </c>
      <c r="M423" s="74">
        <v>25111</v>
      </c>
      <c r="N423" s="67" t="s">
        <v>479</v>
      </c>
    </row>
    <row r="424" spans="2:14" ht="17" x14ac:dyDescent="0.2">
      <c r="B424" s="233" t="s">
        <v>232</v>
      </c>
      <c r="C424" s="232" t="s">
        <v>40</v>
      </c>
      <c r="E424" s="34" t="s">
        <v>0</v>
      </c>
      <c r="G424" s="62" t="s">
        <v>41</v>
      </c>
      <c r="H424" s="61">
        <v>18023</v>
      </c>
      <c r="J424" s="74" t="s">
        <v>0</v>
      </c>
      <c r="L424" s="271" t="s">
        <v>41</v>
      </c>
      <c r="M424" s="74">
        <v>25111</v>
      </c>
      <c r="N424" s="67" t="s">
        <v>479</v>
      </c>
    </row>
    <row r="425" spans="2:14" ht="17" x14ac:dyDescent="0.2">
      <c r="B425" s="233" t="s">
        <v>233</v>
      </c>
      <c r="C425" s="232" t="s">
        <v>40</v>
      </c>
      <c r="E425" s="34" t="s">
        <v>0</v>
      </c>
      <c r="G425" s="62" t="s">
        <v>41</v>
      </c>
      <c r="H425" s="61">
        <v>18023</v>
      </c>
      <c r="J425" s="74" t="s">
        <v>0</v>
      </c>
      <c r="L425" s="271" t="s">
        <v>41</v>
      </c>
      <c r="M425" s="74">
        <v>25111</v>
      </c>
      <c r="N425" s="67" t="s">
        <v>479</v>
      </c>
    </row>
    <row r="426" spans="2:14" ht="17" x14ac:dyDescent="0.2">
      <c r="B426" s="233" t="s">
        <v>236</v>
      </c>
      <c r="C426" s="232" t="s">
        <v>40</v>
      </c>
      <c r="E426" s="34" t="s">
        <v>0</v>
      </c>
      <c r="G426" s="62" t="s">
        <v>41</v>
      </c>
      <c r="H426" s="61">
        <v>18023</v>
      </c>
      <c r="J426" s="74" t="s">
        <v>0</v>
      </c>
      <c r="L426" s="271" t="s">
        <v>41</v>
      </c>
      <c r="M426" s="74">
        <v>25111</v>
      </c>
    </row>
    <row r="427" spans="2:14" x14ac:dyDescent="0.2">
      <c r="B427" s="150" t="s">
        <v>151</v>
      </c>
      <c r="C427" s="19"/>
    </row>
    <row r="428" spans="2:14" ht="17" x14ac:dyDescent="0.2">
      <c r="B428" s="151" t="s">
        <v>152</v>
      </c>
      <c r="C428" s="19" t="s">
        <v>40</v>
      </c>
      <c r="E428" s="34" t="s">
        <v>0</v>
      </c>
      <c r="G428" s="62" t="s">
        <v>41</v>
      </c>
      <c r="H428" s="61">
        <v>18023</v>
      </c>
      <c r="J428" s="74" t="s">
        <v>0</v>
      </c>
      <c r="L428" s="271" t="s">
        <v>41</v>
      </c>
      <c r="M428" s="74">
        <v>25111</v>
      </c>
      <c r="N428" s="67" t="s">
        <v>479</v>
      </c>
    </row>
    <row r="429" spans="2:14" ht="17" x14ac:dyDescent="0.2">
      <c r="B429" s="151" t="s">
        <v>153</v>
      </c>
      <c r="C429" s="19" t="s">
        <v>40</v>
      </c>
      <c r="E429" s="34" t="s">
        <v>0</v>
      </c>
      <c r="G429" s="62" t="s">
        <v>41</v>
      </c>
      <c r="H429" s="61">
        <v>18023</v>
      </c>
      <c r="J429" s="74" t="s">
        <v>0</v>
      </c>
      <c r="L429" s="271" t="s">
        <v>41</v>
      </c>
      <c r="M429" s="74">
        <v>25111</v>
      </c>
      <c r="N429" s="67" t="s">
        <v>479</v>
      </c>
    </row>
    <row r="430" spans="2:14" ht="17" x14ac:dyDescent="0.2">
      <c r="B430" s="152" t="s">
        <v>154</v>
      </c>
      <c r="C430" s="19" t="s">
        <v>40</v>
      </c>
      <c r="E430" s="34" t="s">
        <v>0</v>
      </c>
      <c r="G430" s="62" t="s">
        <v>41</v>
      </c>
      <c r="H430" s="61">
        <v>18023</v>
      </c>
      <c r="J430" s="74" t="s">
        <v>0</v>
      </c>
      <c r="L430" s="271" t="s">
        <v>41</v>
      </c>
      <c r="M430" s="74">
        <v>25111</v>
      </c>
      <c r="N430" s="67" t="s">
        <v>479</v>
      </c>
    </row>
    <row r="431" spans="2:14" ht="17" x14ac:dyDescent="0.2">
      <c r="B431" s="143" t="s">
        <v>155</v>
      </c>
      <c r="C431" s="19" t="s">
        <v>40</v>
      </c>
      <c r="E431" s="34" t="s">
        <v>0</v>
      </c>
      <c r="G431" s="62" t="s">
        <v>41</v>
      </c>
      <c r="H431" s="61">
        <v>18023</v>
      </c>
      <c r="J431" s="74" t="s">
        <v>0</v>
      </c>
      <c r="L431" s="271" t="s">
        <v>41</v>
      </c>
      <c r="M431" s="74">
        <v>25111</v>
      </c>
      <c r="N431" s="67" t="s">
        <v>479</v>
      </c>
    </row>
    <row r="432" spans="2:14" x14ac:dyDescent="0.2">
      <c r="B432" s="153" t="s">
        <v>156</v>
      </c>
    </row>
    <row r="433" spans="2:14" x14ac:dyDescent="0.2">
      <c r="B433" s="153" t="s">
        <v>157</v>
      </c>
      <c r="C433" s="19"/>
    </row>
    <row r="434" spans="2:14" ht="17" x14ac:dyDescent="0.2">
      <c r="B434" s="154" t="s">
        <v>158</v>
      </c>
      <c r="C434" s="19" t="s">
        <v>40</v>
      </c>
      <c r="E434" s="34" t="s">
        <v>0</v>
      </c>
      <c r="G434" s="62" t="s">
        <v>41</v>
      </c>
      <c r="H434" s="61">
        <v>18023</v>
      </c>
      <c r="J434" s="74" t="s">
        <v>0</v>
      </c>
      <c r="L434" s="271" t="s">
        <v>41</v>
      </c>
      <c r="M434" s="74">
        <v>25111</v>
      </c>
      <c r="N434" s="67" t="s">
        <v>479</v>
      </c>
    </row>
    <row r="435" spans="2:14" ht="17" x14ac:dyDescent="0.2">
      <c r="B435" s="155" t="s">
        <v>159</v>
      </c>
      <c r="C435" s="19" t="s">
        <v>40</v>
      </c>
      <c r="E435" s="34" t="s">
        <v>0</v>
      </c>
      <c r="G435" s="62" t="s">
        <v>41</v>
      </c>
      <c r="H435" s="61">
        <v>18023</v>
      </c>
      <c r="J435" s="74" t="s">
        <v>0</v>
      </c>
      <c r="L435" s="271" t="s">
        <v>41</v>
      </c>
      <c r="M435" s="74">
        <v>25111</v>
      </c>
      <c r="N435" s="67" t="s">
        <v>479</v>
      </c>
    </row>
    <row r="436" spans="2:14" ht="17" x14ac:dyDescent="0.2">
      <c r="B436" s="151" t="s">
        <v>160</v>
      </c>
      <c r="C436" s="19" t="s">
        <v>40</v>
      </c>
      <c r="E436" s="34" t="s">
        <v>0</v>
      </c>
      <c r="G436" s="62" t="s">
        <v>41</v>
      </c>
      <c r="H436" s="61">
        <v>18023</v>
      </c>
      <c r="J436" s="74" t="s">
        <v>0</v>
      </c>
      <c r="L436" s="271" t="s">
        <v>41</v>
      </c>
      <c r="M436" s="74">
        <v>25111</v>
      </c>
      <c r="N436" s="67" t="s">
        <v>479</v>
      </c>
    </row>
    <row r="437" spans="2:14" x14ac:dyDescent="0.2">
      <c r="B437" s="153" t="s">
        <v>161</v>
      </c>
      <c r="C437" s="19"/>
    </row>
    <row r="438" spans="2:14" x14ac:dyDescent="0.2">
      <c r="B438" s="156" t="s">
        <v>162</v>
      </c>
      <c r="C438" s="19"/>
    </row>
    <row r="439" spans="2:14" ht="48" x14ac:dyDescent="0.2">
      <c r="B439" s="151" t="s">
        <v>163</v>
      </c>
      <c r="C439" s="19" t="s">
        <v>40</v>
      </c>
      <c r="E439" s="34" t="s">
        <v>0</v>
      </c>
      <c r="G439" s="62" t="s">
        <v>41</v>
      </c>
      <c r="H439" s="61">
        <v>18023</v>
      </c>
      <c r="J439" s="74" t="s">
        <v>0</v>
      </c>
      <c r="L439" s="271" t="s">
        <v>41</v>
      </c>
      <c r="M439" s="74">
        <v>25111</v>
      </c>
      <c r="N439" s="67" t="s">
        <v>479</v>
      </c>
    </row>
    <row r="440" spans="2:14" ht="17" x14ac:dyDescent="0.2">
      <c r="B440" s="138" t="s">
        <v>164</v>
      </c>
      <c r="C440" s="19" t="s">
        <v>40</v>
      </c>
      <c r="E440" s="34" t="s">
        <v>0</v>
      </c>
      <c r="G440" s="62" t="s">
        <v>41</v>
      </c>
      <c r="H440" s="61">
        <v>18023</v>
      </c>
      <c r="J440" s="74" t="s">
        <v>0</v>
      </c>
      <c r="L440" s="271" t="s">
        <v>41</v>
      </c>
      <c r="M440" s="74">
        <v>25111</v>
      </c>
      <c r="N440" s="67" t="s">
        <v>479</v>
      </c>
    </row>
    <row r="441" spans="2:14" x14ac:dyDescent="0.2">
      <c r="B441" s="156" t="s">
        <v>165</v>
      </c>
      <c r="C441" s="19"/>
    </row>
    <row r="442" spans="2:14" ht="48" x14ac:dyDescent="0.2">
      <c r="B442" s="151" t="s">
        <v>166</v>
      </c>
      <c r="C442" s="19" t="s">
        <v>40</v>
      </c>
      <c r="E442" s="34" t="s">
        <v>0</v>
      </c>
      <c r="G442" s="62" t="s">
        <v>41</v>
      </c>
      <c r="H442" s="61">
        <v>18023</v>
      </c>
      <c r="J442" s="74" t="s">
        <v>0</v>
      </c>
      <c r="L442" s="271" t="s">
        <v>41</v>
      </c>
      <c r="M442" s="74">
        <v>25111</v>
      </c>
      <c r="N442" s="67" t="s">
        <v>479</v>
      </c>
    </row>
    <row r="443" spans="2:14" ht="17" x14ac:dyDescent="0.2">
      <c r="B443" s="138" t="s">
        <v>167</v>
      </c>
      <c r="C443" s="19" t="s">
        <v>40</v>
      </c>
      <c r="E443" s="34" t="s">
        <v>0</v>
      </c>
      <c r="G443" s="62" t="s">
        <v>41</v>
      </c>
      <c r="H443" s="61">
        <v>18023</v>
      </c>
      <c r="J443" s="74" t="s">
        <v>0</v>
      </c>
      <c r="L443" s="271" t="s">
        <v>41</v>
      </c>
      <c r="M443" s="74">
        <v>25111</v>
      </c>
      <c r="N443" s="67" t="s">
        <v>479</v>
      </c>
    </row>
    <row r="444" spans="2:14" ht="17" x14ac:dyDescent="0.2">
      <c r="B444" s="157" t="s">
        <v>168</v>
      </c>
      <c r="L444" s="271" t="s">
        <v>41</v>
      </c>
      <c r="M444" s="74">
        <v>25111</v>
      </c>
    </row>
    <row r="445" spans="2:14" ht="51" x14ac:dyDescent="0.2">
      <c r="B445" s="158" t="s">
        <v>169</v>
      </c>
      <c r="C445" s="19" t="s">
        <v>40</v>
      </c>
      <c r="E445" s="34" t="s">
        <v>0</v>
      </c>
      <c r="G445" s="62" t="s">
        <v>41</v>
      </c>
      <c r="H445" s="61">
        <v>18023</v>
      </c>
      <c r="J445" s="74" t="s">
        <v>0</v>
      </c>
      <c r="L445" s="271" t="s">
        <v>41</v>
      </c>
      <c r="M445" s="74">
        <v>25111</v>
      </c>
      <c r="N445" s="67" t="s">
        <v>479</v>
      </c>
    </row>
    <row r="446" spans="2:14" ht="17" x14ac:dyDescent="0.2">
      <c r="B446" s="159" t="s">
        <v>170</v>
      </c>
      <c r="C446" s="19" t="s">
        <v>40</v>
      </c>
      <c r="E446" s="34" t="s">
        <v>0</v>
      </c>
      <c r="G446" s="62" t="s">
        <v>41</v>
      </c>
      <c r="H446" s="61">
        <v>18023</v>
      </c>
      <c r="J446" s="74" t="s">
        <v>0</v>
      </c>
      <c r="L446" s="271" t="s">
        <v>41</v>
      </c>
      <c r="M446" s="74">
        <v>25111</v>
      </c>
      <c r="N446" s="67" t="s">
        <v>479</v>
      </c>
    </row>
    <row r="447" spans="2:14" x14ac:dyDescent="0.2">
      <c r="B447" s="157" t="s">
        <v>171</v>
      </c>
      <c r="C447" s="19"/>
      <c r="L447" s="271"/>
    </row>
    <row r="448" spans="2:14" ht="48" x14ac:dyDescent="0.2">
      <c r="B448" s="144" t="s">
        <v>172</v>
      </c>
      <c r="C448" s="19" t="s">
        <v>40</v>
      </c>
      <c r="E448" s="34" t="s">
        <v>0</v>
      </c>
      <c r="G448" s="62" t="s">
        <v>41</v>
      </c>
      <c r="H448" s="61">
        <v>18023</v>
      </c>
      <c r="J448" s="74" t="s">
        <v>0</v>
      </c>
      <c r="L448" s="271" t="s">
        <v>41</v>
      </c>
      <c r="M448" s="74">
        <v>25111</v>
      </c>
      <c r="N448" s="67" t="s">
        <v>479</v>
      </c>
    </row>
    <row r="449" spans="2:14" ht="17" x14ac:dyDescent="0.2">
      <c r="B449" s="160" t="s">
        <v>173</v>
      </c>
      <c r="C449" s="19" t="s">
        <v>40</v>
      </c>
      <c r="E449" s="34" t="s">
        <v>0</v>
      </c>
      <c r="G449" s="62" t="s">
        <v>41</v>
      </c>
      <c r="H449" s="61">
        <v>18023</v>
      </c>
      <c r="J449" s="74" t="s">
        <v>0</v>
      </c>
      <c r="L449" s="271" t="s">
        <v>41</v>
      </c>
      <c r="M449" s="74">
        <v>25111</v>
      </c>
      <c r="N449" s="67" t="s">
        <v>479</v>
      </c>
    </row>
    <row r="450" spans="2:14" ht="17" x14ac:dyDescent="0.2">
      <c r="B450" s="161" t="s">
        <v>174</v>
      </c>
    </row>
    <row r="451" spans="2:14" ht="51" x14ac:dyDescent="0.2">
      <c r="B451" s="161" t="s">
        <v>175</v>
      </c>
      <c r="C451" s="19"/>
    </row>
    <row r="452" spans="2:14" ht="17" x14ac:dyDescent="0.2">
      <c r="B452" s="131" t="s">
        <v>176</v>
      </c>
      <c r="C452" s="19" t="s">
        <v>40</v>
      </c>
      <c r="E452" s="34" t="s">
        <v>0</v>
      </c>
      <c r="G452" s="62" t="s">
        <v>41</v>
      </c>
      <c r="H452" s="61">
        <v>18023</v>
      </c>
      <c r="J452" s="74" t="s">
        <v>0</v>
      </c>
      <c r="L452" s="271" t="s">
        <v>41</v>
      </c>
      <c r="M452" s="74">
        <v>25111</v>
      </c>
      <c r="N452" s="67" t="s">
        <v>479</v>
      </c>
    </row>
    <row r="453" spans="2:14" ht="17" x14ac:dyDescent="0.2">
      <c r="B453" s="160" t="s">
        <v>177</v>
      </c>
      <c r="C453" s="19" t="s">
        <v>40</v>
      </c>
      <c r="E453" s="34" t="s">
        <v>0</v>
      </c>
      <c r="G453" s="62" t="s">
        <v>41</v>
      </c>
      <c r="H453" s="61">
        <v>18023</v>
      </c>
      <c r="J453" s="74" t="s">
        <v>0</v>
      </c>
      <c r="L453" s="271" t="s">
        <v>41</v>
      </c>
      <c r="M453" s="74">
        <v>25111</v>
      </c>
      <c r="N453" s="67" t="s">
        <v>479</v>
      </c>
    </row>
    <row r="454" spans="2:14" ht="17" x14ac:dyDescent="0.2">
      <c r="B454" s="131" t="s">
        <v>178</v>
      </c>
      <c r="C454" s="19" t="s">
        <v>40</v>
      </c>
      <c r="E454" s="34" t="s">
        <v>0</v>
      </c>
      <c r="G454" s="62" t="s">
        <v>41</v>
      </c>
      <c r="H454" s="61">
        <v>18023</v>
      </c>
      <c r="J454" s="74" t="s">
        <v>0</v>
      </c>
      <c r="L454" s="271" t="s">
        <v>41</v>
      </c>
      <c r="M454" s="74">
        <v>25111</v>
      </c>
      <c r="N454" s="67" t="s">
        <v>479</v>
      </c>
    </row>
    <row r="455" spans="2:14" ht="68" x14ac:dyDescent="0.2">
      <c r="B455" s="131" t="s">
        <v>289</v>
      </c>
      <c r="C455" s="19" t="s">
        <v>40</v>
      </c>
      <c r="E455" s="34" t="s">
        <v>0</v>
      </c>
      <c r="G455" s="62" t="s">
        <v>41</v>
      </c>
      <c r="H455" s="61">
        <v>18023</v>
      </c>
      <c r="J455" s="74" t="s">
        <v>0</v>
      </c>
      <c r="L455" s="271" t="s">
        <v>41</v>
      </c>
      <c r="M455" s="74">
        <v>25111</v>
      </c>
      <c r="N455" s="67" t="s">
        <v>479</v>
      </c>
    </row>
    <row r="456" spans="2:14" ht="17" x14ac:dyDescent="0.2">
      <c r="B456" s="131" t="s">
        <v>180</v>
      </c>
      <c r="C456" s="19" t="s">
        <v>40</v>
      </c>
      <c r="E456" s="34" t="s">
        <v>0</v>
      </c>
      <c r="G456" s="62" t="s">
        <v>41</v>
      </c>
      <c r="H456" s="61">
        <v>18023</v>
      </c>
      <c r="J456" s="74" t="s">
        <v>0</v>
      </c>
      <c r="L456" s="271" t="s">
        <v>41</v>
      </c>
      <c r="M456" s="74">
        <v>25111</v>
      </c>
      <c r="N456" s="67" t="s">
        <v>479</v>
      </c>
    </row>
    <row r="457" spans="2:14" ht="68" x14ac:dyDescent="0.2">
      <c r="B457" s="131" t="s">
        <v>503</v>
      </c>
      <c r="C457" s="19" t="s">
        <v>40</v>
      </c>
      <c r="E457" s="34" t="s">
        <v>0</v>
      </c>
      <c r="G457" s="62" t="s">
        <v>41</v>
      </c>
      <c r="H457" s="61">
        <v>18023</v>
      </c>
      <c r="J457" s="74" t="s">
        <v>0</v>
      </c>
      <c r="L457" s="271" t="s">
        <v>41</v>
      </c>
      <c r="M457" s="74">
        <v>25111</v>
      </c>
      <c r="N457" s="67" t="s">
        <v>479</v>
      </c>
    </row>
    <row r="458" spans="2:14" ht="17" x14ac:dyDescent="0.2">
      <c r="B458" s="160" t="s">
        <v>182</v>
      </c>
      <c r="C458" s="19" t="s">
        <v>40</v>
      </c>
      <c r="E458" s="34" t="s">
        <v>0</v>
      </c>
      <c r="G458" s="62" t="s">
        <v>41</v>
      </c>
      <c r="H458" s="61">
        <v>18023</v>
      </c>
      <c r="J458" s="74" t="s">
        <v>0</v>
      </c>
      <c r="L458" s="271" t="s">
        <v>41</v>
      </c>
      <c r="M458" s="74">
        <v>25111</v>
      </c>
      <c r="N458" s="67" t="s">
        <v>479</v>
      </c>
    </row>
    <row r="459" spans="2:14" ht="68" x14ac:dyDescent="0.2">
      <c r="B459" s="160" t="s">
        <v>504</v>
      </c>
      <c r="C459" s="19" t="s">
        <v>40</v>
      </c>
      <c r="E459" s="34" t="s">
        <v>0</v>
      </c>
      <c r="G459" s="62" t="s">
        <v>41</v>
      </c>
      <c r="H459" s="61">
        <v>18023</v>
      </c>
      <c r="J459" s="74" t="s">
        <v>0</v>
      </c>
      <c r="L459" s="271" t="s">
        <v>41</v>
      </c>
      <c r="M459" s="74">
        <v>25111</v>
      </c>
      <c r="N459" s="67" t="s">
        <v>479</v>
      </c>
    </row>
    <row r="460" spans="2:14" ht="17" x14ac:dyDescent="0.2">
      <c r="B460" s="162" t="s">
        <v>184</v>
      </c>
      <c r="C460" s="19" t="s">
        <v>40</v>
      </c>
      <c r="E460" s="34" t="s">
        <v>0</v>
      </c>
      <c r="G460" s="62" t="s">
        <v>41</v>
      </c>
      <c r="H460" s="61">
        <v>18023</v>
      </c>
      <c r="J460" s="74" t="s">
        <v>0</v>
      </c>
      <c r="L460" s="271" t="s">
        <v>41</v>
      </c>
      <c r="M460" s="74">
        <v>25111</v>
      </c>
      <c r="N460" s="67" t="s">
        <v>479</v>
      </c>
    </row>
    <row r="461" spans="2:14" ht="17" x14ac:dyDescent="0.2">
      <c r="B461" s="162" t="s">
        <v>185</v>
      </c>
      <c r="C461" s="19" t="s">
        <v>40</v>
      </c>
      <c r="E461" s="34" t="s">
        <v>0</v>
      </c>
      <c r="G461" s="62" t="s">
        <v>41</v>
      </c>
      <c r="H461" s="61">
        <v>18023</v>
      </c>
      <c r="J461" s="74" t="s">
        <v>0</v>
      </c>
      <c r="L461" s="271" t="s">
        <v>41</v>
      </c>
      <c r="M461" s="74">
        <v>25111</v>
      </c>
      <c r="N461" s="67" t="s">
        <v>479</v>
      </c>
    </row>
    <row r="464" spans="2:14" ht="46" x14ac:dyDescent="0.2">
      <c r="B464" s="126" t="s">
        <v>548</v>
      </c>
      <c r="C464" s="19"/>
    </row>
    <row r="465" spans="2:14" ht="17" x14ac:dyDescent="0.2">
      <c r="B465" s="127" t="s">
        <v>31</v>
      </c>
      <c r="C465" s="19"/>
    </row>
    <row r="466" spans="2:14" ht="17" x14ac:dyDescent="0.2">
      <c r="B466" s="127" t="s">
        <v>328</v>
      </c>
    </row>
    <row r="467" spans="2:14" ht="17" x14ac:dyDescent="0.2">
      <c r="B467" s="128" t="s">
        <v>33</v>
      </c>
    </row>
    <row r="468" spans="2:14" ht="17" x14ac:dyDescent="0.2">
      <c r="B468" s="127" t="s">
        <v>34</v>
      </c>
      <c r="C468" s="19"/>
    </row>
    <row r="469" spans="2:14" ht="20" x14ac:dyDescent="0.2">
      <c r="B469" s="254" t="s">
        <v>549</v>
      </c>
      <c r="C469" s="302"/>
      <c r="D469" s="61"/>
    </row>
    <row r="470" spans="2:14" ht="34" x14ac:dyDescent="0.2">
      <c r="B470" s="127" t="s">
        <v>476</v>
      </c>
      <c r="C470" s="19"/>
    </row>
    <row r="471" spans="2:14" ht="17" x14ac:dyDescent="0.2">
      <c r="B471" s="129" t="s">
        <v>36</v>
      </c>
      <c r="C471" s="19"/>
    </row>
    <row r="472" spans="2:14" ht="17" x14ac:dyDescent="0.2">
      <c r="B472" s="129" t="s">
        <v>37</v>
      </c>
      <c r="C472" s="19"/>
    </row>
    <row r="473" spans="2:14" ht="17" x14ac:dyDescent="0.2">
      <c r="B473" s="128" t="s">
        <v>38</v>
      </c>
      <c r="C473" s="19"/>
    </row>
    <row r="474" spans="2:14" ht="49" x14ac:dyDescent="0.2">
      <c r="B474" s="130" t="s">
        <v>515</v>
      </c>
      <c r="C474" s="19" t="s">
        <v>40</v>
      </c>
      <c r="E474" s="34" t="s">
        <v>0</v>
      </c>
      <c r="G474" s="62" t="s">
        <v>41</v>
      </c>
      <c r="H474" s="61">
        <v>18023</v>
      </c>
      <c r="J474" s="74" t="s">
        <v>0</v>
      </c>
      <c r="L474" s="271" t="s">
        <v>41</v>
      </c>
      <c r="M474" s="74">
        <v>25132</v>
      </c>
      <c r="N474" s="67" t="s">
        <v>479</v>
      </c>
    </row>
    <row r="475" spans="2:14" ht="48" x14ac:dyDescent="0.2">
      <c r="B475" s="130" t="s">
        <v>516</v>
      </c>
      <c r="C475" s="19" t="s">
        <v>40</v>
      </c>
      <c r="E475" s="34" t="s">
        <v>0</v>
      </c>
      <c r="G475" s="62" t="s">
        <v>41</v>
      </c>
      <c r="H475" s="61">
        <v>18023</v>
      </c>
      <c r="J475" s="74" t="s">
        <v>0</v>
      </c>
      <c r="L475" s="271" t="s">
        <v>41</v>
      </c>
      <c r="M475" s="74">
        <v>25132</v>
      </c>
      <c r="N475" s="67" t="s">
        <v>479</v>
      </c>
    </row>
    <row r="476" spans="2:14" ht="17" x14ac:dyDescent="0.2">
      <c r="B476" s="128" t="s">
        <v>44</v>
      </c>
      <c r="C476" s="19"/>
    </row>
    <row r="477" spans="2:14" ht="17" x14ac:dyDescent="0.2">
      <c r="B477" s="130" t="s">
        <v>517</v>
      </c>
      <c r="C477" s="19" t="s">
        <v>40</v>
      </c>
      <c r="E477" s="34" t="s">
        <v>0</v>
      </c>
      <c r="G477" s="62" t="s">
        <v>41</v>
      </c>
      <c r="H477" s="61">
        <v>18023</v>
      </c>
      <c r="J477" s="74" t="s">
        <v>0</v>
      </c>
      <c r="L477" s="271" t="s">
        <v>41</v>
      </c>
      <c r="M477" s="74">
        <v>25132</v>
      </c>
      <c r="N477" s="67" t="s">
        <v>479</v>
      </c>
    </row>
    <row r="478" spans="2:14" ht="17" x14ac:dyDescent="0.2">
      <c r="B478" s="128" t="s">
        <v>47</v>
      </c>
    </row>
    <row r="479" spans="2:14" ht="17" x14ac:dyDescent="0.2">
      <c r="B479" s="131" t="s">
        <v>481</v>
      </c>
      <c r="C479" s="19" t="s">
        <v>40</v>
      </c>
      <c r="E479" s="34" t="s">
        <v>0</v>
      </c>
      <c r="G479" s="62" t="s">
        <v>41</v>
      </c>
      <c r="H479" s="61">
        <v>18023</v>
      </c>
      <c r="J479" s="74" t="s">
        <v>0</v>
      </c>
      <c r="L479" s="271" t="s">
        <v>41</v>
      </c>
      <c r="M479" s="74">
        <v>25132</v>
      </c>
      <c r="N479" s="67" t="s">
        <v>479</v>
      </c>
    </row>
    <row r="480" spans="2:14" ht="17" x14ac:dyDescent="0.2">
      <c r="B480" s="131" t="s">
        <v>49</v>
      </c>
      <c r="C480" s="19" t="s">
        <v>40</v>
      </c>
      <c r="E480" s="34" t="s">
        <v>0</v>
      </c>
      <c r="G480" s="62" t="s">
        <v>41</v>
      </c>
      <c r="H480" s="61">
        <v>18023</v>
      </c>
      <c r="J480" s="74" t="s">
        <v>0</v>
      </c>
      <c r="L480" s="271" t="s">
        <v>41</v>
      </c>
      <c r="M480" s="74">
        <v>25132</v>
      </c>
      <c r="N480" s="67" t="s">
        <v>479</v>
      </c>
    </row>
    <row r="481" spans="2:14" ht="17" x14ac:dyDescent="0.2">
      <c r="B481" s="128" t="s">
        <v>482</v>
      </c>
    </row>
    <row r="482" spans="2:14" ht="17" x14ac:dyDescent="0.2">
      <c r="B482" s="165" t="s">
        <v>66</v>
      </c>
      <c r="C482" s="19" t="s">
        <v>40</v>
      </c>
      <c r="E482" s="34" t="s">
        <v>0</v>
      </c>
      <c r="G482" s="62" t="s">
        <v>41</v>
      </c>
      <c r="H482" s="61">
        <v>18023</v>
      </c>
      <c r="J482" s="74" t="s">
        <v>0</v>
      </c>
      <c r="L482" s="271" t="s">
        <v>41</v>
      </c>
      <c r="M482" s="74">
        <v>25132</v>
      </c>
      <c r="N482" s="67" t="s">
        <v>479</v>
      </c>
    </row>
    <row r="483" spans="2:14" ht="17" x14ac:dyDescent="0.2">
      <c r="B483" s="138" t="s">
        <v>67</v>
      </c>
      <c r="C483" s="19" t="s">
        <v>40</v>
      </c>
      <c r="E483" s="34" t="s">
        <v>0</v>
      </c>
      <c r="G483" s="62" t="s">
        <v>41</v>
      </c>
      <c r="H483" s="61">
        <v>18023</v>
      </c>
      <c r="J483" s="74" t="s">
        <v>0</v>
      </c>
      <c r="L483" s="271" t="s">
        <v>41</v>
      </c>
      <c r="M483" s="74">
        <v>25132</v>
      </c>
      <c r="N483" s="67" t="s">
        <v>479</v>
      </c>
    </row>
    <row r="484" spans="2:14" ht="17" x14ac:dyDescent="0.2">
      <c r="B484" s="138" t="s">
        <v>68</v>
      </c>
      <c r="C484" s="19" t="s">
        <v>40</v>
      </c>
      <c r="E484" s="34" t="s">
        <v>0</v>
      </c>
      <c r="G484" s="62" t="s">
        <v>41</v>
      </c>
      <c r="H484" s="61">
        <v>18023</v>
      </c>
      <c r="J484" s="74" t="s">
        <v>0</v>
      </c>
      <c r="L484" s="271" t="s">
        <v>41</v>
      </c>
      <c r="M484" s="74">
        <v>25132</v>
      </c>
      <c r="N484" s="67" t="s">
        <v>479</v>
      </c>
    </row>
    <row r="485" spans="2:14" ht="17" x14ac:dyDescent="0.2">
      <c r="B485" s="166" t="s">
        <v>354</v>
      </c>
      <c r="C485" s="19" t="s">
        <v>40</v>
      </c>
      <c r="E485" s="34" t="s">
        <v>0</v>
      </c>
      <c r="G485" s="62" t="s">
        <v>41</v>
      </c>
      <c r="H485" s="61">
        <v>18023</v>
      </c>
      <c r="J485" s="74" t="s">
        <v>0</v>
      </c>
      <c r="L485" s="271" t="s">
        <v>41</v>
      </c>
      <c r="M485" s="74">
        <v>25132</v>
      </c>
      <c r="N485" s="67" t="s">
        <v>479</v>
      </c>
    </row>
    <row r="486" spans="2:14" ht="17" x14ac:dyDescent="0.2">
      <c r="B486" s="138" t="s">
        <v>355</v>
      </c>
      <c r="C486" s="19" t="s">
        <v>40</v>
      </c>
      <c r="E486" s="34" t="s">
        <v>0</v>
      </c>
      <c r="G486" s="62" t="s">
        <v>41</v>
      </c>
      <c r="H486" s="61">
        <v>18023</v>
      </c>
      <c r="J486" s="74" t="s">
        <v>0</v>
      </c>
      <c r="L486" s="271" t="s">
        <v>41</v>
      </c>
      <c r="M486" s="74">
        <v>25132</v>
      </c>
      <c r="N486" s="67" t="s">
        <v>479</v>
      </c>
    </row>
    <row r="487" spans="2:14" ht="17" x14ac:dyDescent="0.2">
      <c r="B487" s="138" t="s">
        <v>316</v>
      </c>
      <c r="C487" s="19" t="s">
        <v>40</v>
      </c>
      <c r="E487" s="34" t="s">
        <v>0</v>
      </c>
      <c r="G487" s="62" t="s">
        <v>41</v>
      </c>
      <c r="H487" s="61">
        <v>18023</v>
      </c>
      <c r="J487" s="74" t="s">
        <v>0</v>
      </c>
      <c r="L487" s="271" t="s">
        <v>41</v>
      </c>
      <c r="M487" s="74">
        <v>25132</v>
      </c>
      <c r="N487" s="67" t="s">
        <v>479</v>
      </c>
    </row>
    <row r="488" spans="2:14" ht="17" x14ac:dyDescent="0.2">
      <c r="B488" s="139" t="s">
        <v>72</v>
      </c>
      <c r="C488" s="19" t="s">
        <v>40</v>
      </c>
      <c r="E488" s="34" t="s">
        <v>0</v>
      </c>
      <c r="G488" s="62" t="s">
        <v>41</v>
      </c>
      <c r="H488" s="61">
        <v>18023</v>
      </c>
      <c r="J488" s="74" t="s">
        <v>0</v>
      </c>
      <c r="L488" s="271" t="s">
        <v>41</v>
      </c>
      <c r="M488" s="74">
        <v>25132</v>
      </c>
      <c r="N488" s="67" t="s">
        <v>479</v>
      </c>
    </row>
    <row r="489" spans="2:14" ht="17" x14ac:dyDescent="0.2">
      <c r="B489" s="138" t="s">
        <v>483</v>
      </c>
      <c r="C489" s="19" t="s">
        <v>40</v>
      </c>
      <c r="E489" s="34" t="s">
        <v>0</v>
      </c>
      <c r="G489" s="62" t="s">
        <v>41</v>
      </c>
      <c r="H489" s="61">
        <v>18023</v>
      </c>
      <c r="J489" s="74" t="s">
        <v>0</v>
      </c>
      <c r="L489" s="271" t="s">
        <v>41</v>
      </c>
      <c r="M489" s="74">
        <v>25132</v>
      </c>
      <c r="N489" s="67" t="s">
        <v>479</v>
      </c>
    </row>
    <row r="490" spans="2:14" ht="17" x14ac:dyDescent="0.2">
      <c r="B490" s="138" t="s">
        <v>484</v>
      </c>
      <c r="C490" s="19" t="s">
        <v>40</v>
      </c>
      <c r="E490" s="34" t="s">
        <v>0</v>
      </c>
      <c r="G490" s="62" t="s">
        <v>41</v>
      </c>
      <c r="H490" s="61">
        <v>18023</v>
      </c>
      <c r="J490" s="74" t="s">
        <v>0</v>
      </c>
      <c r="L490" s="271" t="s">
        <v>41</v>
      </c>
      <c r="M490" s="74">
        <v>25132</v>
      </c>
      <c r="N490" s="67" t="s">
        <v>479</v>
      </c>
    </row>
    <row r="491" spans="2:14" ht="17" x14ac:dyDescent="0.2">
      <c r="B491" s="139" t="s">
        <v>485</v>
      </c>
      <c r="C491" s="19" t="s">
        <v>40</v>
      </c>
      <c r="E491" s="34" t="s">
        <v>0</v>
      </c>
      <c r="G491" s="62" t="s">
        <v>41</v>
      </c>
      <c r="H491" s="61">
        <v>18023</v>
      </c>
      <c r="J491" s="74" t="s">
        <v>0</v>
      </c>
      <c r="L491" s="271" t="s">
        <v>41</v>
      </c>
      <c r="M491" s="74">
        <v>25132</v>
      </c>
      <c r="N491" s="67" t="s">
        <v>479</v>
      </c>
    </row>
    <row r="492" spans="2:14" ht="17" x14ac:dyDescent="0.2">
      <c r="B492" s="242" t="s">
        <v>486</v>
      </c>
      <c r="C492" s="19" t="s">
        <v>40</v>
      </c>
    </row>
    <row r="493" spans="2:14" ht="17" x14ac:dyDescent="0.2">
      <c r="B493" s="138" t="s">
        <v>518</v>
      </c>
      <c r="C493" s="19" t="s">
        <v>40</v>
      </c>
      <c r="E493" s="34" t="s">
        <v>0</v>
      </c>
      <c r="G493" s="62" t="s">
        <v>41</v>
      </c>
      <c r="H493" s="61">
        <v>18023</v>
      </c>
      <c r="J493" s="74" t="s">
        <v>0</v>
      </c>
      <c r="L493" s="271" t="s">
        <v>41</v>
      </c>
      <c r="M493" s="74">
        <v>25132</v>
      </c>
      <c r="N493" s="67" t="s">
        <v>479</v>
      </c>
    </row>
    <row r="494" spans="2:14" ht="17" x14ac:dyDescent="0.2">
      <c r="B494" s="147" t="s">
        <v>134</v>
      </c>
      <c r="C494" s="19" t="s">
        <v>40</v>
      </c>
      <c r="E494" s="34" t="s">
        <v>0</v>
      </c>
      <c r="G494" s="62" t="s">
        <v>41</v>
      </c>
      <c r="H494" s="61">
        <v>18023</v>
      </c>
      <c r="J494" s="74" t="s">
        <v>0</v>
      </c>
      <c r="L494" s="271" t="s">
        <v>41</v>
      </c>
      <c r="M494" s="74">
        <v>25132</v>
      </c>
      <c r="N494" s="67" t="s">
        <v>479</v>
      </c>
    </row>
    <row r="495" spans="2:14" ht="17" x14ac:dyDescent="0.2">
      <c r="B495" s="139" t="s">
        <v>519</v>
      </c>
      <c r="C495" s="19" t="s">
        <v>40</v>
      </c>
      <c r="E495" s="34" t="s">
        <v>0</v>
      </c>
      <c r="G495" s="62" t="s">
        <v>41</v>
      </c>
      <c r="H495" s="61">
        <v>18023</v>
      </c>
      <c r="J495" s="74" t="s">
        <v>0</v>
      </c>
      <c r="L495" s="271" t="s">
        <v>41</v>
      </c>
      <c r="M495" s="74">
        <v>25132</v>
      </c>
      <c r="N495" s="67" t="s">
        <v>479</v>
      </c>
    </row>
    <row r="496" spans="2:14" ht="17" x14ac:dyDescent="0.2">
      <c r="B496" s="139" t="s">
        <v>492</v>
      </c>
      <c r="C496" s="19" t="s">
        <v>40</v>
      </c>
      <c r="E496" s="34" t="s">
        <v>0</v>
      </c>
      <c r="G496" s="62" t="s">
        <v>41</v>
      </c>
      <c r="H496" s="61">
        <v>18023</v>
      </c>
      <c r="J496" s="74" t="s">
        <v>0</v>
      </c>
      <c r="L496" s="271" t="s">
        <v>41</v>
      </c>
      <c r="M496" s="74">
        <v>25132</v>
      </c>
      <c r="N496" s="67" t="s">
        <v>479</v>
      </c>
    </row>
    <row r="497" spans="2:14" ht="17" x14ac:dyDescent="0.2">
      <c r="B497" s="139" t="s">
        <v>493</v>
      </c>
      <c r="C497" s="19" t="s">
        <v>40</v>
      </c>
      <c r="E497" s="34" t="s">
        <v>0</v>
      </c>
      <c r="G497" s="62" t="s">
        <v>41</v>
      </c>
      <c r="H497" s="61">
        <v>18023</v>
      </c>
      <c r="J497" s="74" t="s">
        <v>0</v>
      </c>
      <c r="L497" s="271" t="s">
        <v>41</v>
      </c>
      <c r="M497" s="74">
        <v>25132</v>
      </c>
      <c r="N497" s="67" t="s">
        <v>479</v>
      </c>
    </row>
    <row r="498" spans="2:14" ht="17" x14ac:dyDescent="0.2">
      <c r="B498" s="166" t="s">
        <v>237</v>
      </c>
      <c r="C498" s="19" t="s">
        <v>40</v>
      </c>
      <c r="E498" s="34" t="s">
        <v>0</v>
      </c>
      <c r="G498" s="62" t="s">
        <v>41</v>
      </c>
      <c r="H498" s="61">
        <v>18023</v>
      </c>
      <c r="J498" s="74" t="s">
        <v>0</v>
      </c>
      <c r="L498" s="271" t="s">
        <v>41</v>
      </c>
      <c r="M498" s="74">
        <v>25132</v>
      </c>
      <c r="N498" s="67" t="s">
        <v>479</v>
      </c>
    </row>
    <row r="499" spans="2:14" ht="17" x14ac:dyDescent="0.2">
      <c r="B499" s="166" t="s">
        <v>356</v>
      </c>
      <c r="C499" s="19" t="s">
        <v>40</v>
      </c>
      <c r="E499" s="34" t="s">
        <v>0</v>
      </c>
      <c r="G499" s="62" t="s">
        <v>41</v>
      </c>
      <c r="H499" s="61">
        <v>18023</v>
      </c>
      <c r="J499" s="74" t="s">
        <v>0</v>
      </c>
      <c r="L499" s="271" t="s">
        <v>41</v>
      </c>
      <c r="M499" s="74">
        <v>25132</v>
      </c>
      <c r="N499" s="67" t="s">
        <v>479</v>
      </c>
    </row>
    <row r="500" spans="2:14" ht="17" x14ac:dyDescent="0.2">
      <c r="B500" s="138" t="s">
        <v>80</v>
      </c>
      <c r="C500" s="19" t="s">
        <v>40</v>
      </c>
      <c r="E500" s="34" t="s">
        <v>0</v>
      </c>
      <c r="G500" s="62" t="s">
        <v>41</v>
      </c>
      <c r="H500" s="61">
        <v>18023</v>
      </c>
      <c r="J500" s="74" t="s">
        <v>0</v>
      </c>
      <c r="L500" s="271" t="s">
        <v>41</v>
      </c>
      <c r="M500" s="74">
        <v>25132</v>
      </c>
      <c r="N500" s="67" t="s">
        <v>479</v>
      </c>
    </row>
    <row r="501" spans="2:14" ht="17" x14ac:dyDescent="0.2">
      <c r="B501" s="138" t="s">
        <v>81</v>
      </c>
      <c r="C501" s="19" t="s">
        <v>40</v>
      </c>
      <c r="E501" s="34" t="s">
        <v>0</v>
      </c>
      <c r="G501" s="62" t="s">
        <v>41</v>
      </c>
      <c r="H501" s="61">
        <v>18023</v>
      </c>
      <c r="J501" s="74" t="s">
        <v>0</v>
      </c>
      <c r="L501" s="271" t="s">
        <v>41</v>
      </c>
      <c r="M501" s="74">
        <v>25132</v>
      </c>
      <c r="N501" s="67" t="s">
        <v>479</v>
      </c>
    </row>
    <row r="502" spans="2:14" ht="17" x14ac:dyDescent="0.2">
      <c r="B502" s="138" t="s">
        <v>82</v>
      </c>
      <c r="C502" s="19" t="s">
        <v>40</v>
      </c>
      <c r="E502" s="34" t="s">
        <v>0</v>
      </c>
      <c r="G502" s="62" t="s">
        <v>41</v>
      </c>
      <c r="H502" s="61">
        <v>18023</v>
      </c>
      <c r="J502" s="74" t="s">
        <v>0</v>
      </c>
      <c r="L502" s="271" t="s">
        <v>41</v>
      </c>
      <c r="M502" s="74">
        <v>25132</v>
      </c>
      <c r="N502" s="67" t="s">
        <v>479</v>
      </c>
    </row>
    <row r="503" spans="2:14" ht="17" x14ac:dyDescent="0.2">
      <c r="B503" s="138" t="s">
        <v>357</v>
      </c>
      <c r="C503" s="19" t="s">
        <v>40</v>
      </c>
      <c r="E503" s="34" t="s">
        <v>0</v>
      </c>
      <c r="G503" s="62" t="s">
        <v>41</v>
      </c>
      <c r="H503" s="61">
        <v>18023</v>
      </c>
      <c r="J503" s="74" t="s">
        <v>0</v>
      </c>
      <c r="L503" s="271" t="s">
        <v>41</v>
      </c>
      <c r="M503" s="74">
        <v>25132</v>
      </c>
      <c r="N503" s="67" t="s">
        <v>479</v>
      </c>
    </row>
    <row r="504" spans="2:14" ht="17" x14ac:dyDescent="0.2">
      <c r="B504" s="138" t="s">
        <v>495</v>
      </c>
      <c r="C504" s="19" t="s">
        <v>40</v>
      </c>
      <c r="E504" s="34" t="s">
        <v>0</v>
      </c>
      <c r="G504" s="62" t="s">
        <v>41</v>
      </c>
      <c r="H504" s="61">
        <v>18023</v>
      </c>
      <c r="J504" s="74" t="s">
        <v>0</v>
      </c>
      <c r="L504" s="271" t="s">
        <v>41</v>
      </c>
      <c r="M504" s="74">
        <v>25132</v>
      </c>
      <c r="N504" s="67" t="s">
        <v>479</v>
      </c>
    </row>
    <row r="505" spans="2:14" ht="17" x14ac:dyDescent="0.2">
      <c r="B505" s="242" t="s">
        <v>496</v>
      </c>
      <c r="C505" s="19"/>
    </row>
    <row r="506" spans="2:14" ht="17" x14ac:dyDescent="0.2">
      <c r="B506" s="147" t="s">
        <v>134</v>
      </c>
      <c r="C506" s="19" t="s">
        <v>40</v>
      </c>
      <c r="E506" s="34" t="s">
        <v>0</v>
      </c>
      <c r="G506" s="62" t="s">
        <v>41</v>
      </c>
      <c r="H506" s="61">
        <v>18023</v>
      </c>
      <c r="J506" s="74" t="s">
        <v>0</v>
      </c>
      <c r="L506" s="271" t="s">
        <v>41</v>
      </c>
      <c r="M506" s="74">
        <v>25132</v>
      </c>
      <c r="N506" s="67" t="s">
        <v>479</v>
      </c>
    </row>
    <row r="507" spans="2:14" ht="17" x14ac:dyDescent="0.2">
      <c r="B507" s="139" t="s">
        <v>497</v>
      </c>
      <c r="C507" s="19" t="s">
        <v>40</v>
      </c>
      <c r="E507" s="34" t="s">
        <v>0</v>
      </c>
      <c r="G507" s="62" t="s">
        <v>41</v>
      </c>
      <c r="H507" s="61">
        <v>18023</v>
      </c>
      <c r="J507" s="74" t="s">
        <v>0</v>
      </c>
      <c r="L507" s="271" t="s">
        <v>41</v>
      </c>
      <c r="M507" s="74">
        <v>25132</v>
      </c>
      <c r="N507" s="67" t="s">
        <v>479</v>
      </c>
    </row>
    <row r="508" spans="2:14" ht="34" x14ac:dyDescent="0.2">
      <c r="B508" s="138" t="s">
        <v>520</v>
      </c>
      <c r="C508" s="19" t="s">
        <v>40</v>
      </c>
      <c r="E508" s="34" t="s">
        <v>0</v>
      </c>
      <c r="G508" s="62" t="s">
        <v>41</v>
      </c>
      <c r="H508" s="61">
        <v>18023</v>
      </c>
      <c r="J508" s="74" t="s">
        <v>0</v>
      </c>
      <c r="L508" s="271" t="s">
        <v>41</v>
      </c>
      <c r="M508" s="74">
        <v>25132</v>
      </c>
      <c r="N508" s="67" t="s">
        <v>479</v>
      </c>
    </row>
    <row r="509" spans="2:14" ht="17" x14ac:dyDescent="0.2">
      <c r="B509" s="139" t="s">
        <v>550</v>
      </c>
      <c r="C509" s="19" t="s">
        <v>40</v>
      </c>
      <c r="E509" s="34" t="s">
        <v>0</v>
      </c>
      <c r="G509" s="62" t="s">
        <v>41</v>
      </c>
      <c r="H509" s="61">
        <v>18023</v>
      </c>
      <c r="J509" s="74" t="s">
        <v>0</v>
      </c>
      <c r="L509" s="271" t="s">
        <v>41</v>
      </c>
      <c r="M509" s="74">
        <v>25132</v>
      </c>
      <c r="N509" s="67" t="s">
        <v>479</v>
      </c>
    </row>
    <row r="510" spans="2:14" x14ac:dyDescent="0.2">
      <c r="B510" s="140" t="s">
        <v>86</v>
      </c>
    </row>
    <row r="511" spans="2:14" x14ac:dyDescent="0.2">
      <c r="B511" s="140" t="s">
        <v>500</v>
      </c>
    </row>
    <row r="512" spans="2:14" ht="17" x14ac:dyDescent="0.2">
      <c r="B512" s="141" t="s">
        <v>87</v>
      </c>
      <c r="C512" s="19" t="s">
        <v>40</v>
      </c>
      <c r="E512" s="34" t="s">
        <v>0</v>
      </c>
      <c r="G512" s="62" t="s">
        <v>41</v>
      </c>
      <c r="H512" s="61">
        <v>18023</v>
      </c>
      <c r="J512" s="74" t="s">
        <v>0</v>
      </c>
      <c r="L512" s="271" t="s">
        <v>41</v>
      </c>
      <c r="M512" s="74">
        <v>25132</v>
      </c>
      <c r="N512" s="67" t="s">
        <v>479</v>
      </c>
    </row>
    <row r="513" spans="2:14" ht="32" x14ac:dyDescent="0.2">
      <c r="B513" s="142" t="s">
        <v>102</v>
      </c>
      <c r="C513" s="19" t="s">
        <v>40</v>
      </c>
      <c r="E513" s="34" t="s">
        <v>0</v>
      </c>
      <c r="G513" s="62" t="s">
        <v>41</v>
      </c>
      <c r="H513" s="61">
        <v>18023</v>
      </c>
      <c r="J513" s="74" t="s">
        <v>0</v>
      </c>
      <c r="L513" s="271" t="s">
        <v>41</v>
      </c>
      <c r="M513" s="74">
        <v>25132</v>
      </c>
      <c r="N513" s="67" t="s">
        <v>479</v>
      </c>
    </row>
    <row r="514" spans="2:14" ht="48" x14ac:dyDescent="0.2">
      <c r="B514" s="143" t="s">
        <v>103</v>
      </c>
      <c r="C514" s="19" t="s">
        <v>40</v>
      </c>
      <c r="E514" s="34" t="s">
        <v>0</v>
      </c>
      <c r="G514" s="62" t="s">
        <v>41</v>
      </c>
      <c r="H514" s="61">
        <v>18023</v>
      </c>
      <c r="J514" s="74" t="s">
        <v>0</v>
      </c>
      <c r="L514" s="271" t="s">
        <v>41</v>
      </c>
      <c r="M514" s="74">
        <v>25132</v>
      </c>
      <c r="N514" s="67" t="s">
        <v>479</v>
      </c>
    </row>
    <row r="515" spans="2:14" ht="17" x14ac:dyDescent="0.2">
      <c r="B515" s="144" t="s">
        <v>96</v>
      </c>
      <c r="C515" s="19" t="s">
        <v>40</v>
      </c>
      <c r="E515" s="34" t="s">
        <v>0</v>
      </c>
      <c r="G515" s="62" t="s">
        <v>41</v>
      </c>
      <c r="H515" s="61">
        <v>18023</v>
      </c>
      <c r="J515" s="74" t="s">
        <v>0</v>
      </c>
      <c r="L515" s="271" t="s">
        <v>41</v>
      </c>
      <c r="M515" s="74">
        <v>25132</v>
      </c>
      <c r="N515" s="67" t="s">
        <v>479</v>
      </c>
    </row>
    <row r="516" spans="2:14" ht="32" x14ac:dyDescent="0.2">
      <c r="B516" s="143" t="s">
        <v>104</v>
      </c>
      <c r="C516" s="19" t="s">
        <v>40</v>
      </c>
      <c r="E516" s="34" t="s">
        <v>0</v>
      </c>
      <c r="G516" s="62" t="s">
        <v>41</v>
      </c>
      <c r="H516" s="61">
        <v>18023</v>
      </c>
      <c r="J516" s="74" t="s">
        <v>0</v>
      </c>
      <c r="L516" s="271" t="s">
        <v>41</v>
      </c>
      <c r="M516" s="74">
        <v>25132</v>
      </c>
      <c r="N516" s="67" t="s">
        <v>479</v>
      </c>
    </row>
    <row r="517" spans="2:14" ht="32" x14ac:dyDescent="0.2">
      <c r="B517" s="142" t="s">
        <v>105</v>
      </c>
      <c r="C517" s="19" t="s">
        <v>40</v>
      </c>
      <c r="E517" s="34" t="s">
        <v>0</v>
      </c>
      <c r="G517" s="62" t="s">
        <v>41</v>
      </c>
      <c r="H517" s="61">
        <v>18023</v>
      </c>
      <c r="J517" s="74" t="s">
        <v>0</v>
      </c>
      <c r="L517" s="271" t="s">
        <v>41</v>
      </c>
      <c r="M517" s="74">
        <v>25132</v>
      </c>
      <c r="N517" s="67" t="s">
        <v>479</v>
      </c>
    </row>
    <row r="518" spans="2:14" ht="17" x14ac:dyDescent="0.2">
      <c r="B518" s="144" t="s">
        <v>99</v>
      </c>
      <c r="C518" s="19" t="s">
        <v>40</v>
      </c>
      <c r="E518" s="34" t="s">
        <v>0</v>
      </c>
      <c r="G518" s="62" t="s">
        <v>41</v>
      </c>
      <c r="H518" s="61">
        <v>18023</v>
      </c>
      <c r="J518" s="74" t="s">
        <v>0</v>
      </c>
      <c r="L518" s="271" t="s">
        <v>41</v>
      </c>
      <c r="M518" s="74">
        <v>25132</v>
      </c>
      <c r="N518" s="67" t="s">
        <v>479</v>
      </c>
    </row>
    <row r="519" spans="2:14" ht="17" x14ac:dyDescent="0.2">
      <c r="B519" s="143" t="s">
        <v>106</v>
      </c>
      <c r="C519" s="19" t="s">
        <v>40</v>
      </c>
      <c r="E519" s="34" t="s">
        <v>0</v>
      </c>
      <c r="G519" s="62" t="s">
        <v>41</v>
      </c>
      <c r="H519" s="61">
        <v>18023</v>
      </c>
      <c r="J519" s="74" t="s">
        <v>0</v>
      </c>
      <c r="L519" s="271" t="s">
        <v>41</v>
      </c>
      <c r="M519" s="74">
        <v>25132</v>
      </c>
      <c r="N519" s="67" t="s">
        <v>479</v>
      </c>
    </row>
    <row r="520" spans="2:14" x14ac:dyDescent="0.2">
      <c r="B520" s="140" t="s">
        <v>101</v>
      </c>
    </row>
    <row r="521" spans="2:14" ht="17" x14ac:dyDescent="0.2">
      <c r="B521" s="141" t="s">
        <v>87</v>
      </c>
      <c r="C521" s="19" t="s">
        <v>40</v>
      </c>
      <c r="E521" s="34" t="s">
        <v>0</v>
      </c>
      <c r="G521" s="62" t="s">
        <v>41</v>
      </c>
      <c r="H521" s="61">
        <v>18023</v>
      </c>
      <c r="J521" s="74" t="s">
        <v>0</v>
      </c>
      <c r="L521" s="271" t="s">
        <v>41</v>
      </c>
      <c r="M521" s="74">
        <v>25132</v>
      </c>
      <c r="N521" s="67" t="s">
        <v>479</v>
      </c>
    </row>
    <row r="522" spans="2:14" ht="32" x14ac:dyDescent="0.2">
      <c r="B522" s="142" t="s">
        <v>102</v>
      </c>
      <c r="C522" s="19" t="s">
        <v>40</v>
      </c>
      <c r="E522" s="34" t="s">
        <v>0</v>
      </c>
      <c r="G522" s="62" t="s">
        <v>41</v>
      </c>
      <c r="H522" s="61">
        <v>18023</v>
      </c>
      <c r="J522" s="74" t="s">
        <v>0</v>
      </c>
      <c r="L522" s="271" t="s">
        <v>41</v>
      </c>
      <c r="M522" s="74">
        <v>25132</v>
      </c>
      <c r="N522" s="67" t="s">
        <v>479</v>
      </c>
    </row>
    <row r="523" spans="2:14" ht="48" x14ac:dyDescent="0.2">
      <c r="B523" s="143" t="s">
        <v>108</v>
      </c>
      <c r="C523" s="19" t="s">
        <v>40</v>
      </c>
      <c r="E523" s="34" t="s">
        <v>0</v>
      </c>
      <c r="G523" s="62" t="s">
        <v>41</v>
      </c>
      <c r="H523" s="61">
        <v>18023</v>
      </c>
      <c r="J523" s="74" t="s">
        <v>0</v>
      </c>
      <c r="L523" s="271" t="s">
        <v>41</v>
      </c>
      <c r="M523" s="74">
        <v>25132</v>
      </c>
      <c r="N523" s="67" t="s">
        <v>479</v>
      </c>
    </row>
    <row r="524" spans="2:14" ht="17" x14ac:dyDescent="0.2">
      <c r="B524" s="144" t="s">
        <v>96</v>
      </c>
      <c r="C524" s="19" t="s">
        <v>40</v>
      </c>
      <c r="E524" s="34" t="s">
        <v>0</v>
      </c>
      <c r="G524" s="62" t="s">
        <v>41</v>
      </c>
      <c r="H524" s="61">
        <v>18023</v>
      </c>
      <c r="J524" s="74" t="s">
        <v>0</v>
      </c>
      <c r="L524" s="271" t="s">
        <v>41</v>
      </c>
      <c r="M524" s="74">
        <v>25132</v>
      </c>
      <c r="N524" s="67" t="s">
        <v>479</v>
      </c>
    </row>
    <row r="525" spans="2:14" ht="32" x14ac:dyDescent="0.2">
      <c r="B525" s="143" t="s">
        <v>109</v>
      </c>
      <c r="C525" s="19" t="s">
        <v>40</v>
      </c>
      <c r="E525" s="34" t="s">
        <v>0</v>
      </c>
      <c r="G525" s="62" t="s">
        <v>41</v>
      </c>
      <c r="H525" s="61">
        <v>18023</v>
      </c>
      <c r="J525" s="74" t="s">
        <v>0</v>
      </c>
      <c r="L525" s="271" t="s">
        <v>41</v>
      </c>
      <c r="M525" s="74">
        <v>25132</v>
      </c>
      <c r="N525" s="67" t="s">
        <v>479</v>
      </c>
    </row>
    <row r="526" spans="2:14" ht="32" x14ac:dyDescent="0.2">
      <c r="B526" s="142" t="s">
        <v>110</v>
      </c>
      <c r="C526" s="19" t="s">
        <v>40</v>
      </c>
      <c r="E526" s="34" t="s">
        <v>0</v>
      </c>
      <c r="G526" s="62" t="s">
        <v>41</v>
      </c>
      <c r="H526" s="61">
        <v>18023</v>
      </c>
      <c r="J526" s="74" t="s">
        <v>0</v>
      </c>
      <c r="L526" s="271" t="s">
        <v>41</v>
      </c>
      <c r="M526" s="74">
        <v>25132</v>
      </c>
      <c r="N526" s="67" t="s">
        <v>479</v>
      </c>
    </row>
    <row r="527" spans="2:14" ht="17" x14ac:dyDescent="0.2">
      <c r="B527" s="144" t="s">
        <v>99</v>
      </c>
      <c r="C527" s="19" t="s">
        <v>40</v>
      </c>
      <c r="E527" s="34" t="s">
        <v>0</v>
      </c>
      <c r="G527" s="62" t="s">
        <v>41</v>
      </c>
      <c r="H527" s="61">
        <v>18023</v>
      </c>
      <c r="J527" s="74" t="s">
        <v>0</v>
      </c>
      <c r="L527" s="271" t="s">
        <v>41</v>
      </c>
      <c r="M527" s="74">
        <v>25132</v>
      </c>
      <c r="N527" s="67" t="s">
        <v>479</v>
      </c>
    </row>
    <row r="528" spans="2:14" ht="17" x14ac:dyDescent="0.2">
      <c r="B528" s="143" t="s">
        <v>111</v>
      </c>
      <c r="C528" s="19" t="s">
        <v>40</v>
      </c>
      <c r="E528" s="34" t="s">
        <v>0</v>
      </c>
      <c r="G528" s="62" t="s">
        <v>41</v>
      </c>
      <c r="H528" s="61">
        <v>18023</v>
      </c>
      <c r="J528" s="74" t="s">
        <v>0</v>
      </c>
      <c r="L528" s="271" t="s">
        <v>41</v>
      </c>
      <c r="M528" s="74">
        <v>25132</v>
      </c>
      <c r="N528" s="67" t="s">
        <v>479</v>
      </c>
    </row>
    <row r="529" spans="2:14" x14ac:dyDescent="0.2">
      <c r="B529" s="140" t="s">
        <v>107</v>
      </c>
    </row>
    <row r="530" spans="2:14" ht="17" x14ac:dyDescent="0.2">
      <c r="B530" s="141" t="s">
        <v>87</v>
      </c>
      <c r="C530" s="19" t="s">
        <v>40</v>
      </c>
      <c r="E530" s="34" t="s">
        <v>0</v>
      </c>
      <c r="G530" s="62" t="s">
        <v>41</v>
      </c>
      <c r="H530" s="61">
        <v>18023</v>
      </c>
      <c r="J530" s="74" t="s">
        <v>0</v>
      </c>
      <c r="L530" s="271" t="s">
        <v>41</v>
      </c>
      <c r="M530" s="74">
        <v>25132</v>
      </c>
      <c r="N530" s="67" t="s">
        <v>479</v>
      </c>
    </row>
    <row r="531" spans="2:14" ht="32" x14ac:dyDescent="0.2">
      <c r="B531" s="142" t="s">
        <v>102</v>
      </c>
      <c r="C531" s="19" t="s">
        <v>40</v>
      </c>
      <c r="E531" s="34" t="s">
        <v>0</v>
      </c>
      <c r="G531" s="62" t="s">
        <v>41</v>
      </c>
      <c r="H531" s="61">
        <v>18023</v>
      </c>
      <c r="J531" s="74" t="s">
        <v>0</v>
      </c>
      <c r="L531" s="271" t="s">
        <v>41</v>
      </c>
      <c r="M531" s="74">
        <v>25132</v>
      </c>
      <c r="N531" s="67" t="s">
        <v>479</v>
      </c>
    </row>
    <row r="532" spans="2:14" ht="48" x14ac:dyDescent="0.2">
      <c r="B532" s="143" t="s">
        <v>113</v>
      </c>
      <c r="C532" s="19" t="s">
        <v>40</v>
      </c>
      <c r="E532" s="34" t="s">
        <v>0</v>
      </c>
      <c r="G532" s="62" t="s">
        <v>41</v>
      </c>
      <c r="H532" s="61">
        <v>18023</v>
      </c>
      <c r="J532" s="74" t="s">
        <v>0</v>
      </c>
      <c r="L532" s="271" t="s">
        <v>41</v>
      </c>
      <c r="M532" s="74">
        <v>25132</v>
      </c>
      <c r="N532" s="67" t="s">
        <v>479</v>
      </c>
    </row>
    <row r="533" spans="2:14" ht="17" x14ac:dyDescent="0.2">
      <c r="B533" s="144" t="s">
        <v>96</v>
      </c>
      <c r="C533" s="19" t="s">
        <v>40</v>
      </c>
      <c r="E533" s="34" t="s">
        <v>0</v>
      </c>
      <c r="G533" s="62" t="s">
        <v>41</v>
      </c>
      <c r="H533" s="61">
        <v>18023</v>
      </c>
      <c r="J533" s="74" t="s">
        <v>0</v>
      </c>
      <c r="L533" s="271" t="s">
        <v>41</v>
      </c>
      <c r="M533" s="74">
        <v>25132</v>
      </c>
      <c r="N533" s="67" t="s">
        <v>479</v>
      </c>
    </row>
    <row r="534" spans="2:14" ht="32" x14ac:dyDescent="0.2">
      <c r="B534" s="143" t="s">
        <v>97</v>
      </c>
      <c r="C534" s="19" t="s">
        <v>40</v>
      </c>
      <c r="E534" s="34" t="s">
        <v>0</v>
      </c>
      <c r="G534" s="62" t="s">
        <v>41</v>
      </c>
      <c r="H534" s="61">
        <v>18023</v>
      </c>
      <c r="J534" s="74" t="s">
        <v>0</v>
      </c>
      <c r="L534" s="271" t="s">
        <v>41</v>
      </c>
      <c r="M534" s="74">
        <v>25132</v>
      </c>
      <c r="N534" s="67" t="s">
        <v>479</v>
      </c>
    </row>
    <row r="535" spans="2:14" ht="32" x14ac:dyDescent="0.2">
      <c r="B535" s="142" t="s">
        <v>114</v>
      </c>
      <c r="C535" s="19" t="s">
        <v>40</v>
      </c>
      <c r="E535" s="34" t="s">
        <v>0</v>
      </c>
      <c r="G535" s="62" t="s">
        <v>41</v>
      </c>
      <c r="H535" s="61">
        <v>18023</v>
      </c>
      <c r="J535" s="74" t="s">
        <v>0</v>
      </c>
      <c r="L535" s="271" t="s">
        <v>41</v>
      </c>
      <c r="M535" s="74">
        <v>25132</v>
      </c>
      <c r="N535" s="67" t="s">
        <v>479</v>
      </c>
    </row>
    <row r="536" spans="2:14" ht="17" x14ac:dyDescent="0.2">
      <c r="B536" s="144" t="s">
        <v>99</v>
      </c>
      <c r="C536" s="19" t="s">
        <v>40</v>
      </c>
      <c r="E536" s="34" t="s">
        <v>0</v>
      </c>
      <c r="G536" s="62" t="s">
        <v>41</v>
      </c>
      <c r="H536" s="61">
        <v>18023</v>
      </c>
      <c r="J536" s="74" t="s">
        <v>0</v>
      </c>
      <c r="L536" s="271" t="s">
        <v>41</v>
      </c>
      <c r="M536" s="74">
        <v>25132</v>
      </c>
      <c r="N536" s="67" t="s">
        <v>479</v>
      </c>
    </row>
    <row r="537" spans="2:14" ht="17" x14ac:dyDescent="0.2">
      <c r="B537" s="143" t="s">
        <v>115</v>
      </c>
      <c r="C537" s="19" t="s">
        <v>40</v>
      </c>
      <c r="E537" s="34" t="s">
        <v>0</v>
      </c>
      <c r="G537" s="62" t="s">
        <v>41</v>
      </c>
      <c r="H537" s="61">
        <v>18023</v>
      </c>
      <c r="J537" s="74" t="s">
        <v>0</v>
      </c>
      <c r="L537" s="271" t="s">
        <v>41</v>
      </c>
      <c r="M537" s="74">
        <v>25132</v>
      </c>
      <c r="N537" s="67" t="s">
        <v>479</v>
      </c>
    </row>
    <row r="538" spans="2:14" x14ac:dyDescent="0.2">
      <c r="B538" s="251" t="s">
        <v>279</v>
      </c>
      <c r="C538" s="252"/>
    </row>
    <row r="539" spans="2:14" ht="17" x14ac:dyDescent="0.2">
      <c r="B539" s="213" t="s">
        <v>87</v>
      </c>
      <c r="C539" s="252" t="s">
        <v>40</v>
      </c>
      <c r="E539" s="34" t="s">
        <v>0</v>
      </c>
      <c r="G539" s="62" t="s">
        <v>41</v>
      </c>
      <c r="H539" s="61">
        <v>18023</v>
      </c>
      <c r="J539" s="74" t="s">
        <v>0</v>
      </c>
      <c r="L539" s="271" t="s">
        <v>41</v>
      </c>
      <c r="M539" s="74">
        <v>25132</v>
      </c>
      <c r="N539" s="67" t="s">
        <v>479</v>
      </c>
    </row>
    <row r="540" spans="2:14" ht="32" x14ac:dyDescent="0.2">
      <c r="B540" s="253" t="s">
        <v>102</v>
      </c>
      <c r="C540" s="252" t="s">
        <v>40</v>
      </c>
      <c r="E540" s="34" t="s">
        <v>0</v>
      </c>
      <c r="G540" s="62" t="s">
        <v>41</v>
      </c>
      <c r="H540" s="61">
        <v>18023</v>
      </c>
      <c r="J540" s="74" t="s">
        <v>0</v>
      </c>
      <c r="L540" s="271" t="s">
        <v>41</v>
      </c>
      <c r="M540" s="74">
        <v>25132</v>
      </c>
      <c r="N540" s="67" t="s">
        <v>479</v>
      </c>
    </row>
    <row r="541" spans="2:14" ht="48" x14ac:dyDescent="0.2">
      <c r="B541" s="238" t="s">
        <v>323</v>
      </c>
      <c r="C541" s="252" t="s">
        <v>40</v>
      </c>
      <c r="E541" s="34" t="s">
        <v>0</v>
      </c>
      <c r="G541" s="62" t="s">
        <v>41</v>
      </c>
      <c r="H541" s="61">
        <v>18023</v>
      </c>
      <c r="J541" s="74" t="s">
        <v>0</v>
      </c>
      <c r="L541" s="271" t="s">
        <v>41</v>
      </c>
      <c r="M541" s="74">
        <v>25132</v>
      </c>
      <c r="N541" s="67" t="s">
        <v>479</v>
      </c>
    </row>
    <row r="542" spans="2:14" ht="17" x14ac:dyDescent="0.2">
      <c r="B542" s="216" t="s">
        <v>96</v>
      </c>
      <c r="C542" s="252" t="s">
        <v>40</v>
      </c>
      <c r="E542" s="34" t="s">
        <v>0</v>
      </c>
      <c r="G542" s="62" t="s">
        <v>41</v>
      </c>
      <c r="H542" s="61">
        <v>18023</v>
      </c>
      <c r="J542" s="74" t="s">
        <v>0</v>
      </c>
      <c r="L542" s="271" t="s">
        <v>41</v>
      </c>
      <c r="M542" s="74">
        <v>25132</v>
      </c>
      <c r="N542" s="67" t="s">
        <v>479</v>
      </c>
    </row>
    <row r="543" spans="2:14" ht="32" x14ac:dyDescent="0.2">
      <c r="B543" s="238" t="s">
        <v>97</v>
      </c>
      <c r="C543" s="252" t="s">
        <v>40</v>
      </c>
      <c r="E543" s="34" t="s">
        <v>0</v>
      </c>
      <c r="G543" s="62" t="s">
        <v>41</v>
      </c>
      <c r="H543" s="61">
        <v>18023</v>
      </c>
      <c r="J543" s="74" t="s">
        <v>0</v>
      </c>
      <c r="L543" s="271" t="s">
        <v>41</v>
      </c>
      <c r="M543" s="74">
        <v>25132</v>
      </c>
      <c r="N543" s="67" t="s">
        <v>479</v>
      </c>
    </row>
    <row r="544" spans="2:14" ht="32" x14ac:dyDescent="0.2">
      <c r="B544" s="253" t="s">
        <v>324</v>
      </c>
      <c r="C544" s="252" t="s">
        <v>40</v>
      </c>
      <c r="E544" s="34" t="s">
        <v>0</v>
      </c>
      <c r="G544" s="62" t="s">
        <v>41</v>
      </c>
      <c r="H544" s="61">
        <v>18023</v>
      </c>
      <c r="J544" s="74" t="s">
        <v>0</v>
      </c>
      <c r="L544" s="271" t="s">
        <v>41</v>
      </c>
      <c r="M544" s="74">
        <v>25132</v>
      </c>
      <c r="N544" s="67" t="s">
        <v>479</v>
      </c>
    </row>
    <row r="545" spans="2:14" ht="17" x14ac:dyDescent="0.2">
      <c r="B545" s="215" t="s">
        <v>99</v>
      </c>
      <c r="C545" s="252" t="s">
        <v>40</v>
      </c>
      <c r="E545" s="34" t="s">
        <v>0</v>
      </c>
      <c r="G545" s="62" t="s">
        <v>41</v>
      </c>
      <c r="H545" s="61">
        <v>18023</v>
      </c>
      <c r="J545" s="74" t="s">
        <v>0</v>
      </c>
      <c r="L545" s="271" t="s">
        <v>41</v>
      </c>
      <c r="M545" s="74">
        <v>25132</v>
      </c>
      <c r="N545" s="67" t="s">
        <v>479</v>
      </c>
    </row>
    <row r="546" spans="2:14" ht="32" x14ac:dyDescent="0.2">
      <c r="B546" s="238" t="s">
        <v>359</v>
      </c>
      <c r="C546" s="252" t="s">
        <v>40</v>
      </c>
      <c r="E546" s="34" t="s">
        <v>0</v>
      </c>
      <c r="G546" s="62" t="s">
        <v>41</v>
      </c>
      <c r="H546" s="61">
        <v>18023</v>
      </c>
      <c r="J546" s="74" t="s">
        <v>0</v>
      </c>
      <c r="L546" s="271" t="s">
        <v>41</v>
      </c>
      <c r="M546" s="74">
        <v>25132</v>
      </c>
      <c r="N546" s="67" t="s">
        <v>479</v>
      </c>
    </row>
    <row r="547" spans="2:14" ht="34" x14ac:dyDescent="0.2">
      <c r="B547" s="132" t="s">
        <v>116</v>
      </c>
    </row>
    <row r="548" spans="2:14" ht="64" x14ac:dyDescent="0.2">
      <c r="B548" s="143" t="s">
        <v>117</v>
      </c>
      <c r="C548" s="19" t="s">
        <v>40</v>
      </c>
    </row>
    <row r="549" spans="2:14" ht="64" x14ac:dyDescent="0.2">
      <c r="B549" s="143" t="s">
        <v>118</v>
      </c>
      <c r="C549" s="19" t="s">
        <v>40</v>
      </c>
    </row>
    <row r="550" spans="2:14" x14ac:dyDescent="0.2">
      <c r="B550" s="143" t="s">
        <v>119</v>
      </c>
      <c r="C550" s="19" t="s">
        <v>40</v>
      </c>
    </row>
    <row r="551" spans="2:14" ht="32" x14ac:dyDescent="0.2">
      <c r="B551" s="143" t="s">
        <v>120</v>
      </c>
      <c r="C551" s="19" t="s">
        <v>40</v>
      </c>
    </row>
    <row r="552" spans="2:14" ht="17" x14ac:dyDescent="0.2">
      <c r="B552" s="128" t="s">
        <v>121</v>
      </c>
      <c r="C552" s="19"/>
    </row>
    <row r="553" spans="2:14" ht="17" x14ac:dyDescent="0.2">
      <c r="B553" s="145" t="s">
        <v>122</v>
      </c>
      <c r="C553" s="19" t="s">
        <v>40</v>
      </c>
      <c r="E553" s="34" t="s">
        <v>0</v>
      </c>
      <c r="G553" s="62" t="s">
        <v>41</v>
      </c>
      <c r="H553" s="61">
        <v>18023</v>
      </c>
      <c r="J553" s="74" t="s">
        <v>0</v>
      </c>
      <c r="L553" s="271" t="s">
        <v>41</v>
      </c>
      <c r="M553" s="74">
        <v>25132</v>
      </c>
      <c r="N553" s="67" t="s">
        <v>479</v>
      </c>
    </row>
    <row r="554" spans="2:14" ht="17" x14ac:dyDescent="0.2">
      <c r="B554" s="167" t="s">
        <v>123</v>
      </c>
      <c r="C554" s="19" t="s">
        <v>40</v>
      </c>
      <c r="E554" s="34" t="s">
        <v>0</v>
      </c>
      <c r="G554" s="62" t="s">
        <v>41</v>
      </c>
      <c r="H554" s="61">
        <v>18023</v>
      </c>
      <c r="J554" s="74" t="s">
        <v>0</v>
      </c>
      <c r="L554" s="271" t="s">
        <v>41</v>
      </c>
      <c r="M554" s="74">
        <v>25132</v>
      </c>
      <c r="N554" s="67" t="s">
        <v>479</v>
      </c>
    </row>
    <row r="555" spans="2:14" ht="17" x14ac:dyDescent="0.2">
      <c r="B555" s="260" t="s">
        <v>360</v>
      </c>
      <c r="C555" s="19" t="s">
        <v>40</v>
      </c>
      <c r="E555" s="34" t="s">
        <v>0</v>
      </c>
      <c r="G555" s="62" t="s">
        <v>41</v>
      </c>
      <c r="H555" s="61">
        <v>18023</v>
      </c>
      <c r="J555" s="74" t="s">
        <v>0</v>
      </c>
      <c r="L555" s="271" t="s">
        <v>41</v>
      </c>
      <c r="M555" s="74">
        <v>25132</v>
      </c>
      <c r="N555" s="67" t="s">
        <v>479</v>
      </c>
    </row>
    <row r="556" spans="2:14" ht="17" x14ac:dyDescent="0.2">
      <c r="B556" s="249" t="s">
        <v>125</v>
      </c>
      <c r="C556" s="19" t="s">
        <v>40</v>
      </c>
      <c r="E556" s="34" t="s">
        <v>0</v>
      </c>
      <c r="G556" s="62" t="s">
        <v>41</v>
      </c>
      <c r="H556" s="61">
        <v>18023</v>
      </c>
      <c r="J556" s="74" t="s">
        <v>0</v>
      </c>
      <c r="L556" s="271" t="s">
        <v>41</v>
      </c>
      <c r="M556" s="74">
        <v>25132</v>
      </c>
      <c r="N556" s="67" t="s">
        <v>479</v>
      </c>
    </row>
    <row r="557" spans="2:14" ht="17" x14ac:dyDescent="0.2">
      <c r="B557" s="243" t="s">
        <v>126</v>
      </c>
      <c r="C557" s="19" t="s">
        <v>40</v>
      </c>
      <c r="E557" s="34" t="s">
        <v>0</v>
      </c>
      <c r="G557" s="62" t="s">
        <v>41</v>
      </c>
      <c r="H557" s="61">
        <v>18023</v>
      </c>
      <c r="J557" s="74" t="s">
        <v>0</v>
      </c>
      <c r="L557" s="271" t="s">
        <v>41</v>
      </c>
      <c r="M557" s="74">
        <v>25132</v>
      </c>
      <c r="N557" s="67" t="s">
        <v>479</v>
      </c>
    </row>
    <row r="558" spans="2:14" ht="17" x14ac:dyDescent="0.2">
      <c r="B558" s="138" t="s">
        <v>361</v>
      </c>
      <c r="C558" s="19" t="s">
        <v>40</v>
      </c>
      <c r="E558" s="34" t="s">
        <v>0</v>
      </c>
      <c r="G558" s="62" t="s">
        <v>41</v>
      </c>
      <c r="H558" s="61">
        <v>18023</v>
      </c>
      <c r="J558" s="74" t="s">
        <v>0</v>
      </c>
      <c r="L558" s="271" t="s">
        <v>41</v>
      </c>
      <c r="M558" s="74">
        <v>25132</v>
      </c>
      <c r="N558" s="67" t="s">
        <v>479</v>
      </c>
    </row>
    <row r="559" spans="2:14" ht="17" x14ac:dyDescent="0.2">
      <c r="B559" s="138" t="s">
        <v>362</v>
      </c>
      <c r="C559" s="19" t="s">
        <v>40</v>
      </c>
      <c r="E559" s="34" t="s">
        <v>0</v>
      </c>
      <c r="G559" s="62" t="s">
        <v>41</v>
      </c>
      <c r="H559" s="61">
        <v>18023</v>
      </c>
      <c r="J559" s="74" t="s">
        <v>0</v>
      </c>
      <c r="L559" s="271" t="s">
        <v>41</v>
      </c>
      <c r="M559" s="74">
        <v>25132</v>
      </c>
      <c r="N559" s="67" t="s">
        <v>479</v>
      </c>
    </row>
    <row r="560" spans="2:14" ht="17" x14ac:dyDescent="0.2">
      <c r="B560" s="259" t="s">
        <v>129</v>
      </c>
      <c r="C560" s="19" t="s">
        <v>40</v>
      </c>
      <c r="E560" s="34" t="s">
        <v>0</v>
      </c>
      <c r="G560" s="62" t="s">
        <v>41</v>
      </c>
      <c r="H560" s="61">
        <v>18023</v>
      </c>
      <c r="J560" s="74" t="s">
        <v>0</v>
      </c>
      <c r="L560" s="271" t="s">
        <v>41</v>
      </c>
      <c r="M560" s="74">
        <v>25132</v>
      </c>
      <c r="N560" s="67" t="s">
        <v>479</v>
      </c>
    </row>
    <row r="561" spans="2:14" ht="17" x14ac:dyDescent="0.2">
      <c r="B561" s="244" t="s">
        <v>130</v>
      </c>
      <c r="C561" s="19" t="s">
        <v>40</v>
      </c>
      <c r="E561" s="34" t="s">
        <v>0</v>
      </c>
      <c r="G561" s="62" t="s">
        <v>41</v>
      </c>
      <c r="H561" s="61">
        <v>18023</v>
      </c>
      <c r="J561" s="74" t="s">
        <v>0</v>
      </c>
      <c r="L561" s="271" t="s">
        <v>41</v>
      </c>
      <c r="M561" s="74">
        <v>25132</v>
      </c>
      <c r="N561" s="67" t="s">
        <v>479</v>
      </c>
    </row>
    <row r="562" spans="2:14" ht="17" x14ac:dyDescent="0.2">
      <c r="B562" s="247" t="s">
        <v>501</v>
      </c>
      <c r="C562" s="19" t="s">
        <v>40</v>
      </c>
      <c r="E562" s="34" t="s">
        <v>0</v>
      </c>
      <c r="G562" s="62" t="s">
        <v>41</v>
      </c>
      <c r="H562" s="61">
        <v>18023</v>
      </c>
      <c r="J562" s="74" t="s">
        <v>0</v>
      </c>
      <c r="L562" s="271" t="s">
        <v>41</v>
      </c>
      <c r="M562" s="74">
        <v>25132</v>
      </c>
      <c r="N562" s="67" t="s">
        <v>479</v>
      </c>
    </row>
    <row r="563" spans="2:14" ht="17" x14ac:dyDescent="0.2">
      <c r="B563" s="247" t="s">
        <v>132</v>
      </c>
      <c r="C563" s="19" t="s">
        <v>40</v>
      </c>
      <c r="E563" s="34" t="s">
        <v>0</v>
      </c>
      <c r="G563" s="62" t="s">
        <v>41</v>
      </c>
      <c r="H563" s="61">
        <v>18023</v>
      </c>
      <c r="J563" s="74" t="s">
        <v>0</v>
      </c>
      <c r="L563" s="271" t="s">
        <v>41</v>
      </c>
      <c r="M563" s="74">
        <v>25132</v>
      </c>
      <c r="N563" s="67" t="s">
        <v>479</v>
      </c>
    </row>
    <row r="564" spans="2:14" ht="17" x14ac:dyDescent="0.2">
      <c r="B564" s="247" t="s">
        <v>134</v>
      </c>
      <c r="C564" s="19" t="s">
        <v>40</v>
      </c>
      <c r="E564" s="34" t="s">
        <v>0</v>
      </c>
      <c r="G564" s="62" t="s">
        <v>41</v>
      </c>
      <c r="H564" s="61">
        <v>18023</v>
      </c>
      <c r="J564" s="74" t="s">
        <v>0</v>
      </c>
      <c r="L564" s="271" t="s">
        <v>41</v>
      </c>
      <c r="M564" s="74">
        <v>25132</v>
      </c>
      <c r="N564" s="67" t="s">
        <v>479</v>
      </c>
    </row>
    <row r="565" spans="2:14" ht="17" x14ac:dyDescent="0.2">
      <c r="B565" s="247" t="s">
        <v>136</v>
      </c>
      <c r="C565" s="19" t="s">
        <v>40</v>
      </c>
      <c r="E565" s="34" t="s">
        <v>0</v>
      </c>
      <c r="G565" s="62" t="s">
        <v>41</v>
      </c>
      <c r="H565" s="61">
        <v>18023</v>
      </c>
      <c r="J565" s="74" t="s">
        <v>0</v>
      </c>
      <c r="L565" s="271" t="s">
        <v>41</v>
      </c>
      <c r="M565" s="74">
        <v>25132</v>
      </c>
      <c r="N565" s="67" t="s">
        <v>479</v>
      </c>
    </row>
    <row r="566" spans="2:14" ht="23" x14ac:dyDescent="0.3">
      <c r="B566" s="148" t="s">
        <v>137</v>
      </c>
      <c r="C566" s="19"/>
    </row>
    <row r="567" spans="2:14" ht="23" x14ac:dyDescent="0.3">
      <c r="B567" s="148" t="s">
        <v>138</v>
      </c>
      <c r="C567" s="19"/>
    </row>
    <row r="568" spans="2:14" ht="17" x14ac:dyDescent="0.2">
      <c r="B568" s="147" t="s">
        <v>546</v>
      </c>
      <c r="C568" s="19" t="s">
        <v>40</v>
      </c>
      <c r="E568" s="34" t="s">
        <v>0</v>
      </c>
      <c r="G568" s="62" t="s">
        <v>41</v>
      </c>
      <c r="H568" s="61">
        <v>18023</v>
      </c>
      <c r="J568" s="74" t="s">
        <v>0</v>
      </c>
      <c r="L568" s="271" t="s">
        <v>41</v>
      </c>
      <c r="M568" s="74">
        <v>25132</v>
      </c>
      <c r="N568" s="67" t="s">
        <v>479</v>
      </c>
    </row>
    <row r="569" spans="2:14" ht="34" x14ac:dyDescent="0.2">
      <c r="B569" s="147" t="s">
        <v>538</v>
      </c>
      <c r="C569" s="19" t="s">
        <v>40</v>
      </c>
      <c r="E569" s="34" t="s">
        <v>0</v>
      </c>
      <c r="G569" s="62" t="s">
        <v>41</v>
      </c>
      <c r="H569" s="61">
        <v>18023</v>
      </c>
      <c r="J569" s="74" t="s">
        <v>0</v>
      </c>
      <c r="L569" s="271" t="s">
        <v>41</v>
      </c>
      <c r="M569" s="74">
        <v>25132</v>
      </c>
      <c r="N569" s="67" t="s">
        <v>479</v>
      </c>
    </row>
    <row r="570" spans="2:14" ht="17" x14ac:dyDescent="0.2">
      <c r="B570" s="147" t="s">
        <v>547</v>
      </c>
      <c r="C570" s="19" t="s">
        <v>40</v>
      </c>
      <c r="E570" s="34" t="s">
        <v>0</v>
      </c>
      <c r="G570" s="62" t="s">
        <v>41</v>
      </c>
      <c r="H570" s="61">
        <v>18023</v>
      </c>
      <c r="J570" s="74" t="s">
        <v>0</v>
      </c>
      <c r="L570" s="271" t="s">
        <v>41</v>
      </c>
      <c r="M570" s="74">
        <v>25132</v>
      </c>
      <c r="N570" s="67" t="s">
        <v>479</v>
      </c>
    </row>
    <row r="571" spans="2:14" ht="17" x14ac:dyDescent="0.2">
      <c r="B571" s="147" t="s">
        <v>539</v>
      </c>
      <c r="C571" s="19" t="s">
        <v>40</v>
      </c>
      <c r="E571" s="34" t="s">
        <v>0</v>
      </c>
      <c r="G571" s="62" t="s">
        <v>41</v>
      </c>
      <c r="H571" s="61">
        <v>18023</v>
      </c>
      <c r="J571" s="74" t="s">
        <v>0</v>
      </c>
      <c r="L571" s="271" t="s">
        <v>41</v>
      </c>
      <c r="M571" s="74">
        <v>25132</v>
      </c>
      <c r="N571" s="67" t="s">
        <v>479</v>
      </c>
    </row>
    <row r="572" spans="2:14" ht="17" x14ac:dyDescent="0.2">
      <c r="B572" s="147" t="s">
        <v>143</v>
      </c>
      <c r="C572" s="19" t="s">
        <v>40</v>
      </c>
      <c r="E572" s="34" t="s">
        <v>0</v>
      </c>
      <c r="G572" s="62" t="s">
        <v>41</v>
      </c>
      <c r="H572" s="61">
        <v>18023</v>
      </c>
      <c r="J572" s="74" t="s">
        <v>0</v>
      </c>
      <c r="L572" s="271" t="s">
        <v>41</v>
      </c>
      <c r="M572" s="74">
        <v>25132</v>
      </c>
      <c r="N572" s="67" t="s">
        <v>479</v>
      </c>
    </row>
    <row r="573" spans="2:14" ht="23" x14ac:dyDescent="0.3">
      <c r="B573" s="148" t="s">
        <v>144</v>
      </c>
      <c r="C573" s="19"/>
    </row>
    <row r="574" spans="2:14" ht="17" x14ac:dyDescent="0.2">
      <c r="B574" s="147" t="s">
        <v>145</v>
      </c>
      <c r="C574" s="19" t="s">
        <v>40</v>
      </c>
      <c r="E574" s="34" t="s">
        <v>0</v>
      </c>
      <c r="G574" s="62" t="s">
        <v>41</v>
      </c>
      <c r="H574" s="61">
        <v>18023</v>
      </c>
      <c r="J574" s="74" t="s">
        <v>0</v>
      </c>
      <c r="L574" s="271" t="s">
        <v>41</v>
      </c>
      <c r="M574" s="74">
        <v>25132</v>
      </c>
      <c r="N574" s="67" t="s">
        <v>479</v>
      </c>
    </row>
    <row r="575" spans="2:14" ht="17" x14ac:dyDescent="0.2">
      <c r="B575" s="147" t="s">
        <v>363</v>
      </c>
      <c r="C575" s="19" t="s">
        <v>40</v>
      </c>
      <c r="E575" s="34" t="s">
        <v>0</v>
      </c>
      <c r="G575" s="62" t="s">
        <v>41</v>
      </c>
      <c r="H575" s="61">
        <v>18023</v>
      </c>
      <c r="J575" s="74" t="s">
        <v>0</v>
      </c>
      <c r="L575" s="271" t="s">
        <v>41</v>
      </c>
      <c r="M575" s="74">
        <v>25132</v>
      </c>
      <c r="N575" s="67" t="s">
        <v>479</v>
      </c>
    </row>
    <row r="576" spans="2:14" ht="17" x14ac:dyDescent="0.2">
      <c r="B576" s="147" t="s">
        <v>364</v>
      </c>
      <c r="C576" s="19" t="s">
        <v>40</v>
      </c>
      <c r="E576" s="34" t="s">
        <v>0</v>
      </c>
      <c r="G576" s="62" t="s">
        <v>41</v>
      </c>
      <c r="H576" s="61">
        <v>18023</v>
      </c>
      <c r="J576" s="74" t="s">
        <v>0</v>
      </c>
      <c r="L576" s="271" t="s">
        <v>41</v>
      </c>
      <c r="M576" s="74">
        <v>25132</v>
      </c>
      <c r="N576" s="67" t="s">
        <v>479</v>
      </c>
    </row>
    <row r="577" spans="2:14" ht="17" x14ac:dyDescent="0.2">
      <c r="B577" s="147" t="s">
        <v>148</v>
      </c>
      <c r="C577" s="19" t="s">
        <v>40</v>
      </c>
      <c r="E577" s="34" t="s">
        <v>0</v>
      </c>
      <c r="G577" s="62" t="s">
        <v>41</v>
      </c>
      <c r="H577" s="61">
        <v>18023</v>
      </c>
      <c r="J577" s="74" t="s">
        <v>0</v>
      </c>
      <c r="L577" s="271" t="s">
        <v>41</v>
      </c>
      <c r="M577" s="74">
        <v>25132</v>
      </c>
      <c r="N577" s="67" t="s">
        <v>479</v>
      </c>
    </row>
    <row r="578" spans="2:14" ht="17" x14ac:dyDescent="0.2">
      <c r="B578" s="147" t="s">
        <v>149</v>
      </c>
      <c r="C578" s="19" t="s">
        <v>40</v>
      </c>
      <c r="E578" s="34" t="s">
        <v>0</v>
      </c>
      <c r="G578" s="62" t="s">
        <v>41</v>
      </c>
      <c r="H578" s="61">
        <v>18023</v>
      </c>
      <c r="J578" s="74" t="s">
        <v>0</v>
      </c>
      <c r="L578" s="271" t="s">
        <v>41</v>
      </c>
      <c r="M578" s="74">
        <v>25132</v>
      </c>
      <c r="N578" s="67" t="s">
        <v>479</v>
      </c>
    </row>
    <row r="579" spans="2:14" ht="20" x14ac:dyDescent="0.2">
      <c r="B579" s="177" t="s">
        <v>51</v>
      </c>
      <c r="C579" s="19"/>
    </row>
    <row r="580" spans="2:14" ht="17" x14ac:dyDescent="0.2">
      <c r="B580" s="128" t="s">
        <v>342</v>
      </c>
    </row>
    <row r="581" spans="2:14" x14ac:dyDescent="0.2">
      <c r="B581" s="231" t="s">
        <v>229</v>
      </c>
      <c r="C581" s="232"/>
    </row>
    <row r="582" spans="2:14" ht="17" x14ac:dyDescent="0.2">
      <c r="B582" s="233" t="s">
        <v>230</v>
      </c>
      <c r="C582" s="232" t="s">
        <v>40</v>
      </c>
      <c r="E582" s="34" t="s">
        <v>0</v>
      </c>
      <c r="G582" s="62" t="s">
        <v>41</v>
      </c>
      <c r="H582" s="61">
        <v>18023</v>
      </c>
      <c r="J582" s="74" t="s">
        <v>0</v>
      </c>
      <c r="L582" s="271" t="s">
        <v>41</v>
      </c>
      <c r="M582" s="74">
        <v>25132</v>
      </c>
      <c r="N582" s="67" t="s">
        <v>479</v>
      </c>
    </row>
    <row r="583" spans="2:14" ht="17" x14ac:dyDescent="0.2">
      <c r="B583" s="233" t="s">
        <v>231</v>
      </c>
      <c r="C583" s="232" t="s">
        <v>40</v>
      </c>
      <c r="E583" s="34" t="s">
        <v>0</v>
      </c>
      <c r="G583" s="62" t="s">
        <v>41</v>
      </c>
      <c r="H583" s="61">
        <v>18023</v>
      </c>
      <c r="J583" s="74" t="s">
        <v>0</v>
      </c>
      <c r="L583" s="271" t="s">
        <v>41</v>
      </c>
      <c r="M583" s="74">
        <v>25132</v>
      </c>
      <c r="N583" s="67" t="s">
        <v>479</v>
      </c>
    </row>
    <row r="584" spans="2:14" ht="17" x14ac:dyDescent="0.2">
      <c r="B584" s="233" t="s">
        <v>232</v>
      </c>
      <c r="C584" s="232" t="s">
        <v>40</v>
      </c>
      <c r="E584" s="34" t="s">
        <v>0</v>
      </c>
      <c r="G584" s="62" t="s">
        <v>41</v>
      </c>
      <c r="H584" s="61">
        <v>18023</v>
      </c>
      <c r="J584" s="74" t="s">
        <v>0</v>
      </c>
      <c r="L584" s="271" t="s">
        <v>41</v>
      </c>
      <c r="M584" s="74">
        <v>25132</v>
      </c>
      <c r="N584" s="67" t="s">
        <v>479</v>
      </c>
    </row>
    <row r="585" spans="2:14" ht="17" x14ac:dyDescent="0.2">
      <c r="B585" s="233" t="s">
        <v>233</v>
      </c>
      <c r="C585" s="232" t="s">
        <v>40</v>
      </c>
      <c r="E585" s="34" t="s">
        <v>0</v>
      </c>
      <c r="G585" s="62" t="s">
        <v>41</v>
      </c>
      <c r="H585" s="61">
        <v>18023</v>
      </c>
      <c r="J585" s="74" t="s">
        <v>0</v>
      </c>
      <c r="L585" s="271" t="s">
        <v>41</v>
      </c>
      <c r="M585" s="74">
        <v>25132</v>
      </c>
      <c r="N585" s="67" t="s">
        <v>479</v>
      </c>
    </row>
    <row r="586" spans="2:14" ht="17" x14ac:dyDescent="0.2">
      <c r="B586" s="233" t="s">
        <v>236</v>
      </c>
      <c r="C586" s="232" t="s">
        <v>40</v>
      </c>
      <c r="E586" s="34" t="s">
        <v>0</v>
      </c>
      <c r="G586" s="62" t="s">
        <v>41</v>
      </c>
      <c r="H586" s="61">
        <v>18023</v>
      </c>
      <c r="J586" s="74" t="s">
        <v>0</v>
      </c>
      <c r="L586" s="271" t="s">
        <v>41</v>
      </c>
      <c r="M586" s="74">
        <v>25132</v>
      </c>
      <c r="N586" s="67" t="s">
        <v>479</v>
      </c>
    </row>
    <row r="587" spans="2:14" x14ac:dyDescent="0.2">
      <c r="B587" s="150" t="s">
        <v>151</v>
      </c>
      <c r="C587" s="19"/>
    </row>
    <row r="588" spans="2:14" ht="17" x14ac:dyDescent="0.2">
      <c r="B588" s="151" t="s">
        <v>152</v>
      </c>
      <c r="C588" s="19" t="s">
        <v>40</v>
      </c>
      <c r="E588" s="34" t="s">
        <v>0</v>
      </c>
      <c r="G588" s="62" t="s">
        <v>41</v>
      </c>
      <c r="H588" s="61">
        <v>18023</v>
      </c>
      <c r="J588" s="74" t="s">
        <v>0</v>
      </c>
      <c r="L588" s="271" t="s">
        <v>41</v>
      </c>
      <c r="M588" s="74">
        <v>25132</v>
      </c>
      <c r="N588" s="67" t="s">
        <v>479</v>
      </c>
    </row>
    <row r="589" spans="2:14" ht="17" x14ac:dyDescent="0.2">
      <c r="B589" s="151" t="s">
        <v>153</v>
      </c>
      <c r="C589" s="19" t="s">
        <v>40</v>
      </c>
      <c r="E589" s="34" t="s">
        <v>0</v>
      </c>
      <c r="G589" s="62" t="s">
        <v>41</v>
      </c>
      <c r="H589" s="61">
        <v>18023</v>
      </c>
      <c r="J589" s="74" t="s">
        <v>0</v>
      </c>
      <c r="L589" s="271" t="s">
        <v>41</v>
      </c>
      <c r="M589" s="74">
        <v>25132</v>
      </c>
      <c r="N589" s="67" t="s">
        <v>479</v>
      </c>
    </row>
    <row r="590" spans="2:14" ht="17" x14ac:dyDescent="0.2">
      <c r="B590" s="152" t="s">
        <v>154</v>
      </c>
      <c r="C590" s="19" t="s">
        <v>40</v>
      </c>
      <c r="E590" s="34" t="s">
        <v>0</v>
      </c>
      <c r="G590" s="62" t="s">
        <v>41</v>
      </c>
      <c r="H590" s="61">
        <v>18023</v>
      </c>
      <c r="J590" s="74" t="s">
        <v>0</v>
      </c>
      <c r="L590" s="271" t="s">
        <v>41</v>
      </c>
      <c r="M590" s="74">
        <v>25132</v>
      </c>
      <c r="N590" s="67" t="s">
        <v>479</v>
      </c>
    </row>
    <row r="591" spans="2:14" ht="17" x14ac:dyDescent="0.2">
      <c r="B591" s="143" t="s">
        <v>155</v>
      </c>
      <c r="C591" s="19" t="s">
        <v>40</v>
      </c>
      <c r="E591" s="34" t="s">
        <v>0</v>
      </c>
      <c r="G591" s="62" t="s">
        <v>41</v>
      </c>
      <c r="H591" s="61">
        <v>18023</v>
      </c>
      <c r="J591" s="74" t="s">
        <v>0</v>
      </c>
      <c r="L591" s="271" t="s">
        <v>41</v>
      </c>
      <c r="M591" s="74">
        <v>25132</v>
      </c>
      <c r="N591" s="67" t="s">
        <v>479</v>
      </c>
    </row>
    <row r="592" spans="2:14" x14ac:dyDescent="0.2">
      <c r="B592" s="153" t="s">
        <v>156</v>
      </c>
    </row>
    <row r="593" spans="2:14" x14ac:dyDescent="0.2">
      <c r="B593" s="153" t="s">
        <v>157</v>
      </c>
      <c r="C593" s="19"/>
    </row>
    <row r="594" spans="2:14" ht="17" x14ac:dyDescent="0.2">
      <c r="B594" s="154" t="s">
        <v>158</v>
      </c>
      <c r="C594" s="19" t="s">
        <v>40</v>
      </c>
      <c r="E594" s="34" t="s">
        <v>0</v>
      </c>
      <c r="G594" s="62" t="s">
        <v>41</v>
      </c>
      <c r="H594" s="61">
        <v>18023</v>
      </c>
      <c r="J594" s="74" t="s">
        <v>0</v>
      </c>
      <c r="L594" s="271" t="s">
        <v>41</v>
      </c>
      <c r="M594" s="74">
        <v>25132</v>
      </c>
      <c r="N594" s="67" t="s">
        <v>479</v>
      </c>
    </row>
    <row r="595" spans="2:14" ht="17" x14ac:dyDescent="0.2">
      <c r="B595" s="155" t="s">
        <v>159</v>
      </c>
      <c r="C595" s="19" t="s">
        <v>40</v>
      </c>
      <c r="E595" s="34" t="s">
        <v>0</v>
      </c>
      <c r="G595" s="62" t="s">
        <v>41</v>
      </c>
      <c r="H595" s="61">
        <v>18023</v>
      </c>
      <c r="J595" s="74" t="s">
        <v>0</v>
      </c>
      <c r="L595" s="271" t="s">
        <v>41</v>
      </c>
      <c r="M595" s="74">
        <v>25132</v>
      </c>
      <c r="N595" s="67" t="s">
        <v>479</v>
      </c>
    </row>
    <row r="596" spans="2:14" ht="17" x14ac:dyDescent="0.2">
      <c r="B596" s="151" t="s">
        <v>160</v>
      </c>
      <c r="C596" s="19" t="s">
        <v>40</v>
      </c>
      <c r="E596" s="34" t="s">
        <v>0</v>
      </c>
      <c r="G596" s="62" t="s">
        <v>41</v>
      </c>
      <c r="H596" s="61">
        <v>18023</v>
      </c>
      <c r="J596" s="74" t="s">
        <v>0</v>
      </c>
      <c r="L596" s="271" t="s">
        <v>41</v>
      </c>
      <c r="M596" s="74">
        <v>25132</v>
      </c>
      <c r="N596" s="67" t="s">
        <v>479</v>
      </c>
    </row>
    <row r="597" spans="2:14" x14ac:dyDescent="0.2">
      <c r="B597" s="153" t="s">
        <v>161</v>
      </c>
      <c r="C597" s="19"/>
    </row>
    <row r="598" spans="2:14" x14ac:dyDescent="0.2">
      <c r="B598" s="156" t="s">
        <v>162</v>
      </c>
      <c r="C598" s="19"/>
    </row>
    <row r="599" spans="2:14" ht="48" x14ac:dyDescent="0.2">
      <c r="B599" s="151" t="s">
        <v>163</v>
      </c>
      <c r="C599" s="19" t="s">
        <v>40</v>
      </c>
      <c r="E599" s="34" t="s">
        <v>0</v>
      </c>
      <c r="G599" s="62" t="s">
        <v>41</v>
      </c>
      <c r="H599" s="61">
        <v>18023</v>
      </c>
      <c r="J599" s="74" t="s">
        <v>0</v>
      </c>
      <c r="L599" s="271" t="s">
        <v>41</v>
      </c>
      <c r="M599" s="74">
        <v>25132</v>
      </c>
      <c r="N599" s="67" t="s">
        <v>479</v>
      </c>
    </row>
    <row r="600" spans="2:14" ht="17" x14ac:dyDescent="0.2">
      <c r="B600" s="138" t="s">
        <v>164</v>
      </c>
      <c r="C600" s="19" t="s">
        <v>40</v>
      </c>
      <c r="E600" s="34" t="s">
        <v>0</v>
      </c>
      <c r="G600" s="62" t="s">
        <v>41</v>
      </c>
      <c r="H600" s="61">
        <v>18023</v>
      </c>
      <c r="J600" s="74" t="s">
        <v>0</v>
      </c>
      <c r="L600" s="271" t="s">
        <v>41</v>
      </c>
      <c r="M600" s="74">
        <v>25132</v>
      </c>
      <c r="N600" s="67" t="s">
        <v>479</v>
      </c>
    </row>
    <row r="601" spans="2:14" x14ac:dyDescent="0.2">
      <c r="B601" s="156" t="s">
        <v>165</v>
      </c>
      <c r="C601" s="19"/>
    </row>
    <row r="602" spans="2:14" ht="48" x14ac:dyDescent="0.2">
      <c r="B602" s="151" t="s">
        <v>166</v>
      </c>
      <c r="C602" s="19" t="s">
        <v>40</v>
      </c>
      <c r="E602" s="34" t="s">
        <v>0</v>
      </c>
      <c r="G602" s="62" t="s">
        <v>41</v>
      </c>
      <c r="H602" s="61">
        <v>18023</v>
      </c>
      <c r="J602" s="74" t="s">
        <v>0</v>
      </c>
      <c r="L602" s="271" t="s">
        <v>41</v>
      </c>
      <c r="M602" s="74">
        <v>25132</v>
      </c>
      <c r="N602" s="67" t="s">
        <v>479</v>
      </c>
    </row>
    <row r="603" spans="2:14" ht="17" x14ac:dyDescent="0.2">
      <c r="B603" s="138" t="s">
        <v>167</v>
      </c>
      <c r="C603" s="19" t="s">
        <v>40</v>
      </c>
      <c r="E603" s="34" t="s">
        <v>0</v>
      </c>
      <c r="G603" s="62" t="s">
        <v>41</v>
      </c>
      <c r="H603" s="61">
        <v>18023</v>
      </c>
      <c r="J603" s="74" t="s">
        <v>0</v>
      </c>
      <c r="L603" s="271" t="s">
        <v>41</v>
      </c>
      <c r="M603" s="74">
        <v>25132</v>
      </c>
      <c r="N603" s="67" t="s">
        <v>479</v>
      </c>
    </row>
    <row r="604" spans="2:14" x14ac:dyDescent="0.2">
      <c r="B604" s="157" t="s">
        <v>168</v>
      </c>
      <c r="G604" s="62"/>
      <c r="H604" s="61"/>
    </row>
    <row r="605" spans="2:14" ht="51" x14ac:dyDescent="0.2">
      <c r="B605" s="158" t="s">
        <v>169</v>
      </c>
      <c r="C605" s="19" t="s">
        <v>40</v>
      </c>
      <c r="E605" s="34" t="s">
        <v>0</v>
      </c>
      <c r="G605" s="62" t="s">
        <v>41</v>
      </c>
      <c r="H605" s="61">
        <v>18023</v>
      </c>
      <c r="J605" s="74" t="s">
        <v>0</v>
      </c>
      <c r="L605" s="271" t="s">
        <v>41</v>
      </c>
      <c r="M605" s="74">
        <v>25132</v>
      </c>
      <c r="N605" s="67" t="s">
        <v>479</v>
      </c>
    </row>
    <row r="606" spans="2:14" ht="17" x14ac:dyDescent="0.2">
      <c r="B606" s="159" t="s">
        <v>170</v>
      </c>
      <c r="C606" s="19" t="s">
        <v>40</v>
      </c>
      <c r="E606" s="34" t="s">
        <v>0</v>
      </c>
      <c r="G606" s="62" t="s">
        <v>41</v>
      </c>
      <c r="H606" s="61">
        <v>18023</v>
      </c>
      <c r="J606" s="74" t="s">
        <v>0</v>
      </c>
      <c r="L606" s="271" t="s">
        <v>41</v>
      </c>
      <c r="M606" s="74">
        <v>25132</v>
      </c>
      <c r="N606" s="67" t="s">
        <v>479</v>
      </c>
    </row>
    <row r="607" spans="2:14" x14ac:dyDescent="0.2">
      <c r="B607" s="157" t="s">
        <v>171</v>
      </c>
      <c r="C607" s="19"/>
    </row>
    <row r="608" spans="2:14" ht="48" x14ac:dyDescent="0.2">
      <c r="B608" s="144" t="s">
        <v>172</v>
      </c>
      <c r="C608" s="19" t="s">
        <v>40</v>
      </c>
      <c r="E608" s="34" t="s">
        <v>0</v>
      </c>
      <c r="G608" s="62" t="s">
        <v>41</v>
      </c>
      <c r="H608" s="61">
        <v>18023</v>
      </c>
      <c r="J608" s="74" t="s">
        <v>0</v>
      </c>
      <c r="L608" s="271" t="s">
        <v>41</v>
      </c>
      <c r="M608" s="74">
        <v>25132</v>
      </c>
      <c r="N608" s="67" t="s">
        <v>479</v>
      </c>
    </row>
    <row r="609" spans="2:14" ht="17" x14ac:dyDescent="0.2">
      <c r="B609" s="160" t="s">
        <v>173</v>
      </c>
      <c r="C609" s="19" t="s">
        <v>40</v>
      </c>
      <c r="E609" s="34" t="s">
        <v>0</v>
      </c>
      <c r="G609" s="62" t="s">
        <v>41</v>
      </c>
      <c r="H609" s="61">
        <v>18023</v>
      </c>
      <c r="J609" s="74" t="s">
        <v>0</v>
      </c>
      <c r="L609" s="271" t="s">
        <v>41</v>
      </c>
      <c r="M609" s="74">
        <v>25132</v>
      </c>
      <c r="N609" s="67" t="s">
        <v>479</v>
      </c>
    </row>
    <row r="610" spans="2:14" ht="17" x14ac:dyDescent="0.2">
      <c r="B610" s="161" t="s">
        <v>174</v>
      </c>
    </row>
    <row r="611" spans="2:14" ht="51" x14ac:dyDescent="0.2">
      <c r="B611" s="161" t="s">
        <v>175</v>
      </c>
      <c r="C611" s="19"/>
    </row>
    <row r="612" spans="2:14" ht="17" x14ac:dyDescent="0.2">
      <c r="B612" s="131" t="s">
        <v>176</v>
      </c>
      <c r="C612" s="19" t="s">
        <v>40</v>
      </c>
      <c r="E612" s="34" t="s">
        <v>0</v>
      </c>
      <c r="G612" s="62" t="s">
        <v>41</v>
      </c>
      <c r="H612" s="61">
        <v>18023</v>
      </c>
      <c r="J612" s="74" t="s">
        <v>0</v>
      </c>
      <c r="L612" s="271" t="s">
        <v>41</v>
      </c>
      <c r="M612" s="74">
        <v>25132</v>
      </c>
      <c r="N612" s="67" t="s">
        <v>479</v>
      </c>
    </row>
    <row r="613" spans="2:14" ht="17" x14ac:dyDescent="0.2">
      <c r="B613" s="160" t="s">
        <v>177</v>
      </c>
      <c r="C613" s="19" t="s">
        <v>40</v>
      </c>
      <c r="E613" s="34" t="s">
        <v>0</v>
      </c>
      <c r="G613" s="62" t="s">
        <v>41</v>
      </c>
      <c r="H613" s="61">
        <v>18023</v>
      </c>
      <c r="J613" s="74" t="s">
        <v>0</v>
      </c>
      <c r="L613" s="271" t="s">
        <v>41</v>
      </c>
      <c r="M613" s="74">
        <v>25132</v>
      </c>
      <c r="N613" s="67" t="s">
        <v>479</v>
      </c>
    </row>
    <row r="614" spans="2:14" ht="17" x14ac:dyDescent="0.2">
      <c r="B614" s="131" t="s">
        <v>178</v>
      </c>
      <c r="C614" s="19" t="s">
        <v>40</v>
      </c>
      <c r="E614" s="34" t="s">
        <v>0</v>
      </c>
      <c r="G614" s="62" t="s">
        <v>41</v>
      </c>
      <c r="H614" s="61">
        <v>18023</v>
      </c>
      <c r="J614" s="74" t="s">
        <v>0</v>
      </c>
      <c r="L614" s="271" t="s">
        <v>41</v>
      </c>
      <c r="M614" s="74">
        <v>25132</v>
      </c>
      <c r="N614" s="67" t="s">
        <v>479</v>
      </c>
    </row>
    <row r="615" spans="2:14" ht="68" x14ac:dyDescent="0.2">
      <c r="B615" s="131" t="s">
        <v>365</v>
      </c>
      <c r="C615" s="19" t="s">
        <v>40</v>
      </c>
      <c r="E615" s="34" t="s">
        <v>0</v>
      </c>
      <c r="G615" s="62" t="s">
        <v>41</v>
      </c>
      <c r="H615" s="61">
        <v>18023</v>
      </c>
      <c r="J615" s="74" t="s">
        <v>0</v>
      </c>
      <c r="L615" s="271" t="s">
        <v>41</v>
      </c>
      <c r="M615" s="74">
        <v>25132</v>
      </c>
      <c r="N615" s="67" t="s">
        <v>479</v>
      </c>
    </row>
    <row r="616" spans="2:14" ht="17" x14ac:dyDescent="0.2">
      <c r="B616" s="131" t="s">
        <v>180</v>
      </c>
      <c r="C616" s="19" t="s">
        <v>40</v>
      </c>
      <c r="E616" s="34" t="s">
        <v>0</v>
      </c>
      <c r="G616" s="62" t="s">
        <v>41</v>
      </c>
      <c r="H616" s="61">
        <v>18023</v>
      </c>
      <c r="J616" s="74" t="s">
        <v>0</v>
      </c>
      <c r="L616" s="271" t="s">
        <v>41</v>
      </c>
      <c r="M616" s="74">
        <v>25132</v>
      </c>
      <c r="N616" s="67" t="s">
        <v>479</v>
      </c>
    </row>
    <row r="617" spans="2:14" ht="68" x14ac:dyDescent="0.2">
      <c r="B617" s="131" t="s">
        <v>181</v>
      </c>
      <c r="C617" s="19" t="s">
        <v>40</v>
      </c>
      <c r="E617" s="34" t="s">
        <v>0</v>
      </c>
      <c r="G617" s="62" t="s">
        <v>41</v>
      </c>
      <c r="H617" s="61">
        <v>18023</v>
      </c>
      <c r="J617" s="74" t="s">
        <v>0</v>
      </c>
      <c r="L617" s="271" t="s">
        <v>41</v>
      </c>
      <c r="M617" s="74">
        <v>25132</v>
      </c>
      <c r="N617" s="67" t="s">
        <v>479</v>
      </c>
    </row>
    <row r="618" spans="2:14" ht="17" x14ac:dyDescent="0.2">
      <c r="B618" s="160" t="s">
        <v>182</v>
      </c>
      <c r="C618" s="19" t="s">
        <v>40</v>
      </c>
      <c r="E618" s="34" t="s">
        <v>0</v>
      </c>
      <c r="G618" s="62" t="s">
        <v>41</v>
      </c>
      <c r="H618" s="61">
        <v>18023</v>
      </c>
      <c r="J618" s="74" t="s">
        <v>0</v>
      </c>
      <c r="L618" s="271" t="s">
        <v>41</v>
      </c>
      <c r="M618" s="74">
        <v>25132</v>
      </c>
      <c r="N618" s="67" t="s">
        <v>479</v>
      </c>
    </row>
    <row r="619" spans="2:14" ht="68" x14ac:dyDescent="0.2">
      <c r="B619" s="160" t="s">
        <v>366</v>
      </c>
      <c r="C619" s="19" t="s">
        <v>40</v>
      </c>
      <c r="E619" s="34" t="s">
        <v>0</v>
      </c>
      <c r="G619" s="62" t="s">
        <v>41</v>
      </c>
      <c r="H619" s="61">
        <v>18023</v>
      </c>
      <c r="J619" s="74" t="s">
        <v>0</v>
      </c>
      <c r="L619" s="271" t="s">
        <v>41</v>
      </c>
      <c r="M619" s="74">
        <v>25132</v>
      </c>
      <c r="N619" s="67" t="s">
        <v>479</v>
      </c>
    </row>
    <row r="620" spans="2:14" ht="17" x14ac:dyDescent="0.2">
      <c r="B620" s="162" t="s">
        <v>184</v>
      </c>
      <c r="C620" s="19" t="s">
        <v>40</v>
      </c>
      <c r="E620" s="34" t="s">
        <v>0</v>
      </c>
      <c r="G620" s="62" t="s">
        <v>41</v>
      </c>
      <c r="H620" s="61">
        <v>18023</v>
      </c>
      <c r="J620" s="74" t="s">
        <v>0</v>
      </c>
      <c r="L620" s="271" t="s">
        <v>41</v>
      </c>
      <c r="M620" s="74">
        <v>25132</v>
      </c>
      <c r="N620" s="67" t="s">
        <v>479</v>
      </c>
    </row>
    <row r="621" spans="2:14" ht="17" x14ac:dyDescent="0.2">
      <c r="B621" s="162" t="s">
        <v>185</v>
      </c>
      <c r="C621" s="19" t="s">
        <v>40</v>
      </c>
      <c r="E621" s="34" t="s">
        <v>0</v>
      </c>
      <c r="G621" s="62" t="s">
        <v>41</v>
      </c>
      <c r="H621" s="61">
        <v>18023</v>
      </c>
      <c r="J621" s="74" t="s">
        <v>0</v>
      </c>
      <c r="L621" s="271" t="s">
        <v>41</v>
      </c>
      <c r="M621" s="74">
        <v>25132</v>
      </c>
      <c r="N621" s="67" t="s">
        <v>479</v>
      </c>
    </row>
    <row r="625" spans="2:14" ht="69" x14ac:dyDescent="0.2">
      <c r="B625" s="126" t="s">
        <v>551</v>
      </c>
      <c r="C625" s="19"/>
    </row>
    <row r="626" spans="2:14" ht="17" x14ac:dyDescent="0.2">
      <c r="B626" s="127" t="s">
        <v>31</v>
      </c>
      <c r="C626" s="19"/>
    </row>
    <row r="627" spans="2:14" ht="17" x14ac:dyDescent="0.2">
      <c r="B627" s="127" t="s">
        <v>328</v>
      </c>
    </row>
    <row r="628" spans="2:14" ht="17" x14ac:dyDescent="0.2">
      <c r="B628" s="128" t="s">
        <v>33</v>
      </c>
    </row>
    <row r="629" spans="2:14" ht="17" x14ac:dyDescent="0.2">
      <c r="B629" s="127" t="s">
        <v>34</v>
      </c>
      <c r="C629" s="19"/>
    </row>
    <row r="630" spans="2:14" ht="46" x14ac:dyDescent="0.2">
      <c r="B630" s="236" t="s">
        <v>369</v>
      </c>
      <c r="C630" s="19"/>
    </row>
    <row r="631" spans="2:14" ht="17" x14ac:dyDescent="0.2">
      <c r="B631" s="127" t="s">
        <v>475</v>
      </c>
      <c r="C631" s="19"/>
    </row>
    <row r="632" spans="2:14" ht="34" x14ac:dyDescent="0.2">
      <c r="B632" s="127" t="s">
        <v>476</v>
      </c>
      <c r="C632" s="19"/>
    </row>
    <row r="633" spans="2:14" ht="17" x14ac:dyDescent="0.2">
      <c r="B633" s="129" t="s">
        <v>36</v>
      </c>
      <c r="C633" s="19"/>
    </row>
    <row r="634" spans="2:14" ht="17" x14ac:dyDescent="0.2">
      <c r="B634" s="129" t="s">
        <v>37</v>
      </c>
      <c r="C634" s="19"/>
    </row>
    <row r="635" spans="2:14" ht="17" x14ac:dyDescent="0.2">
      <c r="B635" s="128" t="s">
        <v>38</v>
      </c>
      <c r="C635" s="19"/>
    </row>
    <row r="636" spans="2:14" ht="48" x14ac:dyDescent="0.2">
      <c r="B636" s="130" t="s">
        <v>477</v>
      </c>
      <c r="C636" s="19" t="s">
        <v>40</v>
      </c>
      <c r="E636" s="34" t="s">
        <v>0</v>
      </c>
      <c r="G636" s="62" t="s">
        <v>41</v>
      </c>
      <c r="H636" s="61">
        <v>18023</v>
      </c>
      <c r="J636" s="74" t="s">
        <v>0</v>
      </c>
      <c r="L636" s="271" t="s">
        <v>41</v>
      </c>
      <c r="M636" s="74">
        <v>25132</v>
      </c>
      <c r="N636" s="67" t="s">
        <v>479</v>
      </c>
    </row>
    <row r="637" spans="2:14" ht="48" x14ac:dyDescent="0.2">
      <c r="B637" s="130" t="s">
        <v>542</v>
      </c>
      <c r="C637" s="19" t="s">
        <v>40</v>
      </c>
      <c r="E637" s="34" t="s">
        <v>0</v>
      </c>
      <c r="G637" s="62" t="s">
        <v>41</v>
      </c>
      <c r="H637" s="61">
        <v>18023</v>
      </c>
      <c r="J637" s="74" t="s">
        <v>0</v>
      </c>
      <c r="L637" s="271" t="s">
        <v>41</v>
      </c>
      <c r="M637" s="74">
        <v>25132</v>
      </c>
      <c r="N637" s="67" t="s">
        <v>479</v>
      </c>
    </row>
    <row r="638" spans="2:14" ht="17" x14ac:dyDescent="0.2">
      <c r="B638" s="128" t="s">
        <v>44</v>
      </c>
      <c r="C638" s="19"/>
    </row>
    <row r="639" spans="2:14" ht="17" x14ac:dyDescent="0.2">
      <c r="B639" s="130" t="s">
        <v>543</v>
      </c>
      <c r="C639" s="19" t="s">
        <v>40</v>
      </c>
      <c r="E639" s="34" t="s">
        <v>0</v>
      </c>
      <c r="G639" s="62" t="s">
        <v>41</v>
      </c>
      <c r="H639" s="61">
        <v>18023</v>
      </c>
      <c r="J639" s="74" t="s">
        <v>0</v>
      </c>
      <c r="L639" s="271" t="s">
        <v>41</v>
      </c>
      <c r="M639" s="74">
        <v>25132</v>
      </c>
      <c r="N639" s="67" t="s">
        <v>479</v>
      </c>
    </row>
    <row r="640" spans="2:14" ht="17" x14ac:dyDescent="0.2">
      <c r="B640" s="128" t="s">
        <v>47</v>
      </c>
    </row>
    <row r="641" spans="2:14" ht="17" x14ac:dyDescent="0.2">
      <c r="B641" s="131" t="s">
        <v>481</v>
      </c>
      <c r="C641" s="19" t="s">
        <v>40</v>
      </c>
      <c r="E641" s="34" t="s">
        <v>0</v>
      </c>
      <c r="G641" s="62" t="s">
        <v>41</v>
      </c>
      <c r="H641" s="61">
        <v>18023</v>
      </c>
      <c r="J641" s="74" t="s">
        <v>0</v>
      </c>
      <c r="L641" s="271" t="s">
        <v>41</v>
      </c>
      <c r="M641" s="74">
        <v>25132</v>
      </c>
      <c r="N641" s="67" t="s">
        <v>479</v>
      </c>
    </row>
    <row r="642" spans="2:14" ht="17" x14ac:dyDescent="0.2">
      <c r="B642" s="131" t="s">
        <v>49</v>
      </c>
      <c r="C642" s="19" t="s">
        <v>40</v>
      </c>
      <c r="E642" s="34" t="s">
        <v>0</v>
      </c>
      <c r="G642" s="62" t="s">
        <v>41</v>
      </c>
      <c r="H642" s="61">
        <v>18023</v>
      </c>
      <c r="J642" s="74" t="s">
        <v>0</v>
      </c>
      <c r="L642" s="271" t="s">
        <v>41</v>
      </c>
      <c r="M642" s="74">
        <v>25132</v>
      </c>
      <c r="N642" s="67" t="s">
        <v>479</v>
      </c>
    </row>
    <row r="643" spans="2:14" ht="17" x14ac:dyDescent="0.2">
      <c r="B643" s="128" t="s">
        <v>482</v>
      </c>
    </row>
    <row r="644" spans="2:14" ht="17" x14ac:dyDescent="0.2">
      <c r="B644" s="165" t="s">
        <v>66</v>
      </c>
      <c r="C644" s="19" t="s">
        <v>40</v>
      </c>
      <c r="E644" s="34" t="s">
        <v>0</v>
      </c>
      <c r="G644" s="62" t="s">
        <v>41</v>
      </c>
      <c r="H644" s="61">
        <v>18023</v>
      </c>
      <c r="J644" s="74" t="s">
        <v>0</v>
      </c>
      <c r="L644" s="271" t="s">
        <v>41</v>
      </c>
      <c r="M644" s="74">
        <v>25132</v>
      </c>
      <c r="N644" s="67" t="s">
        <v>479</v>
      </c>
    </row>
    <row r="645" spans="2:14" ht="17" x14ac:dyDescent="0.2">
      <c r="B645" s="138" t="s">
        <v>67</v>
      </c>
      <c r="C645" s="19" t="s">
        <v>40</v>
      </c>
      <c r="E645" s="34" t="s">
        <v>0</v>
      </c>
      <c r="G645" s="62" t="s">
        <v>41</v>
      </c>
      <c r="H645" s="61">
        <v>18023</v>
      </c>
      <c r="J645" s="74" t="s">
        <v>0</v>
      </c>
      <c r="L645" s="271" t="s">
        <v>41</v>
      </c>
      <c r="M645" s="74">
        <v>25132</v>
      </c>
      <c r="N645" s="67" t="s">
        <v>479</v>
      </c>
    </row>
    <row r="646" spans="2:14" ht="17" x14ac:dyDescent="0.2">
      <c r="B646" s="138" t="s">
        <v>552</v>
      </c>
      <c r="C646" s="19" t="s">
        <v>40</v>
      </c>
      <c r="E646" s="34" t="s">
        <v>0</v>
      </c>
      <c r="G646" s="62" t="s">
        <v>41</v>
      </c>
      <c r="H646" s="61">
        <v>18023</v>
      </c>
      <c r="J646" s="74" t="s">
        <v>0</v>
      </c>
      <c r="L646" s="271" t="s">
        <v>41</v>
      </c>
      <c r="M646" s="74">
        <v>25132</v>
      </c>
      <c r="N646" s="67" t="s">
        <v>479</v>
      </c>
    </row>
    <row r="647" spans="2:14" ht="17" x14ac:dyDescent="0.2">
      <c r="B647" s="138" t="s">
        <v>69</v>
      </c>
      <c r="C647" s="19" t="s">
        <v>40</v>
      </c>
      <c r="E647" s="34" t="s">
        <v>0</v>
      </c>
      <c r="G647" s="62" t="s">
        <v>41</v>
      </c>
      <c r="H647" s="61">
        <v>18023</v>
      </c>
      <c r="J647" s="74" t="s">
        <v>0</v>
      </c>
      <c r="L647" s="271" t="s">
        <v>41</v>
      </c>
      <c r="M647" s="74">
        <v>25132</v>
      </c>
      <c r="N647" s="67" t="s">
        <v>479</v>
      </c>
    </row>
    <row r="648" spans="2:14" ht="17" x14ac:dyDescent="0.2">
      <c r="B648" s="138" t="s">
        <v>70</v>
      </c>
      <c r="C648" s="19" t="s">
        <v>40</v>
      </c>
      <c r="E648" s="34" t="s">
        <v>0</v>
      </c>
      <c r="G648" s="62" t="s">
        <v>41</v>
      </c>
      <c r="H648" s="61">
        <v>18023</v>
      </c>
      <c r="J648" s="74" t="s">
        <v>0</v>
      </c>
      <c r="L648" s="271" t="s">
        <v>41</v>
      </c>
      <c r="M648" s="74">
        <v>25132</v>
      </c>
      <c r="N648" s="67" t="s">
        <v>479</v>
      </c>
    </row>
    <row r="649" spans="2:14" ht="17" x14ac:dyDescent="0.2">
      <c r="B649" s="138" t="s">
        <v>316</v>
      </c>
      <c r="C649" s="19" t="s">
        <v>40</v>
      </c>
      <c r="E649" s="34" t="s">
        <v>0</v>
      </c>
      <c r="G649" s="62" t="s">
        <v>41</v>
      </c>
      <c r="H649" s="61">
        <v>18023</v>
      </c>
      <c r="J649" s="74" t="s">
        <v>0</v>
      </c>
      <c r="L649" s="271" t="s">
        <v>41</v>
      </c>
      <c r="M649" s="74">
        <v>25132</v>
      </c>
      <c r="N649" s="67" t="s">
        <v>479</v>
      </c>
    </row>
    <row r="650" spans="2:14" ht="17" x14ac:dyDescent="0.2">
      <c r="B650" s="139" t="s">
        <v>72</v>
      </c>
      <c r="C650" s="19" t="s">
        <v>40</v>
      </c>
      <c r="E650" s="34" t="s">
        <v>0</v>
      </c>
      <c r="G650" s="62" t="s">
        <v>41</v>
      </c>
      <c r="H650" s="61">
        <v>18023</v>
      </c>
      <c r="J650" s="74" t="s">
        <v>0</v>
      </c>
      <c r="L650" s="271" t="s">
        <v>41</v>
      </c>
      <c r="M650" s="74">
        <v>25132</v>
      </c>
      <c r="N650" s="67" t="s">
        <v>479</v>
      </c>
    </row>
    <row r="651" spans="2:14" ht="17" x14ac:dyDescent="0.2">
      <c r="B651" s="166" t="s">
        <v>483</v>
      </c>
      <c r="C651" s="19" t="s">
        <v>40</v>
      </c>
      <c r="E651" s="34" t="s">
        <v>0</v>
      </c>
      <c r="G651" s="62" t="s">
        <v>41</v>
      </c>
      <c r="H651" s="61">
        <v>18023</v>
      </c>
      <c r="J651" s="74" t="s">
        <v>0</v>
      </c>
      <c r="L651" s="271" t="s">
        <v>41</v>
      </c>
      <c r="M651" s="74">
        <v>25132</v>
      </c>
      <c r="N651" s="67" t="s">
        <v>479</v>
      </c>
    </row>
    <row r="652" spans="2:14" ht="17" x14ac:dyDescent="0.2">
      <c r="B652" s="138" t="s">
        <v>484</v>
      </c>
      <c r="C652" s="19" t="s">
        <v>40</v>
      </c>
      <c r="E652" s="34" t="s">
        <v>0</v>
      </c>
      <c r="G652" s="62" t="s">
        <v>41</v>
      </c>
      <c r="H652" s="61">
        <v>18023</v>
      </c>
      <c r="J652" s="74" t="s">
        <v>0</v>
      </c>
      <c r="L652" s="271" t="s">
        <v>41</v>
      </c>
      <c r="M652" s="74">
        <v>25132</v>
      </c>
      <c r="N652" s="67" t="s">
        <v>479</v>
      </c>
    </row>
    <row r="653" spans="2:14" ht="17" x14ac:dyDescent="0.2">
      <c r="B653" s="139" t="s">
        <v>485</v>
      </c>
      <c r="C653" s="19" t="s">
        <v>40</v>
      </c>
      <c r="E653" s="34" t="s">
        <v>0</v>
      </c>
      <c r="G653" s="62" t="s">
        <v>41</v>
      </c>
      <c r="H653" s="61">
        <v>18023</v>
      </c>
      <c r="J653" s="74" t="s">
        <v>0</v>
      </c>
      <c r="L653" s="271" t="s">
        <v>41</v>
      </c>
      <c r="M653" s="74">
        <v>25132</v>
      </c>
      <c r="N653" s="67" t="s">
        <v>479</v>
      </c>
    </row>
    <row r="654" spans="2:14" ht="17" x14ac:dyDescent="0.2">
      <c r="B654" s="242" t="s">
        <v>486</v>
      </c>
      <c r="C654" s="19"/>
    </row>
    <row r="655" spans="2:14" ht="17" x14ac:dyDescent="0.2">
      <c r="B655" s="139" t="s">
        <v>553</v>
      </c>
      <c r="C655" s="19" t="s">
        <v>40</v>
      </c>
      <c r="J655" s="74" t="s">
        <v>0</v>
      </c>
      <c r="L655" s="271" t="s">
        <v>41</v>
      </c>
      <c r="M655" s="74">
        <v>25132</v>
      </c>
      <c r="N655" s="67" t="s">
        <v>479</v>
      </c>
    </row>
    <row r="656" spans="2:14" ht="17" x14ac:dyDescent="0.2">
      <c r="B656" s="139" t="s">
        <v>488</v>
      </c>
      <c r="C656" s="19" t="s">
        <v>40</v>
      </c>
      <c r="J656" s="74" t="s">
        <v>0</v>
      </c>
      <c r="L656" s="271" t="s">
        <v>41</v>
      </c>
      <c r="M656" s="74">
        <v>25132</v>
      </c>
      <c r="N656" s="67" t="s">
        <v>479</v>
      </c>
    </row>
    <row r="657" spans="2:14" ht="17" x14ac:dyDescent="0.2">
      <c r="B657" s="139" t="s">
        <v>489</v>
      </c>
      <c r="C657" s="19" t="s">
        <v>40</v>
      </c>
      <c r="J657" s="74" t="s">
        <v>0</v>
      </c>
      <c r="L657" s="271" t="s">
        <v>41</v>
      </c>
      <c r="M657" s="74">
        <v>25132</v>
      </c>
      <c r="N657" s="67" t="s">
        <v>479</v>
      </c>
    </row>
    <row r="658" spans="2:14" ht="17" x14ac:dyDescent="0.2">
      <c r="B658" s="139" t="s">
        <v>490</v>
      </c>
      <c r="C658" s="19" t="s">
        <v>40</v>
      </c>
      <c r="J658" s="74" t="s">
        <v>0</v>
      </c>
      <c r="L658" s="271" t="s">
        <v>41</v>
      </c>
      <c r="M658" s="74">
        <v>25132</v>
      </c>
      <c r="N658" s="67" t="s">
        <v>479</v>
      </c>
    </row>
    <row r="659" spans="2:14" ht="17" x14ac:dyDescent="0.2">
      <c r="B659" s="147" t="s">
        <v>134</v>
      </c>
      <c r="C659" s="19" t="s">
        <v>40</v>
      </c>
      <c r="E659" s="34" t="s">
        <v>0</v>
      </c>
      <c r="G659" s="62" t="s">
        <v>41</v>
      </c>
      <c r="H659" s="61">
        <v>18023</v>
      </c>
      <c r="J659" s="74" t="s">
        <v>0</v>
      </c>
      <c r="L659" s="271" t="s">
        <v>41</v>
      </c>
      <c r="M659" s="74">
        <v>25132</v>
      </c>
      <c r="N659" s="67" t="s">
        <v>479</v>
      </c>
    </row>
    <row r="660" spans="2:14" ht="17" x14ac:dyDescent="0.2">
      <c r="B660" s="139" t="s">
        <v>544</v>
      </c>
      <c r="C660" s="19" t="s">
        <v>40</v>
      </c>
      <c r="E660" s="34" t="s">
        <v>0</v>
      </c>
      <c r="G660" s="62" t="s">
        <v>41</v>
      </c>
      <c r="H660" s="61">
        <v>18023</v>
      </c>
      <c r="J660" s="74" t="s">
        <v>0</v>
      </c>
      <c r="L660" s="271" t="s">
        <v>41</v>
      </c>
      <c r="M660" s="74">
        <v>25132</v>
      </c>
      <c r="N660" s="67" t="s">
        <v>479</v>
      </c>
    </row>
    <row r="661" spans="2:14" ht="17" x14ac:dyDescent="0.2">
      <c r="B661" s="139" t="s">
        <v>492</v>
      </c>
      <c r="C661" s="19" t="s">
        <v>40</v>
      </c>
      <c r="E661" s="34" t="s">
        <v>0</v>
      </c>
      <c r="G661" s="62" t="s">
        <v>41</v>
      </c>
      <c r="H661" s="61">
        <v>18023</v>
      </c>
      <c r="J661" s="74" t="s">
        <v>0</v>
      </c>
      <c r="L661" s="271" t="s">
        <v>41</v>
      </c>
      <c r="M661" s="74">
        <v>25132</v>
      </c>
      <c r="N661" s="67" t="s">
        <v>479</v>
      </c>
    </row>
    <row r="662" spans="2:14" ht="17" x14ac:dyDescent="0.2">
      <c r="B662" s="139" t="s">
        <v>493</v>
      </c>
      <c r="C662" s="19" t="s">
        <v>40</v>
      </c>
      <c r="E662" s="34" t="s">
        <v>0</v>
      </c>
      <c r="G662" s="62" t="s">
        <v>41</v>
      </c>
      <c r="H662" s="61">
        <v>18023</v>
      </c>
      <c r="J662" s="74" t="s">
        <v>0</v>
      </c>
      <c r="L662" s="271" t="s">
        <v>41</v>
      </c>
      <c r="M662" s="74">
        <v>25132</v>
      </c>
      <c r="N662" s="67" t="s">
        <v>479</v>
      </c>
    </row>
    <row r="663" spans="2:14" ht="17" x14ac:dyDescent="0.2">
      <c r="B663" s="138" t="s">
        <v>237</v>
      </c>
      <c r="C663" s="19" t="s">
        <v>40</v>
      </c>
      <c r="E663" s="34" t="s">
        <v>0</v>
      </c>
      <c r="G663" s="62" t="s">
        <v>41</v>
      </c>
      <c r="H663" s="61">
        <v>18023</v>
      </c>
      <c r="J663" s="74" t="s">
        <v>0</v>
      </c>
      <c r="L663" s="271" t="s">
        <v>41</v>
      </c>
      <c r="M663" s="74">
        <v>25132</v>
      </c>
      <c r="N663" s="67" t="s">
        <v>479</v>
      </c>
    </row>
    <row r="664" spans="2:14" ht="17" x14ac:dyDescent="0.2">
      <c r="B664" s="166" t="s">
        <v>79</v>
      </c>
      <c r="C664" s="19" t="s">
        <v>40</v>
      </c>
      <c r="E664" s="34" t="s">
        <v>0</v>
      </c>
      <c r="G664" s="62" t="s">
        <v>41</v>
      </c>
      <c r="H664" s="61">
        <v>18023</v>
      </c>
      <c r="J664" s="74" t="s">
        <v>0</v>
      </c>
      <c r="L664" s="271" t="s">
        <v>41</v>
      </c>
      <c r="M664" s="74">
        <v>25132</v>
      </c>
      <c r="N664" s="67" t="s">
        <v>479</v>
      </c>
    </row>
    <row r="665" spans="2:14" ht="17" x14ac:dyDescent="0.2">
      <c r="B665" s="138" t="s">
        <v>80</v>
      </c>
      <c r="C665" s="19" t="s">
        <v>40</v>
      </c>
      <c r="E665" s="34" t="s">
        <v>0</v>
      </c>
      <c r="G665" s="62" t="s">
        <v>41</v>
      </c>
      <c r="H665" s="61">
        <v>18023</v>
      </c>
      <c r="J665" s="74" t="s">
        <v>0</v>
      </c>
      <c r="L665" s="271" t="s">
        <v>41</v>
      </c>
      <c r="M665" s="74">
        <v>25132</v>
      </c>
      <c r="N665" s="67" t="s">
        <v>479</v>
      </c>
    </row>
    <row r="666" spans="2:14" ht="17" x14ac:dyDescent="0.2">
      <c r="B666" s="138" t="s">
        <v>81</v>
      </c>
      <c r="C666" s="19" t="s">
        <v>40</v>
      </c>
      <c r="E666" s="34" t="s">
        <v>0</v>
      </c>
      <c r="G666" s="62" t="s">
        <v>41</v>
      </c>
      <c r="H666" s="61">
        <v>18023</v>
      </c>
      <c r="J666" s="74" t="s">
        <v>0</v>
      </c>
      <c r="L666" s="271" t="s">
        <v>41</v>
      </c>
      <c r="M666" s="74">
        <v>25132</v>
      </c>
      <c r="N666" s="67" t="s">
        <v>479</v>
      </c>
    </row>
    <row r="667" spans="2:14" ht="17" x14ac:dyDescent="0.2">
      <c r="B667" s="166" t="s">
        <v>554</v>
      </c>
      <c r="C667" s="19" t="s">
        <v>40</v>
      </c>
      <c r="E667" s="34" t="s">
        <v>0</v>
      </c>
      <c r="G667" s="62" t="s">
        <v>41</v>
      </c>
      <c r="H667" s="61">
        <v>18023</v>
      </c>
      <c r="J667" s="74" t="s">
        <v>0</v>
      </c>
      <c r="L667" s="271" t="s">
        <v>41</v>
      </c>
      <c r="M667" s="74">
        <v>25132</v>
      </c>
      <c r="N667" s="67" t="s">
        <v>479</v>
      </c>
    </row>
    <row r="668" spans="2:14" ht="17" x14ac:dyDescent="0.2">
      <c r="B668" s="138" t="s">
        <v>494</v>
      </c>
      <c r="C668" s="19" t="s">
        <v>40</v>
      </c>
      <c r="E668" s="34" t="s">
        <v>0</v>
      </c>
      <c r="G668" s="62" t="s">
        <v>41</v>
      </c>
      <c r="H668" s="61">
        <v>18023</v>
      </c>
      <c r="J668" s="74" t="s">
        <v>0</v>
      </c>
      <c r="L668" s="271" t="s">
        <v>41</v>
      </c>
      <c r="M668" s="74">
        <v>25132</v>
      </c>
      <c r="N668" s="67" t="s">
        <v>479</v>
      </c>
    </row>
    <row r="669" spans="2:14" ht="17" x14ac:dyDescent="0.2">
      <c r="B669" s="138" t="s">
        <v>495</v>
      </c>
      <c r="C669" s="19" t="s">
        <v>40</v>
      </c>
      <c r="E669" s="34" t="s">
        <v>0</v>
      </c>
      <c r="G669" s="62" t="s">
        <v>41</v>
      </c>
      <c r="H669" s="61">
        <v>18023</v>
      </c>
      <c r="J669" s="74" t="s">
        <v>0</v>
      </c>
      <c r="L669" s="271" t="s">
        <v>41</v>
      </c>
      <c r="M669" s="74">
        <v>25132</v>
      </c>
      <c r="N669" s="67" t="s">
        <v>479</v>
      </c>
    </row>
    <row r="670" spans="2:14" ht="17" x14ac:dyDescent="0.2">
      <c r="B670" s="242" t="s">
        <v>496</v>
      </c>
      <c r="C670" s="19"/>
    </row>
    <row r="671" spans="2:14" ht="17" x14ac:dyDescent="0.2">
      <c r="B671" s="147" t="s">
        <v>134</v>
      </c>
      <c r="C671" s="19" t="s">
        <v>40</v>
      </c>
      <c r="E671" s="34" t="s">
        <v>0</v>
      </c>
      <c r="G671" s="62" t="s">
        <v>41</v>
      </c>
      <c r="H671" s="61">
        <v>18023</v>
      </c>
      <c r="J671" s="74" t="s">
        <v>0</v>
      </c>
      <c r="L671" s="271" t="s">
        <v>41</v>
      </c>
      <c r="M671" s="74">
        <v>25132</v>
      </c>
      <c r="N671" s="67" t="s">
        <v>479</v>
      </c>
    </row>
    <row r="672" spans="2:14" ht="17" x14ac:dyDescent="0.2">
      <c r="B672" s="139" t="s">
        <v>497</v>
      </c>
      <c r="C672" s="19" t="s">
        <v>40</v>
      </c>
      <c r="E672" s="34" t="s">
        <v>0</v>
      </c>
      <c r="G672" s="62" t="s">
        <v>41</v>
      </c>
      <c r="H672" s="61">
        <v>18023</v>
      </c>
      <c r="J672" s="74" t="s">
        <v>0</v>
      </c>
      <c r="L672" s="271" t="s">
        <v>41</v>
      </c>
      <c r="M672" s="74">
        <v>25132</v>
      </c>
      <c r="N672" s="67" t="s">
        <v>479</v>
      </c>
    </row>
    <row r="673" spans="2:14" ht="34" x14ac:dyDescent="0.2">
      <c r="B673" s="138" t="s">
        <v>520</v>
      </c>
      <c r="C673" s="19" t="s">
        <v>40</v>
      </c>
      <c r="E673" s="34" t="s">
        <v>0</v>
      </c>
      <c r="G673" s="62" t="s">
        <v>41</v>
      </c>
      <c r="H673" s="61">
        <v>18023</v>
      </c>
      <c r="J673" s="74" t="s">
        <v>0</v>
      </c>
      <c r="L673" s="271" t="s">
        <v>41</v>
      </c>
      <c r="M673" s="74">
        <v>25132</v>
      </c>
      <c r="N673" s="67" t="s">
        <v>479</v>
      </c>
    </row>
    <row r="674" spans="2:14" ht="17" x14ac:dyDescent="0.2">
      <c r="B674" s="167" t="s">
        <v>499</v>
      </c>
      <c r="C674" s="19" t="s">
        <v>40</v>
      </c>
      <c r="E674" s="34" t="s">
        <v>0</v>
      </c>
      <c r="G674" s="62" t="s">
        <v>41</v>
      </c>
      <c r="H674" s="61">
        <v>18023</v>
      </c>
      <c r="J674" s="74" t="s">
        <v>0</v>
      </c>
      <c r="L674" s="271" t="s">
        <v>41</v>
      </c>
      <c r="M674" s="74">
        <v>25132</v>
      </c>
      <c r="N674" s="67" t="s">
        <v>479</v>
      </c>
    </row>
    <row r="675" spans="2:14" x14ac:dyDescent="0.2">
      <c r="B675" s="140" t="s">
        <v>86</v>
      </c>
    </row>
    <row r="676" spans="2:14" x14ac:dyDescent="0.2">
      <c r="B676" s="140" t="s">
        <v>500</v>
      </c>
    </row>
    <row r="677" spans="2:14" ht="17" x14ac:dyDescent="0.2">
      <c r="B677" s="141" t="s">
        <v>87</v>
      </c>
      <c r="C677" s="19" t="s">
        <v>40</v>
      </c>
      <c r="E677" s="34" t="s">
        <v>0</v>
      </c>
      <c r="G677" s="62" t="s">
        <v>41</v>
      </c>
      <c r="H677" s="61">
        <v>18023</v>
      </c>
      <c r="J677" s="74" t="s">
        <v>0</v>
      </c>
      <c r="L677" s="271" t="s">
        <v>41</v>
      </c>
      <c r="M677" s="74">
        <v>25132</v>
      </c>
      <c r="N677" s="67" t="s">
        <v>479</v>
      </c>
    </row>
    <row r="678" spans="2:14" ht="32" x14ac:dyDescent="0.2">
      <c r="B678" s="142" t="s">
        <v>102</v>
      </c>
      <c r="C678" s="19" t="s">
        <v>40</v>
      </c>
      <c r="E678" s="34" t="s">
        <v>0</v>
      </c>
      <c r="G678" s="62" t="s">
        <v>41</v>
      </c>
      <c r="H678" s="61">
        <v>18023</v>
      </c>
      <c r="J678" s="74" t="s">
        <v>0</v>
      </c>
      <c r="L678" s="271" t="s">
        <v>41</v>
      </c>
      <c r="M678" s="74">
        <v>25132</v>
      </c>
      <c r="N678" s="67" t="s">
        <v>479</v>
      </c>
    </row>
    <row r="679" spans="2:14" ht="48" x14ac:dyDescent="0.2">
      <c r="B679" s="143" t="s">
        <v>108</v>
      </c>
      <c r="C679" s="19" t="s">
        <v>40</v>
      </c>
      <c r="E679" s="34" t="s">
        <v>0</v>
      </c>
      <c r="G679" s="62" t="s">
        <v>41</v>
      </c>
      <c r="H679" s="61">
        <v>18023</v>
      </c>
      <c r="J679" s="74" t="s">
        <v>0</v>
      </c>
      <c r="L679" s="271" t="s">
        <v>41</v>
      </c>
      <c r="M679" s="74">
        <v>25132</v>
      </c>
      <c r="N679" s="67" t="s">
        <v>479</v>
      </c>
    </row>
    <row r="680" spans="2:14" ht="17" x14ac:dyDescent="0.2">
      <c r="B680" s="144" t="s">
        <v>96</v>
      </c>
      <c r="C680" s="19" t="s">
        <v>40</v>
      </c>
      <c r="E680" s="34" t="s">
        <v>0</v>
      </c>
      <c r="G680" s="62" t="s">
        <v>41</v>
      </c>
      <c r="H680" s="61">
        <v>18023</v>
      </c>
      <c r="J680" s="74" t="s">
        <v>0</v>
      </c>
      <c r="L680" s="271" t="s">
        <v>41</v>
      </c>
      <c r="M680" s="74">
        <v>25132</v>
      </c>
      <c r="N680" s="67" t="s">
        <v>479</v>
      </c>
    </row>
    <row r="681" spans="2:14" ht="32" x14ac:dyDescent="0.2">
      <c r="B681" s="143" t="s">
        <v>109</v>
      </c>
      <c r="C681" s="19" t="s">
        <v>40</v>
      </c>
      <c r="E681" s="34" t="s">
        <v>0</v>
      </c>
      <c r="G681" s="62" t="s">
        <v>41</v>
      </c>
      <c r="H681" s="61">
        <v>18023</v>
      </c>
      <c r="J681" s="74" t="s">
        <v>0</v>
      </c>
      <c r="L681" s="271" t="s">
        <v>41</v>
      </c>
      <c r="M681" s="74">
        <v>25132</v>
      </c>
      <c r="N681" s="67" t="s">
        <v>479</v>
      </c>
    </row>
    <row r="682" spans="2:14" ht="32" x14ac:dyDescent="0.2">
      <c r="B682" s="142" t="s">
        <v>110</v>
      </c>
      <c r="C682" s="19" t="s">
        <v>40</v>
      </c>
      <c r="E682" s="34" t="s">
        <v>0</v>
      </c>
      <c r="G682" s="62" t="s">
        <v>41</v>
      </c>
      <c r="H682" s="61">
        <v>18023</v>
      </c>
      <c r="J682" s="74" t="s">
        <v>0</v>
      </c>
      <c r="L682" s="271" t="s">
        <v>41</v>
      </c>
      <c r="M682" s="74">
        <v>25132</v>
      </c>
      <c r="N682" s="67" t="s">
        <v>479</v>
      </c>
    </row>
    <row r="683" spans="2:14" ht="17" x14ac:dyDescent="0.2">
      <c r="B683" s="144" t="s">
        <v>99</v>
      </c>
      <c r="C683" s="19" t="s">
        <v>40</v>
      </c>
      <c r="E683" s="34" t="s">
        <v>0</v>
      </c>
      <c r="G683" s="62" t="s">
        <v>41</v>
      </c>
      <c r="H683" s="61">
        <v>18023</v>
      </c>
      <c r="J683" s="74" t="s">
        <v>0</v>
      </c>
      <c r="L683" s="271" t="s">
        <v>41</v>
      </c>
      <c r="M683" s="74">
        <v>25132</v>
      </c>
      <c r="N683" s="67" t="s">
        <v>479</v>
      </c>
    </row>
    <row r="684" spans="2:14" ht="17" x14ac:dyDescent="0.2">
      <c r="B684" s="143" t="s">
        <v>111</v>
      </c>
      <c r="C684" s="19" t="s">
        <v>40</v>
      </c>
      <c r="E684" s="34" t="s">
        <v>0</v>
      </c>
      <c r="G684" s="62" t="s">
        <v>41</v>
      </c>
      <c r="H684" s="61">
        <v>18023</v>
      </c>
      <c r="J684" s="74" t="s">
        <v>0</v>
      </c>
      <c r="L684" s="271" t="s">
        <v>41</v>
      </c>
      <c r="M684" s="74">
        <v>25132</v>
      </c>
      <c r="N684" s="67" t="s">
        <v>479</v>
      </c>
    </row>
    <row r="685" spans="2:14" x14ac:dyDescent="0.2">
      <c r="B685" s="140" t="s">
        <v>101</v>
      </c>
    </row>
    <row r="686" spans="2:14" ht="17" x14ac:dyDescent="0.2">
      <c r="B686" s="141" t="s">
        <v>87</v>
      </c>
      <c r="C686" s="19" t="s">
        <v>40</v>
      </c>
      <c r="E686" s="34" t="s">
        <v>0</v>
      </c>
      <c r="G686" s="62" t="s">
        <v>41</v>
      </c>
      <c r="H686" s="61">
        <v>18023</v>
      </c>
      <c r="J686" s="74" t="s">
        <v>0</v>
      </c>
      <c r="L686" s="271" t="s">
        <v>41</v>
      </c>
      <c r="M686" s="74">
        <v>25132</v>
      </c>
      <c r="N686" s="67" t="s">
        <v>479</v>
      </c>
    </row>
    <row r="687" spans="2:14" ht="32" x14ac:dyDescent="0.2">
      <c r="B687" s="142" t="s">
        <v>102</v>
      </c>
      <c r="C687" s="19" t="s">
        <v>40</v>
      </c>
      <c r="E687" s="34" t="s">
        <v>0</v>
      </c>
      <c r="G687" s="62" t="s">
        <v>41</v>
      </c>
      <c r="H687" s="61">
        <v>18023</v>
      </c>
      <c r="J687" s="74" t="s">
        <v>0</v>
      </c>
      <c r="L687" s="271" t="s">
        <v>41</v>
      </c>
      <c r="M687" s="74">
        <v>25132</v>
      </c>
      <c r="N687" s="67" t="s">
        <v>479</v>
      </c>
    </row>
    <row r="688" spans="2:14" ht="48" x14ac:dyDescent="0.2">
      <c r="B688" s="143" t="s">
        <v>113</v>
      </c>
      <c r="C688" s="19" t="s">
        <v>40</v>
      </c>
      <c r="E688" s="34" t="s">
        <v>0</v>
      </c>
      <c r="G688" s="62" t="s">
        <v>41</v>
      </c>
      <c r="H688" s="61">
        <v>18023</v>
      </c>
      <c r="J688" s="74" t="s">
        <v>0</v>
      </c>
      <c r="L688" s="271" t="s">
        <v>41</v>
      </c>
      <c r="M688" s="74">
        <v>25132</v>
      </c>
      <c r="N688" s="67" t="s">
        <v>479</v>
      </c>
    </row>
    <row r="689" spans="2:14" ht="17" x14ac:dyDescent="0.2">
      <c r="B689" s="144" t="s">
        <v>96</v>
      </c>
      <c r="C689" s="19" t="s">
        <v>40</v>
      </c>
      <c r="E689" s="34" t="s">
        <v>0</v>
      </c>
      <c r="G689" s="62" t="s">
        <v>41</v>
      </c>
      <c r="H689" s="61">
        <v>18023</v>
      </c>
      <c r="J689" s="74" t="s">
        <v>0</v>
      </c>
      <c r="L689" s="271" t="s">
        <v>41</v>
      </c>
      <c r="M689" s="74">
        <v>25132</v>
      </c>
      <c r="N689" s="67" t="s">
        <v>479</v>
      </c>
    </row>
    <row r="690" spans="2:14" ht="32" x14ac:dyDescent="0.2">
      <c r="B690" s="143" t="s">
        <v>97</v>
      </c>
      <c r="C690" s="19" t="s">
        <v>40</v>
      </c>
      <c r="E690" s="34" t="s">
        <v>0</v>
      </c>
      <c r="G690" s="62" t="s">
        <v>41</v>
      </c>
      <c r="H690" s="61">
        <v>18023</v>
      </c>
      <c r="J690" s="74" t="s">
        <v>0</v>
      </c>
      <c r="L690" s="271" t="s">
        <v>41</v>
      </c>
      <c r="M690" s="74">
        <v>25132</v>
      </c>
      <c r="N690" s="67" t="s">
        <v>479</v>
      </c>
    </row>
    <row r="691" spans="2:14" ht="32" x14ac:dyDescent="0.2">
      <c r="B691" s="142" t="s">
        <v>114</v>
      </c>
      <c r="C691" s="19" t="s">
        <v>40</v>
      </c>
      <c r="E691" s="34" t="s">
        <v>0</v>
      </c>
      <c r="G691" s="62" t="s">
        <v>41</v>
      </c>
      <c r="H691" s="61">
        <v>18023</v>
      </c>
      <c r="J691" s="74" t="s">
        <v>0</v>
      </c>
      <c r="L691" s="271" t="s">
        <v>41</v>
      </c>
      <c r="M691" s="74">
        <v>25132</v>
      </c>
      <c r="N691" s="67" t="s">
        <v>479</v>
      </c>
    </row>
    <row r="692" spans="2:14" ht="17" x14ac:dyDescent="0.2">
      <c r="B692" s="144" t="s">
        <v>99</v>
      </c>
      <c r="C692" s="19" t="s">
        <v>40</v>
      </c>
      <c r="E692" s="34" t="s">
        <v>0</v>
      </c>
      <c r="G692" s="62" t="s">
        <v>41</v>
      </c>
      <c r="H692" s="61">
        <v>18023</v>
      </c>
      <c r="J692" s="74" t="s">
        <v>0</v>
      </c>
      <c r="L692" s="271" t="s">
        <v>41</v>
      </c>
      <c r="M692" s="74">
        <v>25132</v>
      </c>
      <c r="N692" s="67" t="s">
        <v>479</v>
      </c>
    </row>
    <row r="693" spans="2:14" ht="17" x14ac:dyDescent="0.2">
      <c r="B693" s="143" t="s">
        <v>115</v>
      </c>
      <c r="C693" s="19" t="s">
        <v>40</v>
      </c>
      <c r="E693" s="34" t="s">
        <v>0</v>
      </c>
      <c r="G693" s="62" t="s">
        <v>41</v>
      </c>
      <c r="H693" s="61">
        <v>18023</v>
      </c>
      <c r="J693" s="74" t="s">
        <v>0</v>
      </c>
      <c r="L693" s="271" t="s">
        <v>41</v>
      </c>
      <c r="M693" s="74">
        <v>25132</v>
      </c>
      <c r="N693" s="67" t="s">
        <v>479</v>
      </c>
    </row>
    <row r="694" spans="2:14" ht="17" x14ac:dyDescent="0.2">
      <c r="B694" s="128" t="s">
        <v>121</v>
      </c>
      <c r="C694" s="19"/>
    </row>
    <row r="695" spans="2:14" ht="17" x14ac:dyDescent="0.2">
      <c r="B695" s="145" t="s">
        <v>122</v>
      </c>
      <c r="C695" s="19" t="s">
        <v>40</v>
      </c>
      <c r="E695" s="34" t="s">
        <v>0</v>
      </c>
      <c r="G695" s="62" t="s">
        <v>41</v>
      </c>
      <c r="H695" s="61">
        <v>18023</v>
      </c>
      <c r="J695" s="74" t="s">
        <v>0</v>
      </c>
      <c r="L695" s="271" t="s">
        <v>41</v>
      </c>
      <c r="M695" s="74">
        <v>25132</v>
      </c>
      <c r="N695" s="67" t="s">
        <v>479</v>
      </c>
    </row>
    <row r="696" spans="2:14" ht="17" x14ac:dyDescent="0.2">
      <c r="B696" s="139" t="s">
        <v>123</v>
      </c>
      <c r="C696" s="19" t="s">
        <v>40</v>
      </c>
      <c r="E696" s="34" t="s">
        <v>0</v>
      </c>
      <c r="G696" s="62" t="s">
        <v>41</v>
      </c>
      <c r="H696" s="61">
        <v>18023</v>
      </c>
      <c r="J696" s="74" t="s">
        <v>0</v>
      </c>
      <c r="L696" s="271" t="s">
        <v>41</v>
      </c>
      <c r="M696" s="74">
        <v>25132</v>
      </c>
      <c r="N696" s="67" t="s">
        <v>479</v>
      </c>
    </row>
    <row r="697" spans="2:14" ht="17" x14ac:dyDescent="0.2">
      <c r="B697" s="262" t="s">
        <v>360</v>
      </c>
      <c r="C697" s="19" t="s">
        <v>40</v>
      </c>
      <c r="E697" s="34" t="s">
        <v>0</v>
      </c>
      <c r="G697" s="62" t="s">
        <v>41</v>
      </c>
      <c r="H697" s="61">
        <v>18023</v>
      </c>
      <c r="J697" s="74" t="s">
        <v>0</v>
      </c>
      <c r="L697" s="271" t="s">
        <v>41</v>
      </c>
      <c r="M697" s="74">
        <v>25132</v>
      </c>
      <c r="N697" s="67" t="s">
        <v>479</v>
      </c>
    </row>
    <row r="698" spans="2:14" ht="17" x14ac:dyDescent="0.2">
      <c r="B698" s="249" t="s">
        <v>125</v>
      </c>
      <c r="C698" s="19" t="s">
        <v>40</v>
      </c>
      <c r="E698" s="34" t="s">
        <v>0</v>
      </c>
      <c r="G698" s="62" t="s">
        <v>41</v>
      </c>
      <c r="H698" s="61">
        <v>18023</v>
      </c>
      <c r="J698" s="74" t="s">
        <v>0</v>
      </c>
      <c r="L698" s="271" t="s">
        <v>41</v>
      </c>
      <c r="M698" s="74">
        <v>25132</v>
      </c>
      <c r="N698" s="67" t="s">
        <v>479</v>
      </c>
    </row>
    <row r="699" spans="2:14" ht="17" x14ac:dyDescent="0.2">
      <c r="B699" s="243" t="s">
        <v>126</v>
      </c>
      <c r="C699" s="19" t="s">
        <v>40</v>
      </c>
      <c r="E699" s="34" t="s">
        <v>0</v>
      </c>
      <c r="G699" s="62" t="s">
        <v>41</v>
      </c>
      <c r="H699" s="61">
        <v>18023</v>
      </c>
      <c r="J699" s="74" t="s">
        <v>0</v>
      </c>
      <c r="L699" s="271" t="s">
        <v>41</v>
      </c>
      <c r="M699" s="74">
        <v>25132</v>
      </c>
      <c r="N699" s="67" t="s">
        <v>479</v>
      </c>
    </row>
    <row r="700" spans="2:14" ht="17" x14ac:dyDescent="0.2">
      <c r="B700" s="244" t="s">
        <v>127</v>
      </c>
      <c r="C700" s="19" t="s">
        <v>40</v>
      </c>
      <c r="E700" s="34" t="s">
        <v>0</v>
      </c>
      <c r="G700" s="62" t="s">
        <v>41</v>
      </c>
      <c r="H700" s="61">
        <v>18023</v>
      </c>
      <c r="J700" s="74" t="s">
        <v>0</v>
      </c>
      <c r="L700" s="271" t="s">
        <v>41</v>
      </c>
      <c r="M700" s="74">
        <v>25132</v>
      </c>
      <c r="N700" s="67" t="s">
        <v>479</v>
      </c>
    </row>
    <row r="701" spans="2:14" ht="17" x14ac:dyDescent="0.2">
      <c r="B701" s="244" t="s">
        <v>128</v>
      </c>
      <c r="C701" s="19" t="s">
        <v>40</v>
      </c>
      <c r="E701" s="34" t="s">
        <v>0</v>
      </c>
      <c r="G701" s="62" t="s">
        <v>41</v>
      </c>
      <c r="H701" s="61">
        <v>18023</v>
      </c>
      <c r="J701" s="74" t="s">
        <v>0</v>
      </c>
      <c r="L701" s="271" t="s">
        <v>41</v>
      </c>
      <c r="M701" s="74">
        <v>25132</v>
      </c>
      <c r="N701" s="67" t="s">
        <v>479</v>
      </c>
    </row>
    <row r="702" spans="2:14" ht="17" x14ac:dyDescent="0.2">
      <c r="B702" s="245" t="s">
        <v>129</v>
      </c>
      <c r="C702" s="19" t="s">
        <v>40</v>
      </c>
      <c r="E702" s="34" t="s">
        <v>0</v>
      </c>
      <c r="G702" s="62" t="s">
        <v>41</v>
      </c>
      <c r="H702" s="61">
        <v>18023</v>
      </c>
      <c r="J702" s="74" t="s">
        <v>0</v>
      </c>
      <c r="L702" s="271" t="s">
        <v>41</v>
      </c>
      <c r="M702" s="74">
        <v>25132</v>
      </c>
      <c r="N702" s="67" t="s">
        <v>479</v>
      </c>
    </row>
    <row r="703" spans="2:14" ht="17" x14ac:dyDescent="0.2">
      <c r="B703" s="244" t="s">
        <v>555</v>
      </c>
      <c r="C703" s="19" t="s">
        <v>40</v>
      </c>
      <c r="E703" s="34" t="s">
        <v>0</v>
      </c>
      <c r="G703" s="62" t="s">
        <v>41</v>
      </c>
      <c r="H703" s="61">
        <v>18023</v>
      </c>
      <c r="J703" s="74" t="s">
        <v>0</v>
      </c>
      <c r="L703" s="271" t="s">
        <v>41</v>
      </c>
      <c r="M703" s="74">
        <v>25132</v>
      </c>
      <c r="N703" s="67" t="s">
        <v>479</v>
      </c>
    </row>
    <row r="704" spans="2:14" ht="17" x14ac:dyDescent="0.2">
      <c r="B704" s="247" t="s">
        <v>501</v>
      </c>
      <c r="C704" s="19" t="s">
        <v>40</v>
      </c>
      <c r="E704" s="34" t="s">
        <v>0</v>
      </c>
      <c r="G704" s="62" t="s">
        <v>41</v>
      </c>
      <c r="H704" s="61">
        <v>18023</v>
      </c>
      <c r="J704" s="74" t="s">
        <v>0</v>
      </c>
      <c r="L704" s="271" t="s">
        <v>41</v>
      </c>
      <c r="M704" s="74">
        <v>25132</v>
      </c>
      <c r="N704" s="67" t="s">
        <v>479</v>
      </c>
    </row>
    <row r="705" spans="2:14" ht="17" x14ac:dyDescent="0.2">
      <c r="B705" s="247" t="s">
        <v>132</v>
      </c>
      <c r="C705" s="19" t="s">
        <v>40</v>
      </c>
      <c r="E705" s="34" t="s">
        <v>0</v>
      </c>
      <c r="G705" s="62" t="s">
        <v>41</v>
      </c>
      <c r="H705" s="61">
        <v>18023</v>
      </c>
      <c r="J705" s="74" t="s">
        <v>0</v>
      </c>
      <c r="L705" s="271" t="s">
        <v>41</v>
      </c>
      <c r="M705" s="74">
        <v>25132</v>
      </c>
      <c r="N705" s="67" t="s">
        <v>479</v>
      </c>
    </row>
    <row r="706" spans="2:14" ht="17" x14ac:dyDescent="0.2">
      <c r="B706" s="247" t="s">
        <v>134</v>
      </c>
      <c r="C706" s="19" t="s">
        <v>40</v>
      </c>
      <c r="E706" s="34" t="s">
        <v>0</v>
      </c>
      <c r="G706" s="62" t="s">
        <v>41</v>
      </c>
      <c r="H706" s="61">
        <v>18023</v>
      </c>
      <c r="J706" s="74" t="s">
        <v>0</v>
      </c>
      <c r="L706" s="271" t="s">
        <v>41</v>
      </c>
      <c r="M706" s="74">
        <v>25132</v>
      </c>
      <c r="N706" s="67" t="s">
        <v>479</v>
      </c>
    </row>
    <row r="707" spans="2:14" ht="17" x14ac:dyDescent="0.2">
      <c r="B707" s="247" t="s">
        <v>136</v>
      </c>
      <c r="C707" s="19" t="s">
        <v>40</v>
      </c>
      <c r="E707" s="34" t="s">
        <v>0</v>
      </c>
      <c r="G707" s="62" t="s">
        <v>41</v>
      </c>
      <c r="H707" s="61">
        <v>18023</v>
      </c>
      <c r="J707" s="74" t="s">
        <v>0</v>
      </c>
      <c r="L707" s="271" t="s">
        <v>41</v>
      </c>
      <c r="M707" s="74">
        <v>25132</v>
      </c>
      <c r="N707" s="67" t="s">
        <v>479</v>
      </c>
    </row>
    <row r="708" spans="2:14" ht="23" x14ac:dyDescent="0.3">
      <c r="B708" s="148" t="s">
        <v>137</v>
      </c>
      <c r="C708" s="19"/>
    </row>
    <row r="709" spans="2:14" ht="23" x14ac:dyDescent="0.3">
      <c r="B709" s="148" t="s">
        <v>138</v>
      </c>
      <c r="C709" s="19"/>
    </row>
    <row r="710" spans="2:14" ht="17" x14ac:dyDescent="0.2">
      <c r="B710" s="147" t="s">
        <v>546</v>
      </c>
      <c r="C710" s="19" t="s">
        <v>40</v>
      </c>
      <c r="E710" s="34" t="s">
        <v>0</v>
      </c>
      <c r="G710" s="62" t="s">
        <v>41</v>
      </c>
      <c r="H710" s="61">
        <v>18023</v>
      </c>
      <c r="J710" s="74" t="s">
        <v>0</v>
      </c>
      <c r="L710" s="271" t="s">
        <v>41</v>
      </c>
      <c r="M710" s="74">
        <v>25132</v>
      </c>
      <c r="N710" s="67" t="s">
        <v>479</v>
      </c>
    </row>
    <row r="711" spans="2:14" ht="34" x14ac:dyDescent="0.2">
      <c r="B711" s="147" t="s">
        <v>538</v>
      </c>
      <c r="C711" s="19" t="s">
        <v>40</v>
      </c>
      <c r="E711" s="34" t="s">
        <v>0</v>
      </c>
      <c r="G711" s="62" t="s">
        <v>41</v>
      </c>
      <c r="H711" s="61">
        <v>18023</v>
      </c>
      <c r="J711" s="74" t="s">
        <v>0</v>
      </c>
      <c r="L711" s="271" t="s">
        <v>41</v>
      </c>
      <c r="M711" s="74">
        <v>25132</v>
      </c>
      <c r="N711" s="67" t="s">
        <v>479</v>
      </c>
    </row>
    <row r="712" spans="2:14" ht="17" x14ac:dyDescent="0.2">
      <c r="B712" s="147" t="s">
        <v>547</v>
      </c>
      <c r="C712" s="19" t="s">
        <v>40</v>
      </c>
      <c r="E712" s="34" t="s">
        <v>0</v>
      </c>
      <c r="G712" s="62" t="s">
        <v>41</v>
      </c>
      <c r="H712" s="61">
        <v>18023</v>
      </c>
      <c r="J712" s="74" t="s">
        <v>0</v>
      </c>
      <c r="L712" s="271" t="s">
        <v>41</v>
      </c>
      <c r="M712" s="74">
        <v>25132</v>
      </c>
      <c r="N712" s="67" t="s">
        <v>479</v>
      </c>
    </row>
    <row r="713" spans="2:14" ht="17" x14ac:dyDescent="0.2">
      <c r="B713" s="147" t="s">
        <v>539</v>
      </c>
      <c r="C713" s="19" t="s">
        <v>40</v>
      </c>
      <c r="E713" s="34" t="s">
        <v>0</v>
      </c>
      <c r="G713" s="62" t="s">
        <v>41</v>
      </c>
      <c r="H713" s="61">
        <v>18023</v>
      </c>
      <c r="J713" s="74" t="s">
        <v>0</v>
      </c>
      <c r="L713" s="271" t="s">
        <v>41</v>
      </c>
      <c r="M713" s="74">
        <v>25132</v>
      </c>
      <c r="N713" s="67" t="s">
        <v>479</v>
      </c>
    </row>
    <row r="714" spans="2:14" ht="17" x14ac:dyDescent="0.2">
      <c r="B714" s="147" t="s">
        <v>556</v>
      </c>
      <c r="C714" s="19" t="s">
        <v>40</v>
      </c>
      <c r="E714" s="34" t="s">
        <v>0</v>
      </c>
      <c r="G714" s="62" t="s">
        <v>41</v>
      </c>
      <c r="H714" s="61">
        <v>18023</v>
      </c>
      <c r="J714" s="74" t="s">
        <v>0</v>
      </c>
      <c r="L714" s="271" t="s">
        <v>41</v>
      </c>
      <c r="M714" s="74">
        <v>25132</v>
      </c>
      <c r="N714" s="67" t="s">
        <v>479</v>
      </c>
    </row>
    <row r="715" spans="2:14" ht="23" x14ac:dyDescent="0.3">
      <c r="B715" s="148" t="s">
        <v>144</v>
      </c>
      <c r="C715" s="19"/>
    </row>
    <row r="716" spans="2:14" ht="17" x14ac:dyDescent="0.2">
      <c r="B716" s="147" t="s">
        <v>145</v>
      </c>
      <c r="C716" s="19" t="s">
        <v>40</v>
      </c>
      <c r="E716" s="34" t="s">
        <v>0</v>
      </c>
      <c r="G716" s="62" t="s">
        <v>41</v>
      </c>
      <c r="H716" s="61">
        <v>18023</v>
      </c>
      <c r="J716" s="74" t="s">
        <v>0</v>
      </c>
      <c r="L716" s="271" t="s">
        <v>41</v>
      </c>
      <c r="M716" s="74">
        <v>25132</v>
      </c>
      <c r="N716" s="67" t="s">
        <v>479</v>
      </c>
    </row>
    <row r="717" spans="2:14" ht="17" x14ac:dyDescent="0.2">
      <c r="B717" s="147" t="s">
        <v>146</v>
      </c>
      <c r="C717" s="19" t="s">
        <v>40</v>
      </c>
      <c r="E717" s="34" t="s">
        <v>0</v>
      </c>
      <c r="G717" s="62" t="s">
        <v>41</v>
      </c>
      <c r="H717" s="61">
        <v>18023</v>
      </c>
      <c r="J717" s="74" t="s">
        <v>0</v>
      </c>
      <c r="L717" s="271" t="s">
        <v>41</v>
      </c>
      <c r="M717" s="74">
        <v>25132</v>
      </c>
      <c r="N717" s="67" t="s">
        <v>479</v>
      </c>
    </row>
    <row r="718" spans="2:14" ht="17" x14ac:dyDescent="0.2">
      <c r="B718" s="147" t="s">
        <v>147</v>
      </c>
      <c r="C718" s="19" t="s">
        <v>40</v>
      </c>
      <c r="E718" s="34" t="s">
        <v>0</v>
      </c>
      <c r="G718" s="62" t="s">
        <v>41</v>
      </c>
      <c r="H718" s="61">
        <v>18023</v>
      </c>
      <c r="J718" s="74" t="s">
        <v>0</v>
      </c>
      <c r="L718" s="271" t="s">
        <v>41</v>
      </c>
      <c r="M718" s="74">
        <v>25132</v>
      </c>
      <c r="N718" s="67" t="s">
        <v>479</v>
      </c>
    </row>
    <row r="719" spans="2:14" ht="17" x14ac:dyDescent="0.2">
      <c r="B719" s="147" t="s">
        <v>148</v>
      </c>
      <c r="C719" s="19" t="s">
        <v>40</v>
      </c>
      <c r="E719" s="34" t="s">
        <v>0</v>
      </c>
      <c r="G719" s="62" t="s">
        <v>41</v>
      </c>
      <c r="H719" s="61">
        <v>18023</v>
      </c>
      <c r="J719" s="74" t="s">
        <v>0</v>
      </c>
      <c r="L719" s="271" t="s">
        <v>41</v>
      </c>
      <c r="M719" s="74">
        <v>25132</v>
      </c>
      <c r="N719" s="67" t="s">
        <v>479</v>
      </c>
    </row>
    <row r="720" spans="2:14" ht="17" x14ac:dyDescent="0.2">
      <c r="B720" s="147" t="s">
        <v>375</v>
      </c>
      <c r="C720" s="19" t="s">
        <v>40</v>
      </c>
      <c r="E720" s="34" t="s">
        <v>0</v>
      </c>
      <c r="G720" s="62" t="s">
        <v>41</v>
      </c>
      <c r="H720" s="61">
        <v>18023</v>
      </c>
      <c r="J720" s="74" t="s">
        <v>0</v>
      </c>
      <c r="L720" s="271" t="s">
        <v>41</v>
      </c>
      <c r="M720" s="74">
        <v>25132</v>
      </c>
      <c r="N720" s="67" t="s">
        <v>479</v>
      </c>
    </row>
    <row r="721" spans="2:14" ht="20" x14ac:dyDescent="0.2">
      <c r="B721" s="177" t="s">
        <v>51</v>
      </c>
      <c r="C721" s="19"/>
    </row>
    <row r="722" spans="2:14" ht="17" x14ac:dyDescent="0.2">
      <c r="B722" s="128" t="s">
        <v>342</v>
      </c>
    </row>
    <row r="723" spans="2:14" x14ac:dyDescent="0.2">
      <c r="B723" s="231" t="s">
        <v>229</v>
      </c>
      <c r="C723" s="232"/>
    </row>
    <row r="724" spans="2:14" ht="17" x14ac:dyDescent="0.2">
      <c r="B724" s="233" t="s">
        <v>230</v>
      </c>
      <c r="C724" s="232" t="s">
        <v>40</v>
      </c>
      <c r="E724" s="34" t="s">
        <v>0</v>
      </c>
      <c r="G724" s="62" t="s">
        <v>41</v>
      </c>
      <c r="H724" s="61">
        <v>18023</v>
      </c>
      <c r="J724" s="74" t="s">
        <v>0</v>
      </c>
      <c r="L724" s="271" t="s">
        <v>41</v>
      </c>
      <c r="M724" s="74">
        <v>25132</v>
      </c>
      <c r="N724" s="67" t="s">
        <v>479</v>
      </c>
    </row>
    <row r="725" spans="2:14" ht="17" x14ac:dyDescent="0.2">
      <c r="B725" s="233" t="s">
        <v>231</v>
      </c>
      <c r="C725" s="232" t="s">
        <v>40</v>
      </c>
      <c r="E725" s="34" t="s">
        <v>0</v>
      </c>
      <c r="G725" s="62" t="s">
        <v>41</v>
      </c>
      <c r="H725" s="61">
        <v>18023</v>
      </c>
      <c r="J725" s="74" t="s">
        <v>0</v>
      </c>
      <c r="L725" s="271" t="s">
        <v>41</v>
      </c>
      <c r="M725" s="74">
        <v>25132</v>
      </c>
      <c r="N725" s="67" t="s">
        <v>479</v>
      </c>
    </row>
    <row r="726" spans="2:14" ht="17" x14ac:dyDescent="0.2">
      <c r="B726" s="233" t="s">
        <v>232</v>
      </c>
      <c r="C726" s="232" t="s">
        <v>40</v>
      </c>
      <c r="E726" s="34" t="s">
        <v>0</v>
      </c>
      <c r="G726" s="62" t="s">
        <v>41</v>
      </c>
      <c r="H726" s="61">
        <v>18023</v>
      </c>
      <c r="J726" s="74" t="s">
        <v>0</v>
      </c>
      <c r="L726" s="271" t="s">
        <v>41</v>
      </c>
      <c r="M726" s="74">
        <v>25132</v>
      </c>
      <c r="N726" s="67" t="s">
        <v>479</v>
      </c>
    </row>
    <row r="727" spans="2:14" ht="17" x14ac:dyDescent="0.2">
      <c r="B727" s="233" t="s">
        <v>233</v>
      </c>
      <c r="C727" s="232" t="s">
        <v>40</v>
      </c>
      <c r="E727" s="34" t="s">
        <v>0</v>
      </c>
      <c r="G727" s="62" t="s">
        <v>41</v>
      </c>
      <c r="H727" s="61">
        <v>18023</v>
      </c>
      <c r="J727" s="74" t="s">
        <v>0</v>
      </c>
      <c r="L727" s="271" t="s">
        <v>41</v>
      </c>
      <c r="M727" s="74">
        <v>25132</v>
      </c>
      <c r="N727" s="67" t="s">
        <v>479</v>
      </c>
    </row>
    <row r="728" spans="2:14" ht="17" x14ac:dyDescent="0.2">
      <c r="B728" s="233" t="s">
        <v>236</v>
      </c>
      <c r="C728" s="232" t="s">
        <v>40</v>
      </c>
      <c r="E728" s="34" t="s">
        <v>0</v>
      </c>
      <c r="G728" s="62" t="s">
        <v>41</v>
      </c>
      <c r="H728" s="61">
        <v>18023</v>
      </c>
      <c r="J728" s="74" t="s">
        <v>0</v>
      </c>
      <c r="L728" s="271" t="s">
        <v>41</v>
      </c>
      <c r="M728" s="74">
        <v>25132</v>
      </c>
      <c r="N728" s="67" t="s">
        <v>479</v>
      </c>
    </row>
    <row r="729" spans="2:14" x14ac:dyDescent="0.2">
      <c r="B729" s="150" t="s">
        <v>151</v>
      </c>
      <c r="C729" s="19"/>
    </row>
    <row r="730" spans="2:14" ht="17" x14ac:dyDescent="0.2">
      <c r="B730" s="151" t="s">
        <v>152</v>
      </c>
      <c r="C730" s="19" t="s">
        <v>40</v>
      </c>
      <c r="E730" s="34" t="s">
        <v>0</v>
      </c>
      <c r="G730" s="62" t="s">
        <v>41</v>
      </c>
      <c r="H730" s="61">
        <v>18023</v>
      </c>
      <c r="J730" s="74" t="s">
        <v>0</v>
      </c>
      <c r="L730" s="271" t="s">
        <v>41</v>
      </c>
      <c r="M730" s="74">
        <v>25132</v>
      </c>
      <c r="N730" s="67" t="s">
        <v>479</v>
      </c>
    </row>
    <row r="731" spans="2:14" ht="17" x14ac:dyDescent="0.2">
      <c r="B731" s="151" t="s">
        <v>153</v>
      </c>
      <c r="C731" s="19" t="s">
        <v>40</v>
      </c>
      <c r="E731" s="34" t="s">
        <v>0</v>
      </c>
      <c r="G731" s="62" t="s">
        <v>41</v>
      </c>
      <c r="H731" s="61">
        <v>18023</v>
      </c>
      <c r="J731" s="74" t="s">
        <v>0</v>
      </c>
      <c r="L731" s="271" t="s">
        <v>41</v>
      </c>
      <c r="M731" s="74">
        <v>25132</v>
      </c>
      <c r="N731" s="67" t="s">
        <v>479</v>
      </c>
    </row>
    <row r="732" spans="2:14" ht="17" x14ac:dyDescent="0.2">
      <c r="B732" s="152" t="s">
        <v>154</v>
      </c>
      <c r="C732" s="19" t="s">
        <v>40</v>
      </c>
      <c r="E732" s="34" t="s">
        <v>0</v>
      </c>
      <c r="G732" s="62" t="s">
        <v>41</v>
      </c>
      <c r="H732" s="61">
        <v>18023</v>
      </c>
      <c r="J732" s="74" t="s">
        <v>0</v>
      </c>
      <c r="L732" s="271" t="s">
        <v>41</v>
      </c>
      <c r="M732" s="74">
        <v>25132</v>
      </c>
      <c r="N732" s="67" t="s">
        <v>479</v>
      </c>
    </row>
    <row r="733" spans="2:14" ht="17" x14ac:dyDescent="0.2">
      <c r="B733" s="143" t="s">
        <v>155</v>
      </c>
      <c r="C733" s="19" t="s">
        <v>40</v>
      </c>
      <c r="E733" s="34" t="s">
        <v>0</v>
      </c>
      <c r="G733" s="62" t="s">
        <v>41</v>
      </c>
      <c r="H733" s="61">
        <v>18023</v>
      </c>
      <c r="J733" s="74" t="s">
        <v>0</v>
      </c>
      <c r="L733" s="271" t="s">
        <v>41</v>
      </c>
      <c r="M733" s="74">
        <v>25132</v>
      </c>
      <c r="N733" s="67" t="s">
        <v>479</v>
      </c>
    </row>
    <row r="734" spans="2:14" x14ac:dyDescent="0.2">
      <c r="B734" s="153" t="s">
        <v>156</v>
      </c>
    </row>
    <row r="735" spans="2:14" x14ac:dyDescent="0.2">
      <c r="B735" s="153" t="s">
        <v>157</v>
      </c>
      <c r="C735" s="19"/>
    </row>
    <row r="736" spans="2:14" ht="17" x14ac:dyDescent="0.2">
      <c r="B736" s="154" t="s">
        <v>158</v>
      </c>
      <c r="C736" s="19" t="s">
        <v>40</v>
      </c>
      <c r="E736" s="34" t="s">
        <v>0</v>
      </c>
      <c r="G736" s="62" t="s">
        <v>41</v>
      </c>
      <c r="H736" s="61">
        <v>18023</v>
      </c>
      <c r="J736" s="74" t="s">
        <v>0</v>
      </c>
      <c r="L736" s="271" t="s">
        <v>41</v>
      </c>
      <c r="M736" s="74">
        <v>25132</v>
      </c>
      <c r="N736" s="67" t="s">
        <v>479</v>
      </c>
    </row>
    <row r="737" spans="2:14" ht="17" x14ac:dyDescent="0.2">
      <c r="B737" s="155" t="s">
        <v>159</v>
      </c>
      <c r="C737" s="19" t="s">
        <v>40</v>
      </c>
      <c r="E737" s="34" t="s">
        <v>0</v>
      </c>
      <c r="G737" s="62" t="s">
        <v>41</v>
      </c>
      <c r="H737" s="61">
        <v>18023</v>
      </c>
      <c r="J737" s="74" t="s">
        <v>0</v>
      </c>
      <c r="L737" s="271" t="s">
        <v>41</v>
      </c>
      <c r="M737" s="74">
        <v>25132</v>
      </c>
      <c r="N737" s="67" t="s">
        <v>479</v>
      </c>
    </row>
    <row r="738" spans="2:14" ht="17" x14ac:dyDescent="0.2">
      <c r="B738" s="151" t="s">
        <v>160</v>
      </c>
      <c r="C738" s="19" t="s">
        <v>40</v>
      </c>
      <c r="E738" s="34" t="s">
        <v>0</v>
      </c>
      <c r="G738" s="62" t="s">
        <v>41</v>
      </c>
      <c r="H738" s="61">
        <v>18023</v>
      </c>
      <c r="J738" s="74" t="s">
        <v>0</v>
      </c>
      <c r="L738" s="271" t="s">
        <v>41</v>
      </c>
      <c r="M738" s="74">
        <v>25132</v>
      </c>
      <c r="N738" s="67" t="s">
        <v>479</v>
      </c>
    </row>
    <row r="739" spans="2:14" x14ac:dyDescent="0.2">
      <c r="B739" s="153" t="s">
        <v>161</v>
      </c>
      <c r="C739" s="19"/>
    </row>
    <row r="740" spans="2:14" x14ac:dyDescent="0.2">
      <c r="B740" s="156" t="s">
        <v>162</v>
      </c>
      <c r="C740" s="19"/>
    </row>
    <row r="741" spans="2:14" ht="48" x14ac:dyDescent="0.2">
      <c r="B741" s="151" t="s">
        <v>163</v>
      </c>
      <c r="C741" s="19" t="s">
        <v>40</v>
      </c>
      <c r="E741" s="34" t="s">
        <v>0</v>
      </c>
      <c r="G741" s="62" t="s">
        <v>41</v>
      </c>
      <c r="H741" s="61">
        <v>18023</v>
      </c>
      <c r="J741" s="74" t="s">
        <v>0</v>
      </c>
      <c r="L741" s="271" t="s">
        <v>41</v>
      </c>
      <c r="M741" s="74">
        <v>25132</v>
      </c>
      <c r="N741" s="67" t="s">
        <v>479</v>
      </c>
    </row>
    <row r="742" spans="2:14" ht="17" x14ac:dyDescent="0.2">
      <c r="B742" s="138" t="s">
        <v>164</v>
      </c>
      <c r="C742" s="19" t="s">
        <v>40</v>
      </c>
      <c r="E742" s="34" t="s">
        <v>0</v>
      </c>
      <c r="G742" s="62" t="s">
        <v>41</v>
      </c>
      <c r="H742" s="61">
        <v>18023</v>
      </c>
      <c r="J742" s="74" t="s">
        <v>0</v>
      </c>
      <c r="L742" s="271" t="s">
        <v>41</v>
      </c>
      <c r="M742" s="74">
        <v>25132</v>
      </c>
      <c r="N742" s="67" t="s">
        <v>479</v>
      </c>
    </row>
    <row r="743" spans="2:14" x14ac:dyDescent="0.2">
      <c r="B743" s="157" t="s">
        <v>168</v>
      </c>
    </row>
    <row r="744" spans="2:14" ht="51" x14ac:dyDescent="0.2">
      <c r="B744" s="158" t="s">
        <v>169</v>
      </c>
      <c r="C744" s="19" t="s">
        <v>40</v>
      </c>
      <c r="E744" s="34" t="s">
        <v>0</v>
      </c>
      <c r="G744" s="62" t="s">
        <v>41</v>
      </c>
      <c r="H744" s="61">
        <v>18023</v>
      </c>
      <c r="J744" s="74" t="s">
        <v>0</v>
      </c>
      <c r="L744" s="271" t="s">
        <v>41</v>
      </c>
      <c r="M744" s="74">
        <v>25132</v>
      </c>
      <c r="N744" s="67" t="s">
        <v>479</v>
      </c>
    </row>
    <row r="745" spans="2:14" ht="17" x14ac:dyDescent="0.2">
      <c r="B745" s="159" t="s">
        <v>170</v>
      </c>
      <c r="C745" s="19" t="s">
        <v>40</v>
      </c>
      <c r="E745" s="34" t="s">
        <v>0</v>
      </c>
      <c r="G745" s="62" t="s">
        <v>41</v>
      </c>
      <c r="H745" s="61">
        <v>18023</v>
      </c>
      <c r="J745" s="74" t="s">
        <v>0</v>
      </c>
      <c r="L745" s="271" t="s">
        <v>41</v>
      </c>
      <c r="M745" s="74">
        <v>25132</v>
      </c>
      <c r="N745" s="67" t="s">
        <v>479</v>
      </c>
    </row>
    <row r="746" spans="2:14" x14ac:dyDescent="0.2">
      <c r="B746" s="157" t="s">
        <v>171</v>
      </c>
      <c r="C746" s="19"/>
    </row>
    <row r="747" spans="2:14" ht="48" x14ac:dyDescent="0.2">
      <c r="B747" s="144" t="s">
        <v>172</v>
      </c>
      <c r="C747" s="19" t="s">
        <v>40</v>
      </c>
      <c r="E747" s="34" t="s">
        <v>0</v>
      </c>
      <c r="G747" s="62" t="s">
        <v>41</v>
      </c>
      <c r="H747" s="61">
        <v>18023</v>
      </c>
      <c r="J747" s="74" t="s">
        <v>0</v>
      </c>
      <c r="L747" s="271" t="s">
        <v>41</v>
      </c>
      <c r="M747" s="74">
        <v>25132</v>
      </c>
      <c r="N747" s="67" t="s">
        <v>479</v>
      </c>
    </row>
    <row r="748" spans="2:14" ht="17" x14ac:dyDescent="0.2">
      <c r="B748" s="160" t="s">
        <v>173</v>
      </c>
      <c r="C748" s="19" t="s">
        <v>40</v>
      </c>
      <c r="E748" s="34" t="s">
        <v>0</v>
      </c>
      <c r="G748" s="62" t="s">
        <v>41</v>
      </c>
      <c r="H748" s="61">
        <v>18023</v>
      </c>
      <c r="J748" s="74" t="s">
        <v>0</v>
      </c>
      <c r="L748" s="271" t="s">
        <v>41</v>
      </c>
      <c r="M748" s="74">
        <v>25132</v>
      </c>
      <c r="N748" s="67" t="s">
        <v>479</v>
      </c>
    </row>
    <row r="749" spans="2:14" ht="17" x14ac:dyDescent="0.2">
      <c r="B749" s="161" t="s">
        <v>174</v>
      </c>
    </row>
    <row r="750" spans="2:14" ht="51" x14ac:dyDescent="0.2">
      <c r="B750" s="161" t="s">
        <v>175</v>
      </c>
      <c r="C750" s="19"/>
    </row>
    <row r="751" spans="2:14" ht="17" x14ac:dyDescent="0.2">
      <c r="B751" s="131" t="s">
        <v>176</v>
      </c>
      <c r="C751" s="19" t="s">
        <v>40</v>
      </c>
      <c r="E751" s="34" t="s">
        <v>0</v>
      </c>
      <c r="G751" s="62" t="s">
        <v>41</v>
      </c>
      <c r="H751" s="61">
        <v>18023</v>
      </c>
      <c r="J751" s="74" t="s">
        <v>0</v>
      </c>
      <c r="L751" s="271" t="s">
        <v>41</v>
      </c>
      <c r="M751" s="74">
        <v>25132</v>
      </c>
      <c r="N751" s="67" t="s">
        <v>479</v>
      </c>
    </row>
    <row r="752" spans="2:14" ht="17" x14ac:dyDescent="0.2">
      <c r="B752" s="160" t="s">
        <v>177</v>
      </c>
      <c r="C752" s="19" t="s">
        <v>40</v>
      </c>
      <c r="E752" s="34" t="s">
        <v>0</v>
      </c>
      <c r="G752" s="62" t="s">
        <v>41</v>
      </c>
      <c r="H752" s="61">
        <v>18023</v>
      </c>
      <c r="J752" s="74" t="s">
        <v>0</v>
      </c>
      <c r="L752" s="271" t="s">
        <v>41</v>
      </c>
      <c r="M752" s="74">
        <v>25132</v>
      </c>
      <c r="N752" s="67" t="s">
        <v>479</v>
      </c>
    </row>
    <row r="753" spans="2:14" ht="17" x14ac:dyDescent="0.2">
      <c r="B753" s="131" t="s">
        <v>178</v>
      </c>
      <c r="C753" s="19" t="s">
        <v>40</v>
      </c>
      <c r="E753" s="34" t="s">
        <v>0</v>
      </c>
      <c r="G753" s="62" t="s">
        <v>41</v>
      </c>
      <c r="H753" s="61">
        <v>18023</v>
      </c>
      <c r="J753" s="74" t="s">
        <v>0</v>
      </c>
      <c r="L753" s="271" t="s">
        <v>41</v>
      </c>
      <c r="M753" s="74">
        <v>25132</v>
      </c>
      <c r="N753" s="67" t="s">
        <v>479</v>
      </c>
    </row>
    <row r="754" spans="2:14" ht="68" x14ac:dyDescent="0.2">
      <c r="B754" s="131" t="s">
        <v>289</v>
      </c>
      <c r="C754" s="19" t="s">
        <v>40</v>
      </c>
      <c r="E754" s="34" t="s">
        <v>0</v>
      </c>
      <c r="G754" s="62" t="s">
        <v>41</v>
      </c>
      <c r="H754" s="61">
        <v>18023</v>
      </c>
      <c r="J754" s="74" t="s">
        <v>0</v>
      </c>
      <c r="L754" s="271" t="s">
        <v>41</v>
      </c>
      <c r="M754" s="74">
        <v>25132</v>
      </c>
      <c r="N754" s="67" t="s">
        <v>479</v>
      </c>
    </row>
    <row r="755" spans="2:14" ht="17" x14ac:dyDescent="0.2">
      <c r="B755" s="160" t="s">
        <v>182</v>
      </c>
      <c r="C755" s="19" t="s">
        <v>40</v>
      </c>
      <c r="E755" s="34" t="s">
        <v>0</v>
      </c>
      <c r="G755" s="62" t="s">
        <v>41</v>
      </c>
      <c r="H755" s="61">
        <v>18023</v>
      </c>
      <c r="J755" s="74" t="s">
        <v>0</v>
      </c>
      <c r="L755" s="271" t="s">
        <v>41</v>
      </c>
      <c r="M755" s="74">
        <v>25132</v>
      </c>
      <c r="N755" s="67" t="s">
        <v>479</v>
      </c>
    </row>
    <row r="756" spans="2:14" ht="68" x14ac:dyDescent="0.2">
      <c r="B756" s="160" t="s">
        <v>504</v>
      </c>
      <c r="C756" s="19" t="s">
        <v>40</v>
      </c>
      <c r="E756" s="34" t="s">
        <v>0</v>
      </c>
      <c r="G756" s="62" t="s">
        <v>41</v>
      </c>
      <c r="H756" s="61">
        <v>18023</v>
      </c>
      <c r="J756" s="74" t="s">
        <v>0</v>
      </c>
      <c r="L756" s="271" t="s">
        <v>41</v>
      </c>
      <c r="M756" s="74">
        <v>25132</v>
      </c>
      <c r="N756" s="67" t="s">
        <v>479</v>
      </c>
    </row>
    <row r="757" spans="2:14" ht="17" x14ac:dyDescent="0.2">
      <c r="B757" s="162" t="s">
        <v>184</v>
      </c>
      <c r="C757" s="19" t="s">
        <v>40</v>
      </c>
      <c r="E757" s="34" t="s">
        <v>0</v>
      </c>
      <c r="G757" s="62" t="s">
        <v>41</v>
      </c>
      <c r="H757" s="61">
        <v>18023</v>
      </c>
      <c r="J757" s="74" t="s">
        <v>0</v>
      </c>
      <c r="L757" s="271" t="s">
        <v>41</v>
      </c>
      <c r="M757" s="74">
        <v>25132</v>
      </c>
      <c r="N757" s="67" t="s">
        <v>479</v>
      </c>
    </row>
    <row r="758" spans="2:14" ht="17" x14ac:dyDescent="0.2">
      <c r="B758" s="162" t="s">
        <v>185</v>
      </c>
      <c r="C758" s="19" t="s">
        <v>40</v>
      </c>
      <c r="E758" s="34" t="s">
        <v>0</v>
      </c>
      <c r="G758" s="62" t="s">
        <v>41</v>
      </c>
      <c r="H758" s="61">
        <v>18023</v>
      </c>
      <c r="J758" s="74" t="s">
        <v>0</v>
      </c>
      <c r="L758" s="271" t="s">
        <v>41</v>
      </c>
      <c r="M758" s="74">
        <v>25132</v>
      </c>
      <c r="N758" s="67" t="s">
        <v>479</v>
      </c>
    </row>
    <row r="761" spans="2:14" ht="69" x14ac:dyDescent="0.2">
      <c r="B761" s="170" t="s">
        <v>557</v>
      </c>
      <c r="C761" s="19"/>
    </row>
    <row r="762" spans="2:14" ht="17" x14ac:dyDescent="0.2">
      <c r="B762" s="127" t="s">
        <v>31</v>
      </c>
      <c r="C762" s="19"/>
    </row>
    <row r="763" spans="2:14" ht="17" x14ac:dyDescent="0.2">
      <c r="B763" s="127" t="s">
        <v>328</v>
      </c>
    </row>
    <row r="764" spans="2:14" ht="17" x14ac:dyDescent="0.2">
      <c r="B764" s="128" t="s">
        <v>33</v>
      </c>
    </row>
    <row r="765" spans="2:14" ht="17" x14ac:dyDescent="0.2">
      <c r="B765" s="127" t="s">
        <v>34</v>
      </c>
      <c r="C765" s="19"/>
    </row>
    <row r="766" spans="2:14" ht="69" x14ac:dyDescent="0.2">
      <c r="B766" s="236" t="s">
        <v>378</v>
      </c>
      <c r="C766" s="19"/>
    </row>
    <row r="767" spans="2:14" ht="17" x14ac:dyDescent="0.2">
      <c r="B767" s="127" t="s">
        <v>475</v>
      </c>
      <c r="C767" s="19"/>
    </row>
    <row r="768" spans="2:14" ht="34" x14ac:dyDescent="0.2">
      <c r="B768" s="127" t="s">
        <v>476</v>
      </c>
      <c r="C768" s="19"/>
    </row>
    <row r="769" spans="2:14" ht="17" x14ac:dyDescent="0.2">
      <c r="B769" s="129" t="s">
        <v>36</v>
      </c>
      <c r="C769" s="19"/>
    </row>
    <row r="770" spans="2:14" ht="17" x14ac:dyDescent="0.2">
      <c r="B770" s="129" t="s">
        <v>37</v>
      </c>
      <c r="C770" s="19"/>
    </row>
    <row r="771" spans="2:14" ht="17" x14ac:dyDescent="0.2">
      <c r="B771" s="128" t="s">
        <v>38</v>
      </c>
      <c r="C771" s="19"/>
    </row>
    <row r="772" spans="2:14" ht="48" x14ac:dyDescent="0.2">
      <c r="B772" s="130" t="s">
        <v>477</v>
      </c>
      <c r="C772" s="19" t="s">
        <v>40</v>
      </c>
      <c r="E772" s="74" t="s">
        <v>0</v>
      </c>
      <c r="G772" s="62" t="s">
        <v>41</v>
      </c>
      <c r="H772" s="61">
        <v>18023</v>
      </c>
      <c r="J772" s="74" t="s">
        <v>0</v>
      </c>
      <c r="L772" s="271" t="s">
        <v>41</v>
      </c>
      <c r="M772" s="74">
        <v>25132</v>
      </c>
      <c r="N772" s="67" t="s">
        <v>479</v>
      </c>
    </row>
    <row r="773" spans="2:14" ht="48" x14ac:dyDescent="0.2">
      <c r="B773" s="130" t="s">
        <v>542</v>
      </c>
      <c r="C773" s="19" t="s">
        <v>40</v>
      </c>
      <c r="E773" s="74" t="s">
        <v>0</v>
      </c>
      <c r="G773" s="62" t="s">
        <v>41</v>
      </c>
      <c r="H773" s="61">
        <v>18023</v>
      </c>
      <c r="J773" s="74" t="s">
        <v>0</v>
      </c>
      <c r="L773" s="271" t="s">
        <v>41</v>
      </c>
      <c r="M773" s="74">
        <v>25132</v>
      </c>
      <c r="N773" s="67" t="s">
        <v>479</v>
      </c>
    </row>
    <row r="774" spans="2:14" ht="17" x14ac:dyDescent="0.2">
      <c r="B774" s="128" t="s">
        <v>44</v>
      </c>
      <c r="C774" s="19"/>
      <c r="E774" s="74"/>
    </row>
    <row r="775" spans="2:14" ht="17" x14ac:dyDescent="0.2">
      <c r="B775" s="130" t="s">
        <v>543</v>
      </c>
      <c r="C775" s="19" t="s">
        <v>40</v>
      </c>
      <c r="E775" s="74" t="s">
        <v>0</v>
      </c>
      <c r="G775" s="62" t="s">
        <v>41</v>
      </c>
      <c r="H775" s="61">
        <v>18023</v>
      </c>
      <c r="J775" s="74" t="s">
        <v>0</v>
      </c>
      <c r="L775" s="271" t="s">
        <v>41</v>
      </c>
      <c r="M775" s="74">
        <v>25132</v>
      </c>
      <c r="N775" s="67" t="s">
        <v>479</v>
      </c>
    </row>
    <row r="776" spans="2:14" ht="17" x14ac:dyDescent="0.2">
      <c r="B776" s="128" t="s">
        <v>47</v>
      </c>
      <c r="E776" s="74"/>
    </row>
    <row r="777" spans="2:14" ht="17" x14ac:dyDescent="0.2">
      <c r="B777" s="131" t="s">
        <v>481</v>
      </c>
      <c r="C777" s="19" t="s">
        <v>40</v>
      </c>
      <c r="E777" s="74" t="s">
        <v>0</v>
      </c>
      <c r="G777" s="62" t="s">
        <v>41</v>
      </c>
      <c r="H777" s="61">
        <v>18023</v>
      </c>
      <c r="J777" s="74" t="s">
        <v>0</v>
      </c>
      <c r="L777" s="271" t="s">
        <v>41</v>
      </c>
      <c r="M777" s="74">
        <v>25132</v>
      </c>
      <c r="N777" s="67" t="s">
        <v>479</v>
      </c>
    </row>
    <row r="778" spans="2:14" ht="17" x14ac:dyDescent="0.2">
      <c r="B778" s="131" t="s">
        <v>49</v>
      </c>
      <c r="C778" s="19" t="s">
        <v>40</v>
      </c>
      <c r="E778" s="74" t="s">
        <v>0</v>
      </c>
      <c r="G778" s="62" t="s">
        <v>41</v>
      </c>
      <c r="H778" s="61">
        <v>18023</v>
      </c>
      <c r="J778" s="74" t="s">
        <v>0</v>
      </c>
      <c r="L778" s="271" t="s">
        <v>41</v>
      </c>
      <c r="M778" s="74">
        <v>25132</v>
      </c>
      <c r="N778" s="67" t="s">
        <v>479</v>
      </c>
    </row>
    <row r="779" spans="2:14" ht="17" x14ac:dyDescent="0.2">
      <c r="B779" s="128" t="s">
        <v>482</v>
      </c>
      <c r="E779" s="74"/>
    </row>
    <row r="780" spans="2:14" ht="17" x14ac:dyDescent="0.2">
      <c r="B780" s="131" t="s">
        <v>66</v>
      </c>
      <c r="C780" s="19" t="s">
        <v>40</v>
      </c>
      <c r="E780" s="74" t="s">
        <v>0</v>
      </c>
      <c r="G780" s="62" t="s">
        <v>41</v>
      </c>
      <c r="H780" s="61">
        <v>18023</v>
      </c>
      <c r="J780" s="74" t="s">
        <v>0</v>
      </c>
      <c r="L780" s="271" t="s">
        <v>41</v>
      </c>
      <c r="M780" s="74">
        <v>25132</v>
      </c>
      <c r="N780" s="67" t="s">
        <v>479</v>
      </c>
    </row>
    <row r="781" spans="2:14" ht="17" x14ac:dyDescent="0.2">
      <c r="B781" s="138" t="s">
        <v>67</v>
      </c>
      <c r="C781" s="19" t="s">
        <v>40</v>
      </c>
      <c r="E781" s="74" t="s">
        <v>0</v>
      </c>
      <c r="G781" s="62" t="s">
        <v>41</v>
      </c>
      <c r="H781" s="61">
        <v>18023</v>
      </c>
      <c r="J781" s="74" t="s">
        <v>0</v>
      </c>
      <c r="L781" s="271" t="s">
        <v>41</v>
      </c>
      <c r="M781" s="74">
        <v>25132</v>
      </c>
      <c r="N781" s="67" t="s">
        <v>479</v>
      </c>
    </row>
    <row r="782" spans="2:14" ht="17" x14ac:dyDescent="0.2">
      <c r="B782" s="166" t="s">
        <v>558</v>
      </c>
      <c r="C782" s="19" t="s">
        <v>40</v>
      </c>
      <c r="E782" s="74" t="s">
        <v>0</v>
      </c>
      <c r="G782" s="62" t="s">
        <v>41</v>
      </c>
      <c r="H782" s="61">
        <v>18023</v>
      </c>
      <c r="J782" s="74" t="s">
        <v>0</v>
      </c>
      <c r="L782" s="271" t="s">
        <v>41</v>
      </c>
      <c r="M782" s="74">
        <v>25132</v>
      </c>
      <c r="N782" s="67" t="s">
        <v>479</v>
      </c>
    </row>
    <row r="783" spans="2:14" ht="17" x14ac:dyDescent="0.2">
      <c r="B783" s="166" t="s">
        <v>559</v>
      </c>
      <c r="C783" s="19" t="s">
        <v>40</v>
      </c>
      <c r="E783" s="74" t="s">
        <v>0</v>
      </c>
      <c r="G783" s="62" t="s">
        <v>41</v>
      </c>
      <c r="H783" s="61">
        <v>18023</v>
      </c>
      <c r="J783" s="74" t="s">
        <v>0</v>
      </c>
      <c r="L783" s="271" t="s">
        <v>41</v>
      </c>
      <c r="M783" s="74">
        <v>25132</v>
      </c>
      <c r="N783" s="67" t="s">
        <v>479</v>
      </c>
    </row>
    <row r="784" spans="2:14" ht="17" x14ac:dyDescent="0.2">
      <c r="B784" s="138" t="s">
        <v>70</v>
      </c>
      <c r="C784" s="19" t="s">
        <v>40</v>
      </c>
      <c r="E784" s="74" t="s">
        <v>0</v>
      </c>
      <c r="G784" s="62" t="s">
        <v>41</v>
      </c>
      <c r="H784" s="61">
        <v>18023</v>
      </c>
      <c r="J784" s="74" t="s">
        <v>0</v>
      </c>
      <c r="L784" s="271" t="s">
        <v>41</v>
      </c>
      <c r="M784" s="74">
        <v>25132</v>
      </c>
      <c r="N784" s="67" t="s">
        <v>479</v>
      </c>
    </row>
    <row r="785" spans="2:14" ht="17" x14ac:dyDescent="0.2">
      <c r="B785" s="138" t="s">
        <v>316</v>
      </c>
      <c r="C785" s="19" t="s">
        <v>40</v>
      </c>
      <c r="E785" s="74" t="s">
        <v>0</v>
      </c>
      <c r="G785" s="62" t="s">
        <v>41</v>
      </c>
      <c r="H785" s="61">
        <v>18023</v>
      </c>
      <c r="J785" s="74" t="s">
        <v>0</v>
      </c>
      <c r="L785" s="271" t="s">
        <v>41</v>
      </c>
      <c r="M785" s="74">
        <v>25132</v>
      </c>
      <c r="N785" s="67" t="s">
        <v>479</v>
      </c>
    </row>
    <row r="786" spans="2:14" ht="17" x14ac:dyDescent="0.2">
      <c r="B786" s="139" t="s">
        <v>72</v>
      </c>
      <c r="C786" s="19" t="s">
        <v>40</v>
      </c>
      <c r="E786" s="74" t="s">
        <v>0</v>
      </c>
      <c r="G786" s="62" t="s">
        <v>41</v>
      </c>
      <c r="H786" s="61">
        <v>18023</v>
      </c>
      <c r="J786" s="74" t="s">
        <v>0</v>
      </c>
      <c r="L786" s="271" t="s">
        <v>41</v>
      </c>
      <c r="M786" s="74">
        <v>25132</v>
      </c>
      <c r="N786" s="67" t="s">
        <v>479</v>
      </c>
    </row>
    <row r="787" spans="2:14" ht="17" x14ac:dyDescent="0.2">
      <c r="B787" s="138" t="s">
        <v>483</v>
      </c>
      <c r="C787" s="19" t="s">
        <v>40</v>
      </c>
      <c r="E787" s="74" t="s">
        <v>0</v>
      </c>
      <c r="G787" s="62" t="s">
        <v>41</v>
      </c>
      <c r="H787" s="61">
        <v>18023</v>
      </c>
      <c r="J787" s="74" t="s">
        <v>0</v>
      </c>
      <c r="L787" s="271" t="s">
        <v>41</v>
      </c>
      <c r="M787" s="74">
        <v>25132</v>
      </c>
      <c r="N787" s="67" t="s">
        <v>479</v>
      </c>
    </row>
    <row r="788" spans="2:14" ht="17" x14ac:dyDescent="0.2">
      <c r="B788" s="138" t="s">
        <v>484</v>
      </c>
      <c r="C788" s="19" t="s">
        <v>40</v>
      </c>
      <c r="E788" s="74" t="s">
        <v>0</v>
      </c>
      <c r="G788" s="62" t="s">
        <v>41</v>
      </c>
      <c r="H788" s="61">
        <v>18023</v>
      </c>
      <c r="J788" s="74" t="s">
        <v>0</v>
      </c>
      <c r="L788" s="271" t="s">
        <v>41</v>
      </c>
      <c r="M788" s="74">
        <v>25132</v>
      </c>
      <c r="N788" s="67" t="s">
        <v>479</v>
      </c>
    </row>
    <row r="789" spans="2:14" ht="17" x14ac:dyDescent="0.2">
      <c r="B789" s="139" t="s">
        <v>485</v>
      </c>
      <c r="C789" s="19" t="s">
        <v>40</v>
      </c>
      <c r="E789" s="74" t="s">
        <v>0</v>
      </c>
      <c r="G789" s="62" t="s">
        <v>41</v>
      </c>
      <c r="H789" s="61">
        <v>18023</v>
      </c>
      <c r="J789" s="74" t="s">
        <v>0</v>
      </c>
      <c r="L789" s="271" t="s">
        <v>41</v>
      </c>
      <c r="M789" s="74">
        <v>25132</v>
      </c>
      <c r="N789" s="67" t="s">
        <v>479</v>
      </c>
    </row>
    <row r="790" spans="2:14" ht="17" x14ac:dyDescent="0.2">
      <c r="B790" s="242" t="s">
        <v>486</v>
      </c>
      <c r="C790" s="19" t="s">
        <v>40</v>
      </c>
      <c r="E790" s="74"/>
    </row>
    <row r="791" spans="2:14" ht="17" x14ac:dyDescent="0.2">
      <c r="B791" s="139" t="s">
        <v>553</v>
      </c>
      <c r="C791" s="19" t="s">
        <v>40</v>
      </c>
      <c r="E791" s="74" t="s">
        <v>0</v>
      </c>
      <c r="G791" s="62" t="s">
        <v>41</v>
      </c>
      <c r="H791" s="61">
        <v>18023</v>
      </c>
      <c r="J791" s="74" t="s">
        <v>0</v>
      </c>
      <c r="L791" s="271" t="s">
        <v>41</v>
      </c>
      <c r="M791" s="74">
        <v>25132</v>
      </c>
      <c r="N791" s="67" t="s">
        <v>479</v>
      </c>
    </row>
    <row r="792" spans="2:14" ht="17" x14ac:dyDescent="0.2">
      <c r="B792" s="139" t="s">
        <v>560</v>
      </c>
      <c r="C792" s="19" t="s">
        <v>40</v>
      </c>
      <c r="E792" s="74"/>
      <c r="G792" s="62" t="s">
        <v>41</v>
      </c>
      <c r="H792" s="61">
        <v>18023</v>
      </c>
      <c r="L792" s="271"/>
      <c r="N792" s="67"/>
    </row>
    <row r="793" spans="2:14" ht="17" x14ac:dyDescent="0.2">
      <c r="B793" s="139" t="s">
        <v>489</v>
      </c>
      <c r="C793" s="19" t="s">
        <v>40</v>
      </c>
      <c r="E793" s="74"/>
      <c r="G793" s="62" t="s">
        <v>41</v>
      </c>
      <c r="H793" s="61">
        <v>18023</v>
      </c>
      <c r="L793" s="271"/>
      <c r="N793" s="67"/>
    </row>
    <row r="794" spans="2:14" ht="17" x14ac:dyDescent="0.2">
      <c r="B794" s="139" t="s">
        <v>490</v>
      </c>
      <c r="C794" s="19" t="s">
        <v>40</v>
      </c>
      <c r="E794" s="74"/>
      <c r="G794" s="62" t="s">
        <v>41</v>
      </c>
      <c r="H794" s="61">
        <v>18023</v>
      </c>
      <c r="L794" s="271"/>
      <c r="N794" s="67"/>
    </row>
    <row r="795" spans="2:14" ht="17" x14ac:dyDescent="0.2">
      <c r="B795" s="147" t="s">
        <v>134</v>
      </c>
      <c r="C795" s="19" t="s">
        <v>40</v>
      </c>
      <c r="E795" s="74" t="s">
        <v>0</v>
      </c>
      <c r="G795" s="62" t="s">
        <v>41</v>
      </c>
      <c r="H795" s="61">
        <v>18023</v>
      </c>
      <c r="J795" s="74" t="s">
        <v>0</v>
      </c>
      <c r="L795" s="271" t="s">
        <v>41</v>
      </c>
      <c r="M795" s="74">
        <v>25132</v>
      </c>
      <c r="N795" s="67" t="s">
        <v>479</v>
      </c>
    </row>
    <row r="796" spans="2:14" ht="17" x14ac:dyDescent="0.2">
      <c r="B796" s="139" t="s">
        <v>544</v>
      </c>
      <c r="C796" s="19" t="s">
        <v>40</v>
      </c>
      <c r="E796" s="74" t="s">
        <v>0</v>
      </c>
      <c r="G796" s="62" t="s">
        <v>41</v>
      </c>
      <c r="H796" s="61">
        <v>18023</v>
      </c>
      <c r="J796" s="74" t="s">
        <v>0</v>
      </c>
      <c r="L796" s="271" t="s">
        <v>41</v>
      </c>
      <c r="M796" s="74">
        <v>25132</v>
      </c>
      <c r="N796" s="67" t="s">
        <v>479</v>
      </c>
    </row>
    <row r="797" spans="2:14" ht="17" x14ac:dyDescent="0.2">
      <c r="B797" s="139" t="s">
        <v>492</v>
      </c>
      <c r="C797" s="19" t="s">
        <v>40</v>
      </c>
      <c r="E797" s="74" t="s">
        <v>0</v>
      </c>
      <c r="G797" s="62" t="s">
        <v>41</v>
      </c>
      <c r="H797" s="61">
        <v>18023</v>
      </c>
      <c r="J797" s="74" t="s">
        <v>0</v>
      </c>
      <c r="L797" s="271" t="s">
        <v>41</v>
      </c>
      <c r="M797" s="74">
        <v>25132</v>
      </c>
      <c r="N797" s="67" t="s">
        <v>479</v>
      </c>
    </row>
    <row r="798" spans="2:14" ht="17" x14ac:dyDescent="0.2">
      <c r="B798" s="139" t="s">
        <v>493</v>
      </c>
      <c r="C798" s="19" t="s">
        <v>40</v>
      </c>
      <c r="E798" s="74" t="s">
        <v>0</v>
      </c>
      <c r="G798" s="62" t="s">
        <v>41</v>
      </c>
      <c r="H798" s="61">
        <v>18023</v>
      </c>
      <c r="J798" s="74" t="s">
        <v>0</v>
      </c>
      <c r="L798" s="271" t="s">
        <v>41</v>
      </c>
      <c r="M798" s="74">
        <v>25132</v>
      </c>
      <c r="N798" s="67" t="s">
        <v>479</v>
      </c>
    </row>
    <row r="799" spans="2:14" ht="17" x14ac:dyDescent="0.2">
      <c r="B799" s="166" t="s">
        <v>237</v>
      </c>
      <c r="C799" s="19" t="s">
        <v>40</v>
      </c>
      <c r="E799" s="74" t="s">
        <v>0</v>
      </c>
      <c r="G799" s="62" t="s">
        <v>41</v>
      </c>
      <c r="H799" s="61">
        <v>18023</v>
      </c>
      <c r="J799" s="74" t="s">
        <v>0</v>
      </c>
      <c r="L799" s="271" t="s">
        <v>41</v>
      </c>
      <c r="M799" s="74">
        <v>25132</v>
      </c>
      <c r="N799" s="67" t="s">
        <v>479</v>
      </c>
    </row>
    <row r="800" spans="2:14" ht="17" x14ac:dyDescent="0.2">
      <c r="B800" s="166" t="s">
        <v>79</v>
      </c>
      <c r="C800" s="19" t="s">
        <v>40</v>
      </c>
      <c r="E800" s="74" t="s">
        <v>0</v>
      </c>
      <c r="G800" s="62" t="s">
        <v>41</v>
      </c>
      <c r="H800" s="61">
        <v>18023</v>
      </c>
      <c r="J800" s="74" t="s">
        <v>0</v>
      </c>
      <c r="L800" s="271" t="s">
        <v>41</v>
      </c>
      <c r="M800" s="74">
        <v>25132</v>
      </c>
      <c r="N800" s="67" t="s">
        <v>479</v>
      </c>
    </row>
    <row r="801" spans="2:14" ht="17" x14ac:dyDescent="0.2">
      <c r="B801" s="166" t="s">
        <v>380</v>
      </c>
      <c r="C801" s="19" t="s">
        <v>40</v>
      </c>
      <c r="E801" s="74" t="s">
        <v>0</v>
      </c>
      <c r="G801" s="62" t="s">
        <v>41</v>
      </c>
      <c r="H801" s="61">
        <v>18023</v>
      </c>
      <c r="J801" s="74" t="s">
        <v>0</v>
      </c>
      <c r="L801" s="271" t="s">
        <v>41</v>
      </c>
      <c r="M801" s="74">
        <v>25132</v>
      </c>
      <c r="N801" s="67" t="s">
        <v>479</v>
      </c>
    </row>
    <row r="802" spans="2:14" ht="17" x14ac:dyDescent="0.2">
      <c r="B802" s="138" t="s">
        <v>81</v>
      </c>
      <c r="C802" s="19" t="s">
        <v>40</v>
      </c>
      <c r="E802" s="74" t="s">
        <v>0</v>
      </c>
      <c r="G802" s="62" t="s">
        <v>41</v>
      </c>
      <c r="H802" s="61">
        <v>18023</v>
      </c>
      <c r="J802" s="74" t="s">
        <v>0</v>
      </c>
      <c r="L802" s="271" t="s">
        <v>41</v>
      </c>
      <c r="M802" s="74">
        <v>25132</v>
      </c>
      <c r="N802" s="67" t="s">
        <v>479</v>
      </c>
    </row>
    <row r="803" spans="2:14" ht="17" x14ac:dyDescent="0.2">
      <c r="B803" s="138" t="s">
        <v>554</v>
      </c>
      <c r="C803" s="19" t="s">
        <v>40</v>
      </c>
      <c r="E803" s="74" t="s">
        <v>0</v>
      </c>
      <c r="G803" s="62" t="s">
        <v>41</v>
      </c>
      <c r="H803" s="61">
        <v>18023</v>
      </c>
      <c r="J803" s="74" t="s">
        <v>0</v>
      </c>
      <c r="L803" s="271" t="s">
        <v>41</v>
      </c>
      <c r="M803" s="74">
        <v>25132</v>
      </c>
      <c r="N803" s="67" t="s">
        <v>479</v>
      </c>
    </row>
    <row r="804" spans="2:14" ht="17" x14ac:dyDescent="0.2">
      <c r="B804" s="138" t="s">
        <v>494</v>
      </c>
      <c r="C804" s="19" t="s">
        <v>40</v>
      </c>
      <c r="E804" s="74" t="s">
        <v>0</v>
      </c>
      <c r="G804" s="62" t="s">
        <v>41</v>
      </c>
      <c r="H804" s="61">
        <v>18023</v>
      </c>
      <c r="J804" s="74" t="s">
        <v>0</v>
      </c>
      <c r="L804" s="271" t="s">
        <v>41</v>
      </c>
      <c r="M804" s="74">
        <v>25132</v>
      </c>
      <c r="N804" s="67" t="s">
        <v>479</v>
      </c>
    </row>
    <row r="805" spans="2:14" ht="17" x14ac:dyDescent="0.2">
      <c r="B805" s="138" t="s">
        <v>495</v>
      </c>
      <c r="C805" s="19" t="s">
        <v>40</v>
      </c>
      <c r="E805" s="74" t="s">
        <v>0</v>
      </c>
      <c r="G805" s="62" t="s">
        <v>41</v>
      </c>
      <c r="H805" s="61">
        <v>18023</v>
      </c>
      <c r="J805" s="74" t="s">
        <v>0</v>
      </c>
      <c r="L805" s="271" t="s">
        <v>41</v>
      </c>
      <c r="M805" s="74">
        <v>25132</v>
      </c>
      <c r="N805" s="67" t="s">
        <v>479</v>
      </c>
    </row>
    <row r="806" spans="2:14" ht="17" x14ac:dyDescent="0.2">
      <c r="B806" s="242" t="s">
        <v>496</v>
      </c>
      <c r="C806" s="19"/>
      <c r="E806" s="74"/>
    </row>
    <row r="807" spans="2:14" ht="17" x14ac:dyDescent="0.2">
      <c r="B807" s="147" t="s">
        <v>134</v>
      </c>
      <c r="C807" s="19" t="s">
        <v>40</v>
      </c>
      <c r="E807" s="74" t="s">
        <v>0</v>
      </c>
      <c r="G807" s="62" t="s">
        <v>41</v>
      </c>
      <c r="H807" s="61">
        <v>18023</v>
      </c>
      <c r="J807" s="74" t="s">
        <v>0</v>
      </c>
      <c r="L807" s="271" t="s">
        <v>41</v>
      </c>
      <c r="M807" s="74">
        <v>25132</v>
      </c>
      <c r="N807" s="67" t="s">
        <v>479</v>
      </c>
    </row>
    <row r="808" spans="2:14" ht="17" x14ac:dyDescent="0.2">
      <c r="B808" s="139" t="s">
        <v>497</v>
      </c>
      <c r="C808" s="19" t="s">
        <v>40</v>
      </c>
      <c r="E808" s="74" t="s">
        <v>0</v>
      </c>
      <c r="G808" s="62" t="s">
        <v>41</v>
      </c>
      <c r="H808" s="61">
        <v>18023</v>
      </c>
      <c r="J808" s="74" t="s">
        <v>0</v>
      </c>
      <c r="L808" s="271" t="s">
        <v>41</v>
      </c>
      <c r="M808" s="74">
        <v>25132</v>
      </c>
      <c r="N808" s="67" t="s">
        <v>479</v>
      </c>
    </row>
    <row r="809" spans="2:14" ht="34" x14ac:dyDescent="0.2">
      <c r="B809" s="166" t="s">
        <v>520</v>
      </c>
      <c r="C809" s="19" t="s">
        <v>40</v>
      </c>
      <c r="E809" s="74" t="s">
        <v>0</v>
      </c>
      <c r="G809" s="62" t="s">
        <v>41</v>
      </c>
      <c r="H809" s="61">
        <v>18023</v>
      </c>
      <c r="J809" s="74" t="s">
        <v>0</v>
      </c>
      <c r="L809" s="271" t="s">
        <v>41</v>
      </c>
      <c r="M809" s="74">
        <v>25132</v>
      </c>
      <c r="N809" s="67" t="s">
        <v>479</v>
      </c>
    </row>
    <row r="810" spans="2:14" ht="17" x14ac:dyDescent="0.2">
      <c r="B810" s="139" t="s">
        <v>499</v>
      </c>
      <c r="C810" s="19" t="s">
        <v>40</v>
      </c>
      <c r="E810" s="74" t="s">
        <v>0</v>
      </c>
      <c r="G810" s="62" t="s">
        <v>41</v>
      </c>
      <c r="H810" s="61">
        <v>18023</v>
      </c>
      <c r="J810" s="74" t="s">
        <v>0</v>
      </c>
      <c r="L810" s="271" t="s">
        <v>41</v>
      </c>
      <c r="M810" s="74">
        <v>25132</v>
      </c>
      <c r="N810" s="67" t="s">
        <v>479</v>
      </c>
    </row>
    <row r="811" spans="2:14" x14ac:dyDescent="0.2">
      <c r="B811" s="140" t="s">
        <v>86</v>
      </c>
      <c r="E811" s="74"/>
    </row>
    <row r="812" spans="2:14" x14ac:dyDescent="0.2">
      <c r="B812" s="140" t="s">
        <v>500</v>
      </c>
      <c r="E812" s="74"/>
    </row>
    <row r="813" spans="2:14" ht="17" x14ac:dyDescent="0.2">
      <c r="B813" s="141" t="s">
        <v>87</v>
      </c>
      <c r="C813" s="19" t="s">
        <v>40</v>
      </c>
      <c r="E813" s="74" t="s">
        <v>0</v>
      </c>
      <c r="G813" s="62" t="s">
        <v>41</v>
      </c>
      <c r="H813" s="61">
        <v>18023</v>
      </c>
      <c r="J813" s="74" t="s">
        <v>0</v>
      </c>
      <c r="L813" s="271" t="s">
        <v>41</v>
      </c>
      <c r="M813" s="74">
        <v>25132</v>
      </c>
      <c r="N813" s="67" t="s">
        <v>479</v>
      </c>
    </row>
    <row r="814" spans="2:14" ht="32" x14ac:dyDescent="0.2">
      <c r="B814" s="250" t="s">
        <v>102</v>
      </c>
      <c r="C814" s="19" t="s">
        <v>40</v>
      </c>
      <c r="E814" s="74" t="s">
        <v>0</v>
      </c>
      <c r="G814" s="62" t="s">
        <v>41</v>
      </c>
      <c r="H814" s="61">
        <v>18023</v>
      </c>
      <c r="J814" s="74" t="s">
        <v>0</v>
      </c>
      <c r="L814" s="271" t="s">
        <v>41</v>
      </c>
      <c r="M814" s="74">
        <v>25132</v>
      </c>
      <c r="N814" s="67" t="s">
        <v>479</v>
      </c>
    </row>
    <row r="815" spans="2:14" ht="48" x14ac:dyDescent="0.2">
      <c r="B815" s="143" t="s">
        <v>113</v>
      </c>
      <c r="C815" s="19" t="s">
        <v>40</v>
      </c>
      <c r="E815" s="74" t="s">
        <v>0</v>
      </c>
      <c r="G815" s="62" t="s">
        <v>41</v>
      </c>
      <c r="H815" s="61">
        <v>18023</v>
      </c>
      <c r="J815" s="74" t="s">
        <v>0</v>
      </c>
      <c r="L815" s="271" t="s">
        <v>41</v>
      </c>
      <c r="M815" s="74">
        <v>25132</v>
      </c>
      <c r="N815" s="67" t="s">
        <v>479</v>
      </c>
    </row>
    <row r="816" spans="2:14" ht="17" x14ac:dyDescent="0.2">
      <c r="B816" s="144" t="s">
        <v>96</v>
      </c>
      <c r="C816" s="19" t="s">
        <v>40</v>
      </c>
      <c r="E816" s="74" t="s">
        <v>0</v>
      </c>
      <c r="G816" s="62" t="s">
        <v>41</v>
      </c>
      <c r="H816" s="61">
        <v>18023</v>
      </c>
      <c r="J816" s="74" t="s">
        <v>0</v>
      </c>
      <c r="L816" s="271" t="s">
        <v>41</v>
      </c>
      <c r="M816" s="74">
        <v>25132</v>
      </c>
      <c r="N816" s="67" t="s">
        <v>479</v>
      </c>
    </row>
    <row r="817" spans="2:14" ht="32" x14ac:dyDescent="0.2">
      <c r="B817" s="143" t="s">
        <v>97</v>
      </c>
      <c r="C817" s="19" t="s">
        <v>40</v>
      </c>
      <c r="E817" s="74" t="s">
        <v>0</v>
      </c>
      <c r="G817" s="62" t="s">
        <v>41</v>
      </c>
      <c r="H817" s="61">
        <v>18023</v>
      </c>
      <c r="J817" s="74" t="s">
        <v>0</v>
      </c>
      <c r="L817" s="271" t="s">
        <v>41</v>
      </c>
      <c r="M817" s="74">
        <v>25132</v>
      </c>
      <c r="N817" s="67" t="s">
        <v>479</v>
      </c>
    </row>
    <row r="818" spans="2:14" ht="32" x14ac:dyDescent="0.2">
      <c r="B818" s="142" t="s">
        <v>114</v>
      </c>
      <c r="C818" s="19" t="s">
        <v>40</v>
      </c>
      <c r="E818" s="74" t="s">
        <v>0</v>
      </c>
      <c r="G818" s="62" t="s">
        <v>41</v>
      </c>
      <c r="H818" s="61">
        <v>18023</v>
      </c>
      <c r="J818" s="74" t="s">
        <v>0</v>
      </c>
      <c r="L818" s="271" t="s">
        <v>41</v>
      </c>
      <c r="M818" s="74">
        <v>25132</v>
      </c>
      <c r="N818" s="67" t="s">
        <v>479</v>
      </c>
    </row>
    <row r="819" spans="2:14" ht="17" x14ac:dyDescent="0.2">
      <c r="B819" s="144" t="s">
        <v>99</v>
      </c>
      <c r="C819" s="19" t="s">
        <v>40</v>
      </c>
      <c r="E819" s="74" t="s">
        <v>0</v>
      </c>
      <c r="G819" s="62" t="s">
        <v>41</v>
      </c>
      <c r="H819" s="61">
        <v>18023</v>
      </c>
      <c r="J819" s="74" t="s">
        <v>0</v>
      </c>
      <c r="L819" s="271" t="s">
        <v>41</v>
      </c>
      <c r="M819" s="74">
        <v>25132</v>
      </c>
      <c r="N819" s="67" t="s">
        <v>479</v>
      </c>
    </row>
    <row r="820" spans="2:14" ht="17" x14ac:dyDescent="0.2">
      <c r="B820" s="143" t="s">
        <v>115</v>
      </c>
      <c r="C820" s="19" t="s">
        <v>40</v>
      </c>
      <c r="E820" s="74" t="s">
        <v>0</v>
      </c>
      <c r="G820" s="62" t="s">
        <v>41</v>
      </c>
      <c r="H820" s="61">
        <v>18023</v>
      </c>
      <c r="J820" s="74" t="s">
        <v>0</v>
      </c>
      <c r="L820" s="271" t="s">
        <v>41</v>
      </c>
      <c r="M820" s="74">
        <v>25132</v>
      </c>
      <c r="N820" s="67" t="s">
        <v>479</v>
      </c>
    </row>
    <row r="821" spans="2:14" ht="17" x14ac:dyDescent="0.2">
      <c r="B821" s="128" t="s">
        <v>121</v>
      </c>
      <c r="C821" s="19"/>
      <c r="E821" s="74"/>
      <c r="G821" s="62"/>
      <c r="H821" s="61"/>
    </row>
    <row r="822" spans="2:14" ht="17" x14ac:dyDescent="0.2">
      <c r="B822" s="145" t="s">
        <v>122</v>
      </c>
      <c r="C822" s="19" t="s">
        <v>40</v>
      </c>
      <c r="E822" s="74" t="s">
        <v>0</v>
      </c>
      <c r="G822" s="62" t="s">
        <v>41</v>
      </c>
      <c r="H822" s="61">
        <v>18023</v>
      </c>
      <c r="J822" s="74" t="s">
        <v>0</v>
      </c>
      <c r="L822" s="271" t="s">
        <v>41</v>
      </c>
      <c r="M822" s="74">
        <v>25132</v>
      </c>
      <c r="N822" s="67" t="s">
        <v>479</v>
      </c>
    </row>
    <row r="823" spans="2:14" ht="17" x14ac:dyDescent="0.2">
      <c r="B823" s="139" t="s">
        <v>123</v>
      </c>
      <c r="C823" s="19" t="s">
        <v>40</v>
      </c>
      <c r="E823" s="74" t="s">
        <v>0</v>
      </c>
      <c r="G823" s="62" t="s">
        <v>41</v>
      </c>
      <c r="H823" s="61">
        <v>18023</v>
      </c>
      <c r="J823" s="74" t="s">
        <v>0</v>
      </c>
      <c r="L823" s="271" t="s">
        <v>41</v>
      </c>
      <c r="M823" s="74">
        <v>25132</v>
      </c>
      <c r="N823" s="67" t="s">
        <v>479</v>
      </c>
    </row>
    <row r="824" spans="2:14" ht="17" x14ac:dyDescent="0.2">
      <c r="B824" s="260" t="s">
        <v>545</v>
      </c>
      <c r="C824" s="19" t="s">
        <v>40</v>
      </c>
      <c r="E824" s="74" t="s">
        <v>0</v>
      </c>
      <c r="G824" s="62" t="s">
        <v>41</v>
      </c>
      <c r="H824" s="61">
        <v>18023</v>
      </c>
      <c r="J824" s="74" t="s">
        <v>0</v>
      </c>
      <c r="L824" s="271" t="s">
        <v>41</v>
      </c>
      <c r="M824" s="74">
        <v>25132</v>
      </c>
      <c r="N824" s="67" t="s">
        <v>479</v>
      </c>
    </row>
    <row r="825" spans="2:14" ht="17" x14ac:dyDescent="0.2">
      <c r="B825" s="249" t="s">
        <v>125</v>
      </c>
      <c r="C825" s="19" t="s">
        <v>40</v>
      </c>
      <c r="E825" s="74" t="s">
        <v>0</v>
      </c>
      <c r="G825" s="62" t="s">
        <v>41</v>
      </c>
      <c r="H825" s="61">
        <v>18023</v>
      </c>
      <c r="J825" s="74" t="s">
        <v>0</v>
      </c>
      <c r="L825" s="271" t="s">
        <v>41</v>
      </c>
      <c r="M825" s="74">
        <v>25132</v>
      </c>
      <c r="N825" s="67" t="s">
        <v>479</v>
      </c>
    </row>
    <row r="826" spans="2:14" ht="17" x14ac:dyDescent="0.2">
      <c r="B826" s="243" t="s">
        <v>126</v>
      </c>
      <c r="C826" s="19" t="s">
        <v>40</v>
      </c>
      <c r="E826" s="74" t="s">
        <v>0</v>
      </c>
      <c r="G826" s="62" t="s">
        <v>41</v>
      </c>
      <c r="H826" s="61">
        <v>18023</v>
      </c>
      <c r="J826" s="74" t="s">
        <v>0</v>
      </c>
      <c r="L826" s="271" t="s">
        <v>41</v>
      </c>
      <c r="M826" s="74">
        <v>25132</v>
      </c>
      <c r="N826" s="67" t="s">
        <v>479</v>
      </c>
    </row>
    <row r="827" spans="2:14" ht="17" x14ac:dyDescent="0.2">
      <c r="B827" s="244" t="s">
        <v>127</v>
      </c>
      <c r="C827" s="19" t="s">
        <v>40</v>
      </c>
      <c r="E827" s="74" t="s">
        <v>0</v>
      </c>
      <c r="G827" s="62" t="s">
        <v>41</v>
      </c>
      <c r="H827" s="61">
        <v>18023</v>
      </c>
      <c r="J827" s="74" t="s">
        <v>0</v>
      </c>
      <c r="L827" s="271" t="s">
        <v>41</v>
      </c>
      <c r="M827" s="74">
        <v>25132</v>
      </c>
      <c r="N827" s="67" t="s">
        <v>479</v>
      </c>
    </row>
    <row r="828" spans="2:14" ht="17" x14ac:dyDescent="0.2">
      <c r="B828" s="227" t="s">
        <v>382</v>
      </c>
      <c r="C828" s="19" t="s">
        <v>40</v>
      </c>
      <c r="E828" s="74" t="s">
        <v>0</v>
      </c>
      <c r="G828" s="62" t="s">
        <v>41</v>
      </c>
      <c r="H828" s="61">
        <v>18023</v>
      </c>
      <c r="J828" s="74" t="s">
        <v>0</v>
      </c>
      <c r="L828" s="271" t="s">
        <v>41</v>
      </c>
      <c r="M828" s="74">
        <v>25132</v>
      </c>
      <c r="N828" s="67" t="s">
        <v>479</v>
      </c>
    </row>
    <row r="829" spans="2:14" ht="17" x14ac:dyDescent="0.2">
      <c r="B829" s="259" t="s">
        <v>129</v>
      </c>
      <c r="C829" s="19" t="s">
        <v>40</v>
      </c>
      <c r="E829" s="74" t="s">
        <v>0</v>
      </c>
      <c r="G829" s="62" t="s">
        <v>41</v>
      </c>
      <c r="H829" s="61">
        <v>18023</v>
      </c>
      <c r="J829" s="74" t="s">
        <v>0</v>
      </c>
      <c r="L829" s="271" t="s">
        <v>41</v>
      </c>
      <c r="M829" s="74">
        <v>25132</v>
      </c>
      <c r="N829" s="67" t="s">
        <v>479</v>
      </c>
    </row>
    <row r="830" spans="2:14" ht="17" x14ac:dyDescent="0.2">
      <c r="B830" s="227" t="s">
        <v>372</v>
      </c>
      <c r="C830" s="19" t="s">
        <v>40</v>
      </c>
      <c r="E830" s="74" t="s">
        <v>0</v>
      </c>
      <c r="G830" s="62" t="s">
        <v>41</v>
      </c>
      <c r="H830" s="61">
        <v>18023</v>
      </c>
      <c r="J830" s="74" t="s">
        <v>0</v>
      </c>
      <c r="L830" s="271" t="s">
        <v>41</v>
      </c>
      <c r="M830" s="74">
        <v>25132</v>
      </c>
      <c r="N830" s="67" t="s">
        <v>479</v>
      </c>
    </row>
    <row r="831" spans="2:14" ht="17" x14ac:dyDescent="0.2">
      <c r="B831" s="247" t="s">
        <v>501</v>
      </c>
      <c r="C831" s="19" t="s">
        <v>40</v>
      </c>
      <c r="E831" s="74" t="s">
        <v>0</v>
      </c>
      <c r="G831" s="62" t="s">
        <v>41</v>
      </c>
      <c r="H831" s="61">
        <v>18023</v>
      </c>
      <c r="J831" s="74" t="s">
        <v>0</v>
      </c>
      <c r="L831" s="271" t="s">
        <v>41</v>
      </c>
      <c r="M831" s="74">
        <v>25132</v>
      </c>
      <c r="N831" s="67" t="s">
        <v>479</v>
      </c>
    </row>
    <row r="832" spans="2:14" ht="17" x14ac:dyDescent="0.2">
      <c r="B832" s="247" t="s">
        <v>132</v>
      </c>
      <c r="C832" s="19" t="s">
        <v>40</v>
      </c>
      <c r="E832" s="74" t="s">
        <v>0</v>
      </c>
      <c r="G832" s="62" t="s">
        <v>41</v>
      </c>
      <c r="H832" s="61">
        <v>18023</v>
      </c>
      <c r="J832" s="74" t="s">
        <v>0</v>
      </c>
      <c r="L832" s="271" t="s">
        <v>41</v>
      </c>
      <c r="M832" s="74">
        <v>25132</v>
      </c>
      <c r="N832" s="67" t="s">
        <v>479</v>
      </c>
    </row>
    <row r="833" spans="2:14" ht="17" x14ac:dyDescent="0.2">
      <c r="B833" s="247" t="s">
        <v>134</v>
      </c>
      <c r="C833" s="19" t="s">
        <v>40</v>
      </c>
      <c r="E833" s="74" t="s">
        <v>0</v>
      </c>
      <c r="G833" s="62" t="s">
        <v>41</v>
      </c>
      <c r="H833" s="61">
        <v>18023</v>
      </c>
      <c r="J833" s="74" t="s">
        <v>0</v>
      </c>
      <c r="L833" s="271" t="s">
        <v>41</v>
      </c>
      <c r="M833" s="74">
        <v>25132</v>
      </c>
      <c r="N833" s="67" t="s">
        <v>479</v>
      </c>
    </row>
    <row r="834" spans="2:14" ht="17" x14ac:dyDescent="0.2">
      <c r="B834" s="247" t="s">
        <v>136</v>
      </c>
      <c r="C834" s="19" t="s">
        <v>40</v>
      </c>
      <c r="E834" s="74" t="s">
        <v>0</v>
      </c>
      <c r="G834" s="62" t="s">
        <v>41</v>
      </c>
      <c r="H834" s="61">
        <v>18023</v>
      </c>
      <c r="J834" s="74" t="s">
        <v>0</v>
      </c>
      <c r="L834" s="271" t="s">
        <v>41</v>
      </c>
      <c r="M834" s="74">
        <v>25132</v>
      </c>
      <c r="N834" s="67" t="s">
        <v>479</v>
      </c>
    </row>
    <row r="835" spans="2:14" ht="23" x14ac:dyDescent="0.3">
      <c r="B835" s="148" t="s">
        <v>137</v>
      </c>
      <c r="C835" s="19"/>
      <c r="E835" s="74"/>
    </row>
    <row r="836" spans="2:14" ht="23" x14ac:dyDescent="0.3">
      <c r="B836" s="148" t="s">
        <v>138</v>
      </c>
      <c r="C836" s="19"/>
      <c r="E836" s="74"/>
    </row>
    <row r="837" spans="2:14" ht="17" x14ac:dyDescent="0.2">
      <c r="B837" s="147" t="s">
        <v>546</v>
      </c>
      <c r="C837" s="19" t="s">
        <v>40</v>
      </c>
      <c r="E837" s="74" t="s">
        <v>0</v>
      </c>
      <c r="G837" s="62" t="s">
        <v>41</v>
      </c>
      <c r="H837" s="61">
        <v>18023</v>
      </c>
      <c r="J837" s="74" t="s">
        <v>0</v>
      </c>
      <c r="L837" s="271" t="s">
        <v>41</v>
      </c>
      <c r="M837" s="74">
        <v>25132</v>
      </c>
      <c r="N837" s="67" t="s">
        <v>479</v>
      </c>
    </row>
    <row r="838" spans="2:14" ht="34" x14ac:dyDescent="0.2">
      <c r="B838" s="147" t="s">
        <v>538</v>
      </c>
      <c r="C838" s="19" t="s">
        <v>40</v>
      </c>
      <c r="E838" s="74" t="s">
        <v>0</v>
      </c>
      <c r="G838" s="62" t="s">
        <v>41</v>
      </c>
      <c r="H838" s="61">
        <v>18023</v>
      </c>
      <c r="J838" s="74" t="s">
        <v>0</v>
      </c>
      <c r="L838" s="271" t="s">
        <v>41</v>
      </c>
      <c r="M838" s="74">
        <v>25132</v>
      </c>
      <c r="N838" s="67" t="s">
        <v>479</v>
      </c>
    </row>
    <row r="839" spans="2:14" ht="17" x14ac:dyDescent="0.2">
      <c r="B839" s="147" t="s">
        <v>547</v>
      </c>
      <c r="C839" s="19" t="s">
        <v>40</v>
      </c>
      <c r="E839" s="74" t="s">
        <v>0</v>
      </c>
      <c r="G839" s="62" t="s">
        <v>41</v>
      </c>
      <c r="H839" s="61">
        <v>18023</v>
      </c>
      <c r="J839" s="74" t="s">
        <v>0</v>
      </c>
      <c r="L839" s="271" t="s">
        <v>41</v>
      </c>
      <c r="M839" s="74">
        <v>25132</v>
      </c>
      <c r="N839" s="67" t="s">
        <v>479</v>
      </c>
    </row>
    <row r="840" spans="2:14" ht="17" x14ac:dyDescent="0.2">
      <c r="B840" s="147" t="s">
        <v>561</v>
      </c>
      <c r="C840" s="19" t="s">
        <v>40</v>
      </c>
      <c r="E840" s="74" t="s">
        <v>0</v>
      </c>
      <c r="G840" s="62" t="s">
        <v>41</v>
      </c>
      <c r="H840" s="61">
        <v>18023</v>
      </c>
      <c r="J840" s="74" t="s">
        <v>0</v>
      </c>
      <c r="L840" s="271" t="s">
        <v>41</v>
      </c>
      <c r="M840" s="74">
        <v>25132</v>
      </c>
      <c r="N840" s="67" t="s">
        <v>479</v>
      </c>
    </row>
    <row r="841" spans="2:14" ht="17" x14ac:dyDescent="0.2">
      <c r="B841" s="147" t="s">
        <v>556</v>
      </c>
      <c r="C841" s="19" t="s">
        <v>40</v>
      </c>
      <c r="E841" s="74" t="s">
        <v>0</v>
      </c>
      <c r="G841" s="62" t="s">
        <v>41</v>
      </c>
      <c r="H841" s="61">
        <v>18023</v>
      </c>
      <c r="J841" s="74" t="s">
        <v>0</v>
      </c>
      <c r="L841" s="271" t="s">
        <v>41</v>
      </c>
      <c r="M841" s="74">
        <v>25132</v>
      </c>
      <c r="N841" s="67" t="s">
        <v>479</v>
      </c>
    </row>
    <row r="842" spans="2:14" ht="23" x14ac:dyDescent="0.3">
      <c r="B842" s="148" t="s">
        <v>144</v>
      </c>
      <c r="C842" s="19"/>
      <c r="E842" s="74"/>
    </row>
    <row r="843" spans="2:14" ht="17" x14ac:dyDescent="0.2">
      <c r="B843" s="147" t="s">
        <v>145</v>
      </c>
      <c r="C843" s="19" t="s">
        <v>40</v>
      </c>
      <c r="E843" s="74" t="s">
        <v>0</v>
      </c>
      <c r="G843" s="62" t="s">
        <v>41</v>
      </c>
      <c r="H843" s="61">
        <v>18023</v>
      </c>
      <c r="J843" s="74" t="s">
        <v>0</v>
      </c>
      <c r="L843" s="271" t="s">
        <v>41</v>
      </c>
      <c r="M843" s="74">
        <v>25132</v>
      </c>
      <c r="N843" s="67" t="s">
        <v>479</v>
      </c>
    </row>
    <row r="844" spans="2:14" ht="17" x14ac:dyDescent="0.2">
      <c r="B844" s="147" t="s">
        <v>146</v>
      </c>
      <c r="C844" s="19" t="s">
        <v>40</v>
      </c>
      <c r="E844" s="74" t="s">
        <v>0</v>
      </c>
      <c r="G844" s="62" t="s">
        <v>41</v>
      </c>
      <c r="H844" s="61">
        <v>18023</v>
      </c>
      <c r="J844" s="74" t="s">
        <v>0</v>
      </c>
      <c r="L844" s="271" t="s">
        <v>41</v>
      </c>
      <c r="M844" s="74">
        <v>25132</v>
      </c>
      <c r="N844" s="67" t="s">
        <v>479</v>
      </c>
    </row>
    <row r="845" spans="2:14" ht="17" x14ac:dyDescent="0.2">
      <c r="B845" s="168" t="s">
        <v>562</v>
      </c>
      <c r="C845" s="19" t="s">
        <v>40</v>
      </c>
      <c r="E845" s="74" t="s">
        <v>0</v>
      </c>
      <c r="G845" s="62" t="s">
        <v>41</v>
      </c>
      <c r="H845" s="61">
        <v>18023</v>
      </c>
      <c r="J845" s="74" t="s">
        <v>0</v>
      </c>
      <c r="L845" s="271" t="s">
        <v>41</v>
      </c>
      <c r="M845" s="74">
        <v>25132</v>
      </c>
      <c r="N845" s="67" t="s">
        <v>479</v>
      </c>
    </row>
    <row r="846" spans="2:14" ht="17" x14ac:dyDescent="0.2">
      <c r="B846" s="147" t="s">
        <v>148</v>
      </c>
      <c r="C846" s="19" t="s">
        <v>40</v>
      </c>
      <c r="E846" s="74" t="s">
        <v>0</v>
      </c>
      <c r="G846" s="62" t="s">
        <v>41</v>
      </c>
      <c r="H846" s="61">
        <v>18023</v>
      </c>
      <c r="J846" s="74" t="s">
        <v>0</v>
      </c>
      <c r="L846" s="271" t="s">
        <v>41</v>
      </c>
      <c r="M846" s="74">
        <v>25132</v>
      </c>
      <c r="N846" s="67" t="s">
        <v>479</v>
      </c>
    </row>
    <row r="847" spans="2:14" ht="17" x14ac:dyDescent="0.2">
      <c r="B847" s="168" t="s">
        <v>375</v>
      </c>
      <c r="C847" s="19" t="s">
        <v>40</v>
      </c>
      <c r="E847" s="74" t="s">
        <v>0</v>
      </c>
      <c r="G847" s="62" t="s">
        <v>41</v>
      </c>
      <c r="H847" s="61">
        <v>18023</v>
      </c>
      <c r="J847" s="74" t="s">
        <v>0</v>
      </c>
      <c r="L847" s="271" t="s">
        <v>41</v>
      </c>
      <c r="M847" s="74">
        <v>25132</v>
      </c>
      <c r="N847" s="67" t="s">
        <v>479</v>
      </c>
    </row>
    <row r="848" spans="2:14" ht="20" x14ac:dyDescent="0.2">
      <c r="B848" s="177" t="s">
        <v>51</v>
      </c>
      <c r="C848" s="19"/>
      <c r="E848" s="74"/>
    </row>
    <row r="849" spans="2:14" ht="17" x14ac:dyDescent="0.2">
      <c r="B849" s="128" t="s">
        <v>342</v>
      </c>
      <c r="E849" s="74"/>
    </row>
    <row r="850" spans="2:14" x14ac:dyDescent="0.2">
      <c r="B850" s="231" t="s">
        <v>229</v>
      </c>
      <c r="C850" s="232"/>
      <c r="E850" s="74"/>
    </row>
    <row r="851" spans="2:14" ht="17" x14ac:dyDescent="0.2">
      <c r="B851" s="233" t="s">
        <v>230</v>
      </c>
      <c r="C851" s="232" t="s">
        <v>40</v>
      </c>
      <c r="E851" s="74" t="s">
        <v>0</v>
      </c>
      <c r="G851" s="62" t="s">
        <v>41</v>
      </c>
      <c r="H851" s="61">
        <v>18023</v>
      </c>
      <c r="J851" s="74" t="s">
        <v>0</v>
      </c>
      <c r="L851" s="271" t="s">
        <v>41</v>
      </c>
      <c r="M851" s="74">
        <v>25132</v>
      </c>
      <c r="N851" s="67" t="s">
        <v>479</v>
      </c>
    </row>
    <row r="852" spans="2:14" ht="17" x14ac:dyDescent="0.2">
      <c r="B852" s="233" t="s">
        <v>231</v>
      </c>
      <c r="C852" s="232" t="s">
        <v>40</v>
      </c>
      <c r="E852" s="74" t="s">
        <v>0</v>
      </c>
      <c r="G852" s="62" t="s">
        <v>41</v>
      </c>
      <c r="H852" s="61">
        <v>18023</v>
      </c>
      <c r="J852" s="74" t="s">
        <v>0</v>
      </c>
      <c r="L852" s="271" t="s">
        <v>41</v>
      </c>
      <c r="M852" s="74">
        <v>25132</v>
      </c>
      <c r="N852" s="67" t="s">
        <v>479</v>
      </c>
    </row>
    <row r="853" spans="2:14" ht="17" x14ac:dyDescent="0.2">
      <c r="B853" s="233" t="s">
        <v>232</v>
      </c>
      <c r="C853" s="232" t="s">
        <v>40</v>
      </c>
      <c r="E853" s="74" t="s">
        <v>0</v>
      </c>
      <c r="G853" s="62" t="s">
        <v>41</v>
      </c>
      <c r="H853" s="61">
        <v>18023</v>
      </c>
      <c r="J853" s="74" t="s">
        <v>0</v>
      </c>
      <c r="L853" s="271" t="s">
        <v>41</v>
      </c>
      <c r="M853" s="74">
        <v>25132</v>
      </c>
      <c r="N853" s="67" t="s">
        <v>479</v>
      </c>
    </row>
    <row r="854" spans="2:14" ht="17" x14ac:dyDescent="0.2">
      <c r="B854" s="233" t="s">
        <v>233</v>
      </c>
      <c r="C854" s="232" t="s">
        <v>40</v>
      </c>
      <c r="E854" s="74" t="s">
        <v>0</v>
      </c>
      <c r="G854" s="62" t="s">
        <v>41</v>
      </c>
      <c r="H854" s="61">
        <v>18023</v>
      </c>
      <c r="J854" s="74" t="s">
        <v>0</v>
      </c>
      <c r="L854" s="271" t="s">
        <v>41</v>
      </c>
      <c r="M854" s="74">
        <v>25132</v>
      </c>
      <c r="N854" s="67" t="s">
        <v>479</v>
      </c>
    </row>
    <row r="855" spans="2:14" ht="17" x14ac:dyDescent="0.2">
      <c r="B855" s="233" t="s">
        <v>236</v>
      </c>
      <c r="C855" s="232" t="s">
        <v>40</v>
      </c>
      <c r="E855" s="74" t="s">
        <v>0</v>
      </c>
      <c r="G855" s="62" t="s">
        <v>41</v>
      </c>
      <c r="H855" s="61">
        <v>18023</v>
      </c>
      <c r="J855" s="74" t="s">
        <v>0</v>
      </c>
      <c r="L855" s="271" t="s">
        <v>41</v>
      </c>
      <c r="M855" s="74">
        <v>25132</v>
      </c>
      <c r="N855" s="67" t="s">
        <v>479</v>
      </c>
    </row>
    <row r="856" spans="2:14" x14ac:dyDescent="0.2">
      <c r="B856" s="150" t="s">
        <v>151</v>
      </c>
      <c r="C856" s="19"/>
      <c r="E856" s="74"/>
    </row>
    <row r="857" spans="2:14" ht="17" x14ac:dyDescent="0.2">
      <c r="B857" s="151" t="s">
        <v>152</v>
      </c>
      <c r="C857" s="19" t="s">
        <v>40</v>
      </c>
      <c r="E857" s="74" t="s">
        <v>0</v>
      </c>
      <c r="G857" s="62" t="s">
        <v>41</v>
      </c>
      <c r="H857" s="61">
        <v>18023</v>
      </c>
      <c r="J857" s="74" t="s">
        <v>0</v>
      </c>
      <c r="L857" s="271" t="s">
        <v>41</v>
      </c>
      <c r="M857" s="74">
        <v>25132</v>
      </c>
      <c r="N857" s="67" t="s">
        <v>479</v>
      </c>
    </row>
    <row r="858" spans="2:14" ht="17" x14ac:dyDescent="0.2">
      <c r="B858" s="151" t="s">
        <v>153</v>
      </c>
      <c r="C858" s="19" t="s">
        <v>40</v>
      </c>
      <c r="E858" s="74" t="s">
        <v>0</v>
      </c>
      <c r="G858" s="62" t="s">
        <v>41</v>
      </c>
      <c r="H858" s="61">
        <v>18023</v>
      </c>
      <c r="J858" s="74" t="s">
        <v>0</v>
      </c>
      <c r="L858" s="271" t="s">
        <v>41</v>
      </c>
      <c r="M858" s="74">
        <v>25132</v>
      </c>
      <c r="N858" s="67" t="s">
        <v>479</v>
      </c>
    </row>
    <row r="859" spans="2:14" ht="17" x14ac:dyDescent="0.2">
      <c r="B859" s="152" t="s">
        <v>154</v>
      </c>
      <c r="C859" s="19" t="s">
        <v>40</v>
      </c>
      <c r="E859" s="74" t="s">
        <v>0</v>
      </c>
      <c r="G859" s="62" t="s">
        <v>41</v>
      </c>
      <c r="H859" s="61">
        <v>18023</v>
      </c>
      <c r="J859" s="74" t="s">
        <v>0</v>
      </c>
      <c r="L859" s="271" t="s">
        <v>41</v>
      </c>
      <c r="M859" s="74">
        <v>25132</v>
      </c>
      <c r="N859" s="67" t="s">
        <v>479</v>
      </c>
    </row>
    <row r="860" spans="2:14" ht="17" x14ac:dyDescent="0.2">
      <c r="B860" s="143" t="s">
        <v>155</v>
      </c>
      <c r="C860" s="19" t="s">
        <v>40</v>
      </c>
      <c r="E860" s="74" t="s">
        <v>0</v>
      </c>
      <c r="G860" s="62" t="s">
        <v>41</v>
      </c>
      <c r="H860" s="61">
        <v>18023</v>
      </c>
      <c r="J860" s="74" t="s">
        <v>0</v>
      </c>
      <c r="L860" s="271" t="s">
        <v>41</v>
      </c>
      <c r="M860" s="74">
        <v>25132</v>
      </c>
      <c r="N860" s="67" t="s">
        <v>479</v>
      </c>
    </row>
    <row r="861" spans="2:14" x14ac:dyDescent="0.2">
      <c r="B861" s="153" t="s">
        <v>156</v>
      </c>
      <c r="E861" s="74"/>
    </row>
    <row r="862" spans="2:14" x14ac:dyDescent="0.2">
      <c r="B862" s="153" t="s">
        <v>157</v>
      </c>
      <c r="C862" s="19"/>
      <c r="E862" s="74"/>
    </row>
    <row r="863" spans="2:14" ht="17" x14ac:dyDescent="0.2">
      <c r="B863" s="154" t="s">
        <v>158</v>
      </c>
      <c r="C863" s="19" t="s">
        <v>40</v>
      </c>
      <c r="E863" s="74" t="s">
        <v>0</v>
      </c>
      <c r="G863" s="62" t="s">
        <v>41</v>
      </c>
      <c r="H863" s="61">
        <v>18023</v>
      </c>
      <c r="J863" s="74" t="s">
        <v>0</v>
      </c>
      <c r="L863" s="271" t="s">
        <v>41</v>
      </c>
      <c r="M863" s="74">
        <v>25132</v>
      </c>
      <c r="N863" s="67" t="s">
        <v>479</v>
      </c>
    </row>
    <row r="864" spans="2:14" ht="17" x14ac:dyDescent="0.2">
      <c r="B864" s="155" t="s">
        <v>159</v>
      </c>
      <c r="C864" s="19" t="s">
        <v>40</v>
      </c>
      <c r="E864" s="74" t="s">
        <v>0</v>
      </c>
      <c r="G864" s="62" t="s">
        <v>41</v>
      </c>
      <c r="H864" s="61">
        <v>18023</v>
      </c>
      <c r="J864" s="74" t="s">
        <v>0</v>
      </c>
      <c r="L864" s="271" t="s">
        <v>41</v>
      </c>
      <c r="M864" s="74">
        <v>25132</v>
      </c>
      <c r="N864" s="67" t="s">
        <v>479</v>
      </c>
    </row>
    <row r="865" spans="2:14" ht="17" x14ac:dyDescent="0.2">
      <c r="B865" s="151" t="s">
        <v>160</v>
      </c>
      <c r="C865" s="19" t="s">
        <v>40</v>
      </c>
      <c r="E865" s="74" t="s">
        <v>0</v>
      </c>
      <c r="G865" s="62" t="s">
        <v>41</v>
      </c>
      <c r="H865" s="61">
        <v>18023</v>
      </c>
      <c r="J865" s="74" t="s">
        <v>0</v>
      </c>
      <c r="L865" s="271" t="s">
        <v>41</v>
      </c>
      <c r="M865" s="74">
        <v>25132</v>
      </c>
      <c r="N865" s="67" t="s">
        <v>479</v>
      </c>
    </row>
    <row r="866" spans="2:14" x14ac:dyDescent="0.2">
      <c r="B866" s="153" t="s">
        <v>161</v>
      </c>
      <c r="C866" s="19"/>
      <c r="E866" s="74"/>
    </row>
    <row r="867" spans="2:14" x14ac:dyDescent="0.2">
      <c r="B867" s="157" t="s">
        <v>168</v>
      </c>
      <c r="E867" s="74"/>
    </row>
    <row r="868" spans="2:14" ht="51" x14ac:dyDescent="0.2">
      <c r="B868" s="158" t="s">
        <v>169</v>
      </c>
      <c r="C868" s="19" t="s">
        <v>40</v>
      </c>
      <c r="E868" s="74" t="s">
        <v>0</v>
      </c>
      <c r="G868" s="62" t="s">
        <v>41</v>
      </c>
      <c r="H868" s="61">
        <v>18023</v>
      </c>
      <c r="J868" s="74" t="s">
        <v>0</v>
      </c>
      <c r="L868" s="271" t="s">
        <v>41</v>
      </c>
      <c r="M868" s="74">
        <v>25132</v>
      </c>
      <c r="N868" s="67" t="s">
        <v>479</v>
      </c>
    </row>
    <row r="869" spans="2:14" ht="17" x14ac:dyDescent="0.2">
      <c r="B869" s="159" t="s">
        <v>170</v>
      </c>
      <c r="C869" s="19" t="s">
        <v>40</v>
      </c>
      <c r="E869" s="74" t="s">
        <v>0</v>
      </c>
      <c r="G869" s="62" t="s">
        <v>41</v>
      </c>
      <c r="H869" s="61">
        <v>18023</v>
      </c>
      <c r="J869" s="74" t="s">
        <v>0</v>
      </c>
      <c r="L869" s="271" t="s">
        <v>41</v>
      </c>
      <c r="M869" s="74">
        <v>25132</v>
      </c>
      <c r="N869" s="67" t="s">
        <v>479</v>
      </c>
    </row>
    <row r="870" spans="2:14" x14ac:dyDescent="0.2">
      <c r="B870" s="157" t="s">
        <v>171</v>
      </c>
      <c r="C870" s="19"/>
      <c r="E870" s="74"/>
    </row>
    <row r="871" spans="2:14" ht="48" x14ac:dyDescent="0.2">
      <c r="B871" s="144" t="s">
        <v>172</v>
      </c>
      <c r="C871" s="19" t="s">
        <v>40</v>
      </c>
      <c r="E871" s="74" t="s">
        <v>0</v>
      </c>
      <c r="G871" s="62" t="s">
        <v>41</v>
      </c>
      <c r="H871" s="61">
        <v>18023</v>
      </c>
      <c r="J871" s="74" t="s">
        <v>0</v>
      </c>
      <c r="L871" s="271" t="s">
        <v>41</v>
      </c>
      <c r="M871" s="74">
        <v>25132</v>
      </c>
      <c r="N871" s="67" t="s">
        <v>479</v>
      </c>
    </row>
    <row r="872" spans="2:14" ht="17" x14ac:dyDescent="0.2">
      <c r="B872" s="160" t="s">
        <v>173</v>
      </c>
      <c r="C872" s="19" t="s">
        <v>40</v>
      </c>
      <c r="E872" s="74" t="s">
        <v>0</v>
      </c>
      <c r="G872" s="62" t="s">
        <v>41</v>
      </c>
      <c r="H872" s="61">
        <v>18023</v>
      </c>
      <c r="J872" s="74" t="s">
        <v>0</v>
      </c>
      <c r="L872" s="271" t="s">
        <v>41</v>
      </c>
      <c r="M872" s="74">
        <v>25132</v>
      </c>
      <c r="N872" s="67" t="s">
        <v>479</v>
      </c>
    </row>
    <row r="873" spans="2:14" ht="17" x14ac:dyDescent="0.2">
      <c r="B873" s="161" t="s">
        <v>174</v>
      </c>
      <c r="E873" s="74"/>
    </row>
    <row r="874" spans="2:14" ht="51" x14ac:dyDescent="0.2">
      <c r="B874" s="161" t="s">
        <v>175</v>
      </c>
      <c r="C874" s="19"/>
      <c r="E874" s="74"/>
    </row>
    <row r="875" spans="2:14" ht="17" x14ac:dyDescent="0.2">
      <c r="B875" s="131" t="s">
        <v>176</v>
      </c>
      <c r="C875" s="19" t="s">
        <v>40</v>
      </c>
      <c r="E875" s="74" t="s">
        <v>0</v>
      </c>
      <c r="G875" s="62" t="s">
        <v>41</v>
      </c>
      <c r="H875" s="61">
        <v>18023</v>
      </c>
      <c r="J875" s="74" t="s">
        <v>0</v>
      </c>
      <c r="L875" s="271" t="s">
        <v>41</v>
      </c>
      <c r="M875" s="74">
        <v>25132</v>
      </c>
      <c r="N875" s="67" t="s">
        <v>479</v>
      </c>
    </row>
    <row r="876" spans="2:14" ht="17" x14ac:dyDescent="0.2">
      <c r="B876" s="160" t="s">
        <v>177</v>
      </c>
      <c r="C876" s="19" t="s">
        <v>40</v>
      </c>
      <c r="E876" s="74" t="s">
        <v>0</v>
      </c>
      <c r="G876" s="62" t="s">
        <v>41</v>
      </c>
      <c r="H876" s="61">
        <v>18023</v>
      </c>
      <c r="J876" s="74" t="s">
        <v>0</v>
      </c>
      <c r="L876" s="271" t="s">
        <v>41</v>
      </c>
      <c r="M876" s="74">
        <v>25132</v>
      </c>
      <c r="N876" s="67" t="s">
        <v>479</v>
      </c>
    </row>
    <row r="877" spans="2:14" ht="17" x14ac:dyDescent="0.2">
      <c r="B877" s="160" t="s">
        <v>182</v>
      </c>
      <c r="C877" s="19" t="s">
        <v>40</v>
      </c>
      <c r="E877" s="74" t="s">
        <v>0</v>
      </c>
      <c r="G877" s="62" t="s">
        <v>41</v>
      </c>
      <c r="H877" s="61">
        <v>18023</v>
      </c>
      <c r="J877" s="74" t="s">
        <v>0</v>
      </c>
      <c r="L877" s="271" t="s">
        <v>41</v>
      </c>
      <c r="M877" s="74">
        <v>25132</v>
      </c>
      <c r="N877" s="67" t="s">
        <v>479</v>
      </c>
    </row>
    <row r="878" spans="2:14" ht="68" x14ac:dyDescent="0.2">
      <c r="B878" s="160" t="s">
        <v>504</v>
      </c>
      <c r="C878" s="19" t="s">
        <v>40</v>
      </c>
      <c r="E878" s="74" t="s">
        <v>0</v>
      </c>
      <c r="G878" s="62" t="s">
        <v>41</v>
      </c>
      <c r="H878" s="61">
        <v>18023</v>
      </c>
      <c r="J878" s="74" t="s">
        <v>0</v>
      </c>
      <c r="L878" s="271" t="s">
        <v>41</v>
      </c>
      <c r="M878" s="74">
        <v>25132</v>
      </c>
      <c r="N878" s="67" t="s">
        <v>479</v>
      </c>
    </row>
    <row r="879" spans="2:14" ht="17" x14ac:dyDescent="0.2">
      <c r="B879" s="162" t="s">
        <v>184</v>
      </c>
      <c r="C879" s="19" t="s">
        <v>40</v>
      </c>
      <c r="E879" s="74" t="s">
        <v>0</v>
      </c>
      <c r="G879" s="62" t="s">
        <v>41</v>
      </c>
      <c r="H879" s="61">
        <v>18023</v>
      </c>
      <c r="J879" s="74" t="s">
        <v>0</v>
      </c>
      <c r="L879" s="271" t="s">
        <v>41</v>
      </c>
      <c r="M879" s="74">
        <v>25132</v>
      </c>
      <c r="N879" s="67" t="s">
        <v>479</v>
      </c>
    </row>
    <row r="880" spans="2:14" ht="17" x14ac:dyDescent="0.2">
      <c r="B880" s="162" t="s">
        <v>185</v>
      </c>
      <c r="C880" s="19" t="s">
        <v>40</v>
      </c>
      <c r="E880" s="74" t="s">
        <v>0</v>
      </c>
      <c r="G880" s="62" t="s">
        <v>41</v>
      </c>
      <c r="H880" s="61">
        <v>18023</v>
      </c>
      <c r="J880" s="74" t="s">
        <v>0</v>
      </c>
      <c r="L880" s="271" t="s">
        <v>41</v>
      </c>
      <c r="M880" s="74">
        <v>25132</v>
      </c>
      <c r="N880" s="67" t="s">
        <v>479</v>
      </c>
    </row>
    <row r="883" spans="2:14" ht="25" x14ac:dyDescent="0.3">
      <c r="B883" s="125" t="s">
        <v>563</v>
      </c>
      <c r="C883" s="19"/>
    </row>
    <row r="884" spans="2:14" ht="92" x14ac:dyDescent="0.2">
      <c r="B884" s="170" t="s">
        <v>564</v>
      </c>
      <c r="C884" s="19"/>
    </row>
    <row r="885" spans="2:14" ht="17" x14ac:dyDescent="0.2">
      <c r="B885" s="127" t="s">
        <v>328</v>
      </c>
    </row>
    <row r="886" spans="2:14" ht="17" x14ac:dyDescent="0.2">
      <c r="B886" s="128" t="s">
        <v>33</v>
      </c>
    </row>
    <row r="887" spans="2:14" ht="17" x14ac:dyDescent="0.2">
      <c r="B887" s="127" t="s">
        <v>34</v>
      </c>
      <c r="C887" s="19"/>
    </row>
    <row r="888" spans="2:14" ht="17" x14ac:dyDescent="0.2">
      <c r="B888" s="127" t="s">
        <v>475</v>
      </c>
      <c r="C888" s="19"/>
    </row>
    <row r="889" spans="2:14" ht="34" x14ac:dyDescent="0.2">
      <c r="B889" s="127" t="s">
        <v>476</v>
      </c>
      <c r="C889" s="19"/>
    </row>
    <row r="890" spans="2:14" ht="17" x14ac:dyDescent="0.2">
      <c r="B890" s="129" t="s">
        <v>36</v>
      </c>
      <c r="C890" s="19"/>
    </row>
    <row r="891" spans="2:14" ht="17" x14ac:dyDescent="0.2">
      <c r="B891" s="129" t="s">
        <v>37</v>
      </c>
      <c r="C891" s="19"/>
    </row>
    <row r="892" spans="2:14" ht="17" x14ac:dyDescent="0.2">
      <c r="B892" s="128" t="s">
        <v>38</v>
      </c>
      <c r="C892" s="19"/>
    </row>
    <row r="893" spans="2:14" ht="48" x14ac:dyDescent="0.2">
      <c r="B893" s="164" t="s">
        <v>477</v>
      </c>
      <c r="C893" s="19" t="s">
        <v>40</v>
      </c>
      <c r="J893" s="74" t="s">
        <v>0</v>
      </c>
      <c r="L893" s="271" t="s">
        <v>41</v>
      </c>
      <c r="M893" s="74">
        <v>25270</v>
      </c>
      <c r="N893" s="67" t="s">
        <v>479</v>
      </c>
    </row>
    <row r="894" spans="2:14" ht="48" x14ac:dyDescent="0.2">
      <c r="B894" s="164" t="s">
        <v>542</v>
      </c>
      <c r="C894" s="19" t="s">
        <v>40</v>
      </c>
      <c r="J894" s="74" t="s">
        <v>0</v>
      </c>
      <c r="L894" s="271" t="s">
        <v>41</v>
      </c>
      <c r="M894" s="74">
        <v>25270</v>
      </c>
      <c r="N894" s="67" t="s">
        <v>479</v>
      </c>
    </row>
    <row r="895" spans="2:14" ht="17" x14ac:dyDescent="0.2">
      <c r="B895" s="128" t="s">
        <v>44</v>
      </c>
      <c r="C895" s="19"/>
    </row>
    <row r="896" spans="2:14" ht="17" x14ac:dyDescent="0.2">
      <c r="B896" s="164" t="s">
        <v>543</v>
      </c>
      <c r="C896" s="19" t="s">
        <v>40</v>
      </c>
      <c r="J896" s="74" t="s">
        <v>0</v>
      </c>
      <c r="L896" s="271" t="s">
        <v>41</v>
      </c>
      <c r="M896" s="74">
        <v>25270</v>
      </c>
      <c r="N896" s="67" t="s">
        <v>479</v>
      </c>
    </row>
    <row r="897" spans="2:14" ht="17" x14ac:dyDescent="0.2">
      <c r="B897" s="128" t="s">
        <v>47</v>
      </c>
    </row>
    <row r="898" spans="2:14" ht="17" x14ac:dyDescent="0.2">
      <c r="B898" s="131" t="s">
        <v>481</v>
      </c>
      <c r="C898" s="19" t="s">
        <v>40</v>
      </c>
      <c r="J898" s="74" t="s">
        <v>0</v>
      </c>
      <c r="L898" s="271" t="s">
        <v>41</v>
      </c>
      <c r="M898" s="74">
        <v>25270</v>
      </c>
      <c r="N898" s="67" t="s">
        <v>479</v>
      </c>
    </row>
    <row r="899" spans="2:14" ht="17" x14ac:dyDescent="0.2">
      <c r="B899" s="131" t="s">
        <v>49</v>
      </c>
      <c r="C899" s="19" t="s">
        <v>40</v>
      </c>
      <c r="J899" s="74" t="s">
        <v>0</v>
      </c>
      <c r="L899" s="271" t="s">
        <v>41</v>
      </c>
      <c r="M899" s="74">
        <v>25270</v>
      </c>
      <c r="N899" s="67" t="s">
        <v>479</v>
      </c>
    </row>
    <row r="900" spans="2:14" ht="17" x14ac:dyDescent="0.2">
      <c r="B900" s="128" t="s">
        <v>482</v>
      </c>
    </row>
    <row r="901" spans="2:14" ht="17" x14ac:dyDescent="0.2">
      <c r="B901" s="165" t="s">
        <v>66</v>
      </c>
      <c r="C901" s="19" t="s">
        <v>40</v>
      </c>
      <c r="J901" s="74" t="s">
        <v>0</v>
      </c>
      <c r="L901" s="271" t="s">
        <v>41</v>
      </c>
      <c r="M901" s="74">
        <v>25270</v>
      </c>
      <c r="N901" s="67" t="s">
        <v>479</v>
      </c>
    </row>
    <row r="902" spans="2:14" ht="17" x14ac:dyDescent="0.2">
      <c r="B902" s="166" t="s">
        <v>67</v>
      </c>
      <c r="C902" s="19" t="s">
        <v>40</v>
      </c>
      <c r="J902" s="74" t="s">
        <v>0</v>
      </c>
      <c r="L902" s="271" t="s">
        <v>41</v>
      </c>
      <c r="M902" s="74">
        <v>25270</v>
      </c>
      <c r="N902" s="67" t="s">
        <v>479</v>
      </c>
    </row>
    <row r="903" spans="2:14" ht="17" x14ac:dyDescent="0.2">
      <c r="B903" s="166" t="s">
        <v>68</v>
      </c>
      <c r="C903" s="19" t="s">
        <v>40</v>
      </c>
      <c r="J903" s="74" t="s">
        <v>0</v>
      </c>
      <c r="L903" s="271" t="s">
        <v>41</v>
      </c>
      <c r="M903" s="74">
        <v>25270</v>
      </c>
      <c r="N903" s="67" t="s">
        <v>479</v>
      </c>
    </row>
    <row r="904" spans="2:14" ht="17" x14ac:dyDescent="0.2">
      <c r="B904" s="166" t="s">
        <v>354</v>
      </c>
      <c r="C904" s="19" t="s">
        <v>40</v>
      </c>
      <c r="J904" s="74" t="s">
        <v>0</v>
      </c>
      <c r="L904" s="271" t="s">
        <v>41</v>
      </c>
      <c r="M904" s="74">
        <v>25270</v>
      </c>
      <c r="N904" s="67" t="s">
        <v>479</v>
      </c>
    </row>
    <row r="905" spans="2:14" ht="17" x14ac:dyDescent="0.2">
      <c r="B905" s="166" t="s">
        <v>394</v>
      </c>
      <c r="C905" s="19" t="s">
        <v>40</v>
      </c>
      <c r="J905" s="74" t="s">
        <v>0</v>
      </c>
      <c r="L905" s="271" t="s">
        <v>41</v>
      </c>
      <c r="M905" s="74">
        <v>25270</v>
      </c>
      <c r="N905" s="67" t="s">
        <v>479</v>
      </c>
    </row>
    <row r="906" spans="2:14" ht="17" x14ac:dyDescent="0.2">
      <c r="B906" s="166" t="s">
        <v>395</v>
      </c>
      <c r="C906" s="19" t="s">
        <v>40</v>
      </c>
      <c r="J906" s="74" t="s">
        <v>0</v>
      </c>
      <c r="L906" s="271" t="s">
        <v>41</v>
      </c>
      <c r="M906" s="74">
        <v>25270</v>
      </c>
      <c r="N906" s="67" t="s">
        <v>479</v>
      </c>
    </row>
    <row r="907" spans="2:14" ht="17" x14ac:dyDescent="0.2">
      <c r="B907" s="139" t="s">
        <v>72</v>
      </c>
      <c r="C907" s="19" t="s">
        <v>40</v>
      </c>
      <c r="J907" s="74" t="s">
        <v>0</v>
      </c>
      <c r="L907" s="271" t="s">
        <v>41</v>
      </c>
      <c r="M907" s="74">
        <v>25270</v>
      </c>
      <c r="N907" s="67" t="s">
        <v>479</v>
      </c>
    </row>
    <row r="908" spans="2:14" ht="17" x14ac:dyDescent="0.2">
      <c r="B908" s="166" t="s">
        <v>483</v>
      </c>
      <c r="C908" s="19" t="s">
        <v>40</v>
      </c>
      <c r="J908" s="74" t="s">
        <v>0</v>
      </c>
      <c r="L908" s="271" t="s">
        <v>41</v>
      </c>
      <c r="M908" s="74">
        <v>25270</v>
      </c>
      <c r="N908" s="67" t="s">
        <v>479</v>
      </c>
    </row>
    <row r="909" spans="2:14" ht="17" x14ac:dyDescent="0.2">
      <c r="B909" s="166" t="s">
        <v>484</v>
      </c>
      <c r="C909" s="19" t="s">
        <v>40</v>
      </c>
      <c r="J909" s="74" t="s">
        <v>0</v>
      </c>
      <c r="L909" s="271" t="s">
        <v>41</v>
      </c>
      <c r="M909" s="74">
        <v>25270</v>
      </c>
      <c r="N909" s="67" t="s">
        <v>479</v>
      </c>
    </row>
    <row r="910" spans="2:14" ht="17" x14ac:dyDescent="0.2">
      <c r="B910" s="167" t="s">
        <v>485</v>
      </c>
      <c r="C910" s="19" t="s">
        <v>40</v>
      </c>
      <c r="J910" s="74" t="s">
        <v>0</v>
      </c>
      <c r="L910" s="271" t="s">
        <v>41</v>
      </c>
      <c r="M910" s="74">
        <v>25270</v>
      </c>
      <c r="N910" s="67" t="s">
        <v>479</v>
      </c>
    </row>
    <row r="911" spans="2:14" ht="17" x14ac:dyDescent="0.2">
      <c r="B911" s="169" t="s">
        <v>486</v>
      </c>
      <c r="C911" s="19"/>
    </row>
    <row r="912" spans="2:14" ht="17" x14ac:dyDescent="0.2">
      <c r="B912" s="166" t="s">
        <v>347</v>
      </c>
      <c r="C912" s="19" t="s">
        <v>40</v>
      </c>
      <c r="J912" s="74" t="s">
        <v>0</v>
      </c>
      <c r="L912" s="271" t="s">
        <v>41</v>
      </c>
      <c r="M912" s="74">
        <v>25270</v>
      </c>
      <c r="N912" s="67" t="s">
        <v>479</v>
      </c>
    </row>
    <row r="913" spans="2:14" ht="17" x14ac:dyDescent="0.2">
      <c r="B913" s="166" t="s">
        <v>401</v>
      </c>
      <c r="C913" s="19" t="s">
        <v>40</v>
      </c>
      <c r="J913" s="74" t="s">
        <v>0</v>
      </c>
      <c r="L913" s="271" t="s">
        <v>41</v>
      </c>
      <c r="M913" s="74">
        <v>25270</v>
      </c>
      <c r="N913" s="67" t="s">
        <v>479</v>
      </c>
    </row>
    <row r="914" spans="2:14" ht="17" x14ac:dyDescent="0.2">
      <c r="B914" s="166" t="s">
        <v>402</v>
      </c>
      <c r="C914" s="19" t="s">
        <v>40</v>
      </c>
      <c r="J914" s="74" t="s">
        <v>0</v>
      </c>
      <c r="L914" s="271" t="s">
        <v>41</v>
      </c>
      <c r="M914" s="74">
        <v>25270</v>
      </c>
      <c r="N914" s="67" t="s">
        <v>479</v>
      </c>
    </row>
    <row r="915" spans="2:14" ht="17" x14ac:dyDescent="0.2">
      <c r="B915" s="167" t="s">
        <v>490</v>
      </c>
      <c r="C915" s="19" t="s">
        <v>40</v>
      </c>
      <c r="J915" s="74" t="s">
        <v>0</v>
      </c>
      <c r="L915" s="271" t="s">
        <v>41</v>
      </c>
      <c r="M915" s="74">
        <v>25270</v>
      </c>
      <c r="N915" s="67" t="s">
        <v>479</v>
      </c>
    </row>
    <row r="916" spans="2:14" ht="17" x14ac:dyDescent="0.2">
      <c r="B916" s="168" t="s">
        <v>134</v>
      </c>
      <c r="C916" s="19" t="s">
        <v>40</v>
      </c>
      <c r="J916" s="74" t="s">
        <v>0</v>
      </c>
      <c r="L916" s="271" t="s">
        <v>41</v>
      </c>
      <c r="M916" s="74">
        <v>25270</v>
      </c>
      <c r="N916" s="67" t="s">
        <v>479</v>
      </c>
    </row>
    <row r="917" spans="2:14" ht="17" x14ac:dyDescent="0.2">
      <c r="B917" s="167" t="s">
        <v>544</v>
      </c>
      <c r="C917" s="19" t="s">
        <v>40</v>
      </c>
      <c r="J917" s="74" t="s">
        <v>0</v>
      </c>
      <c r="L917" s="271" t="s">
        <v>41</v>
      </c>
      <c r="M917" s="74">
        <v>25270</v>
      </c>
      <c r="N917" s="67" t="s">
        <v>479</v>
      </c>
    </row>
    <row r="918" spans="2:14" ht="17" x14ac:dyDescent="0.2">
      <c r="B918" s="167" t="s">
        <v>565</v>
      </c>
      <c r="C918" s="19" t="s">
        <v>40</v>
      </c>
      <c r="J918" s="74" t="s">
        <v>0</v>
      </c>
      <c r="L918" s="271" t="s">
        <v>41</v>
      </c>
      <c r="M918" s="74">
        <v>25270</v>
      </c>
      <c r="N918" s="67" t="s">
        <v>479</v>
      </c>
    </row>
    <row r="919" spans="2:14" ht="17" x14ac:dyDescent="0.2">
      <c r="B919" s="167" t="s">
        <v>566</v>
      </c>
      <c r="C919" s="19" t="s">
        <v>40</v>
      </c>
      <c r="J919" s="74" t="s">
        <v>0</v>
      </c>
      <c r="L919" s="271" t="s">
        <v>41</v>
      </c>
      <c r="M919" s="74">
        <v>25270</v>
      </c>
      <c r="N919" s="67" t="s">
        <v>479</v>
      </c>
    </row>
    <row r="920" spans="2:14" ht="17" x14ac:dyDescent="0.2">
      <c r="B920" s="166" t="s">
        <v>567</v>
      </c>
      <c r="C920" s="19" t="s">
        <v>40</v>
      </c>
      <c r="J920" s="74" t="s">
        <v>0</v>
      </c>
      <c r="L920" s="271" t="s">
        <v>41</v>
      </c>
      <c r="M920" s="74">
        <v>25270</v>
      </c>
      <c r="N920" s="67" t="s">
        <v>479</v>
      </c>
    </row>
    <row r="921" spans="2:14" ht="17" x14ac:dyDescent="0.2">
      <c r="B921" s="166" t="s">
        <v>568</v>
      </c>
      <c r="C921" s="19" t="s">
        <v>40</v>
      </c>
      <c r="I921" s="66"/>
      <c r="J921" s="273" t="s">
        <v>0</v>
      </c>
      <c r="K921" s="273"/>
      <c r="L921" s="271" t="s">
        <v>41</v>
      </c>
      <c r="M921" s="74">
        <v>25270</v>
      </c>
      <c r="N921" s="67" t="s">
        <v>479</v>
      </c>
    </row>
    <row r="922" spans="2:14" ht="17" x14ac:dyDescent="0.2">
      <c r="B922" s="166" t="s">
        <v>80</v>
      </c>
      <c r="C922" s="19" t="s">
        <v>40</v>
      </c>
      <c r="J922" s="74" t="s">
        <v>0</v>
      </c>
      <c r="L922" s="271" t="s">
        <v>41</v>
      </c>
      <c r="M922" s="74">
        <v>25270</v>
      </c>
      <c r="N922" s="67" t="s">
        <v>479</v>
      </c>
    </row>
    <row r="923" spans="2:14" ht="17" x14ac:dyDescent="0.2">
      <c r="B923" s="166" t="s">
        <v>81</v>
      </c>
      <c r="C923" s="19" t="s">
        <v>40</v>
      </c>
      <c r="J923" s="74" t="s">
        <v>0</v>
      </c>
      <c r="L923" s="271" t="s">
        <v>41</v>
      </c>
      <c r="M923" s="74">
        <v>25270</v>
      </c>
      <c r="N923" s="67" t="s">
        <v>479</v>
      </c>
    </row>
    <row r="924" spans="2:14" ht="17" x14ac:dyDescent="0.2">
      <c r="B924" s="166" t="s">
        <v>82</v>
      </c>
      <c r="C924" s="19" t="s">
        <v>40</v>
      </c>
      <c r="J924" s="74" t="s">
        <v>0</v>
      </c>
      <c r="L924" s="271" t="s">
        <v>41</v>
      </c>
      <c r="M924" s="74">
        <v>25270</v>
      </c>
      <c r="N924" s="67" t="s">
        <v>479</v>
      </c>
    </row>
    <row r="925" spans="2:14" ht="17" x14ac:dyDescent="0.2">
      <c r="B925" s="166" t="s">
        <v>569</v>
      </c>
      <c r="C925" s="19" t="s">
        <v>40</v>
      </c>
      <c r="J925" s="74" t="s">
        <v>0</v>
      </c>
      <c r="L925" s="271" t="s">
        <v>41</v>
      </c>
      <c r="M925" s="74">
        <v>25270</v>
      </c>
      <c r="N925" s="67" t="s">
        <v>479</v>
      </c>
    </row>
    <row r="926" spans="2:14" ht="17" x14ac:dyDescent="0.2">
      <c r="B926" s="166" t="s">
        <v>495</v>
      </c>
      <c r="C926" s="19" t="s">
        <v>40</v>
      </c>
      <c r="J926" s="74" t="s">
        <v>0</v>
      </c>
      <c r="L926" s="271" t="s">
        <v>41</v>
      </c>
      <c r="M926" s="74">
        <v>25270</v>
      </c>
      <c r="N926" s="67" t="s">
        <v>479</v>
      </c>
    </row>
    <row r="927" spans="2:14" ht="17" x14ac:dyDescent="0.2">
      <c r="B927" s="242" t="s">
        <v>496</v>
      </c>
      <c r="C927" s="19"/>
    </row>
    <row r="928" spans="2:14" ht="17" x14ac:dyDescent="0.2">
      <c r="B928" s="147" t="s">
        <v>134</v>
      </c>
      <c r="C928" s="19" t="s">
        <v>40</v>
      </c>
      <c r="J928" s="74" t="s">
        <v>0</v>
      </c>
      <c r="L928" s="271" t="s">
        <v>41</v>
      </c>
      <c r="M928" s="74">
        <v>25270</v>
      </c>
      <c r="N928" s="67" t="s">
        <v>479</v>
      </c>
    </row>
    <row r="929" spans="2:14" ht="17" x14ac:dyDescent="0.2">
      <c r="B929" s="167" t="s">
        <v>497</v>
      </c>
      <c r="C929" s="19" t="s">
        <v>40</v>
      </c>
      <c r="J929" s="74" t="s">
        <v>0</v>
      </c>
      <c r="L929" s="271" t="s">
        <v>41</v>
      </c>
      <c r="M929" s="74">
        <v>25270</v>
      </c>
      <c r="N929" s="67" t="s">
        <v>479</v>
      </c>
    </row>
    <row r="930" spans="2:14" ht="34" x14ac:dyDescent="0.2">
      <c r="B930" s="166" t="s">
        <v>570</v>
      </c>
      <c r="C930" s="19" t="s">
        <v>40</v>
      </c>
      <c r="J930" s="74" t="s">
        <v>0</v>
      </c>
      <c r="L930" s="271" t="s">
        <v>41</v>
      </c>
      <c r="M930" s="74">
        <v>25270</v>
      </c>
      <c r="N930" s="67" t="s">
        <v>479</v>
      </c>
    </row>
    <row r="931" spans="2:14" ht="17" x14ac:dyDescent="0.2">
      <c r="B931" s="167" t="s">
        <v>499</v>
      </c>
      <c r="C931" s="19" t="s">
        <v>40</v>
      </c>
      <c r="J931" s="74" t="s">
        <v>0</v>
      </c>
      <c r="L931" s="271" t="s">
        <v>41</v>
      </c>
      <c r="M931" s="74">
        <v>25270</v>
      </c>
      <c r="N931" s="67" t="s">
        <v>479</v>
      </c>
    </row>
    <row r="932" spans="2:14" x14ac:dyDescent="0.2">
      <c r="B932" s="140" t="s">
        <v>86</v>
      </c>
    </row>
    <row r="933" spans="2:14" x14ac:dyDescent="0.2">
      <c r="B933" s="140" t="s">
        <v>500</v>
      </c>
      <c r="C933" s="19"/>
    </row>
    <row r="934" spans="2:14" ht="17" x14ac:dyDescent="0.2">
      <c r="B934" s="213" t="s">
        <v>87</v>
      </c>
      <c r="C934" s="19" t="s">
        <v>40</v>
      </c>
      <c r="J934" s="74" t="s">
        <v>0</v>
      </c>
      <c r="L934" s="271" t="s">
        <v>41</v>
      </c>
      <c r="M934" s="74">
        <v>25270</v>
      </c>
      <c r="N934" s="67" t="s">
        <v>479</v>
      </c>
    </row>
    <row r="935" spans="2:14" ht="32" x14ac:dyDescent="0.2">
      <c r="B935" s="214" t="s">
        <v>207</v>
      </c>
      <c r="C935" s="19" t="s">
        <v>40</v>
      </c>
      <c r="J935" s="74" t="s">
        <v>0</v>
      </c>
      <c r="L935" s="271" t="s">
        <v>41</v>
      </c>
      <c r="M935" s="74">
        <v>25270</v>
      </c>
      <c r="N935" s="67" t="s">
        <v>479</v>
      </c>
    </row>
    <row r="936" spans="2:14" ht="48" x14ac:dyDescent="0.2">
      <c r="B936" s="215" t="s">
        <v>208</v>
      </c>
      <c r="C936" s="19" t="s">
        <v>40</v>
      </c>
      <c r="J936" s="74" t="s">
        <v>0</v>
      </c>
      <c r="L936" s="271" t="s">
        <v>41</v>
      </c>
      <c r="M936" s="74">
        <v>25270</v>
      </c>
      <c r="N936" s="67" t="s">
        <v>479</v>
      </c>
    </row>
    <row r="937" spans="2:14" ht="17" x14ac:dyDescent="0.2">
      <c r="B937" s="216" t="s">
        <v>96</v>
      </c>
      <c r="C937" s="19" t="s">
        <v>40</v>
      </c>
      <c r="J937" s="74" t="s">
        <v>0</v>
      </c>
      <c r="L937" s="271" t="s">
        <v>41</v>
      </c>
      <c r="M937" s="74">
        <v>25270</v>
      </c>
      <c r="N937" s="67" t="s">
        <v>479</v>
      </c>
    </row>
    <row r="938" spans="2:14" ht="32" x14ac:dyDescent="0.2">
      <c r="B938" s="215" t="s">
        <v>209</v>
      </c>
      <c r="C938" s="19" t="s">
        <v>40</v>
      </c>
      <c r="J938" s="74" t="s">
        <v>0</v>
      </c>
      <c r="L938" s="271" t="s">
        <v>41</v>
      </c>
      <c r="M938" s="74">
        <v>25270</v>
      </c>
      <c r="N938" s="67" t="s">
        <v>479</v>
      </c>
    </row>
    <row r="939" spans="2:14" ht="32" x14ac:dyDescent="0.2">
      <c r="B939" s="217" t="s">
        <v>210</v>
      </c>
      <c r="C939" s="19" t="s">
        <v>40</v>
      </c>
      <c r="J939" s="74" t="s">
        <v>0</v>
      </c>
      <c r="L939" s="271" t="s">
        <v>41</v>
      </c>
      <c r="M939" s="74">
        <v>25270</v>
      </c>
      <c r="N939" s="67" t="s">
        <v>479</v>
      </c>
    </row>
    <row r="940" spans="2:14" ht="17" x14ac:dyDescent="0.2">
      <c r="B940" s="215" t="s">
        <v>99</v>
      </c>
      <c r="C940" s="19" t="s">
        <v>40</v>
      </c>
      <c r="J940" s="74" t="s">
        <v>0</v>
      </c>
      <c r="L940" s="271" t="s">
        <v>41</v>
      </c>
      <c r="M940" s="74">
        <v>25270</v>
      </c>
      <c r="N940" s="67" t="s">
        <v>479</v>
      </c>
    </row>
    <row r="941" spans="2:14" ht="17" x14ac:dyDescent="0.2">
      <c r="B941" s="218" t="s">
        <v>397</v>
      </c>
      <c r="C941" s="19" t="s">
        <v>40</v>
      </c>
      <c r="J941" s="74" t="s">
        <v>0</v>
      </c>
      <c r="L941" s="271" t="s">
        <v>41</v>
      </c>
      <c r="M941" s="74">
        <v>25270</v>
      </c>
      <c r="N941" s="67" t="s">
        <v>479</v>
      </c>
    </row>
    <row r="942" spans="2:14" x14ac:dyDescent="0.2">
      <c r="B942" s="140" t="s">
        <v>101</v>
      </c>
    </row>
    <row r="943" spans="2:14" ht="17" x14ac:dyDescent="0.2">
      <c r="B943" s="141" t="s">
        <v>87</v>
      </c>
      <c r="C943" s="19" t="s">
        <v>40</v>
      </c>
      <c r="J943" s="74" t="s">
        <v>0</v>
      </c>
      <c r="L943" s="271" t="s">
        <v>41</v>
      </c>
      <c r="M943" s="74">
        <v>25270</v>
      </c>
      <c r="N943" s="67" t="s">
        <v>479</v>
      </c>
    </row>
    <row r="944" spans="2:14" ht="32" x14ac:dyDescent="0.2">
      <c r="B944" s="142" t="s">
        <v>102</v>
      </c>
      <c r="C944" s="19" t="s">
        <v>40</v>
      </c>
      <c r="J944" s="74" t="s">
        <v>0</v>
      </c>
      <c r="L944" s="271" t="s">
        <v>41</v>
      </c>
      <c r="M944" s="74">
        <v>25270</v>
      </c>
      <c r="N944" s="67" t="s">
        <v>479</v>
      </c>
    </row>
    <row r="945" spans="2:14" ht="48" x14ac:dyDescent="0.2">
      <c r="B945" s="143" t="s">
        <v>103</v>
      </c>
      <c r="C945" s="19" t="s">
        <v>40</v>
      </c>
      <c r="J945" s="74" t="s">
        <v>0</v>
      </c>
      <c r="L945" s="271" t="s">
        <v>41</v>
      </c>
      <c r="M945" s="74">
        <v>25270</v>
      </c>
      <c r="N945" s="67" t="s">
        <v>479</v>
      </c>
    </row>
    <row r="946" spans="2:14" ht="17" x14ac:dyDescent="0.2">
      <c r="B946" s="144" t="s">
        <v>96</v>
      </c>
      <c r="C946" s="19" t="s">
        <v>40</v>
      </c>
      <c r="J946" s="74" t="s">
        <v>0</v>
      </c>
      <c r="L946" s="271" t="s">
        <v>41</v>
      </c>
      <c r="M946" s="74">
        <v>25270</v>
      </c>
      <c r="N946" s="67" t="s">
        <v>479</v>
      </c>
    </row>
    <row r="947" spans="2:14" ht="32" x14ac:dyDescent="0.2">
      <c r="B947" s="143" t="s">
        <v>104</v>
      </c>
      <c r="C947" s="19" t="s">
        <v>40</v>
      </c>
      <c r="J947" s="74" t="s">
        <v>0</v>
      </c>
      <c r="L947" s="271" t="s">
        <v>41</v>
      </c>
      <c r="M947" s="74">
        <v>25270</v>
      </c>
      <c r="N947" s="67" t="s">
        <v>479</v>
      </c>
    </row>
    <row r="948" spans="2:14" ht="32" x14ac:dyDescent="0.2">
      <c r="B948" s="142" t="s">
        <v>105</v>
      </c>
      <c r="C948" s="19" t="s">
        <v>40</v>
      </c>
      <c r="J948" s="74" t="s">
        <v>0</v>
      </c>
      <c r="L948" s="271" t="s">
        <v>41</v>
      </c>
      <c r="M948" s="74">
        <v>25270</v>
      </c>
      <c r="N948" s="67" t="s">
        <v>479</v>
      </c>
    </row>
    <row r="949" spans="2:14" ht="17" x14ac:dyDescent="0.2">
      <c r="B949" s="144" t="s">
        <v>99</v>
      </c>
      <c r="C949" s="19" t="s">
        <v>40</v>
      </c>
      <c r="J949" s="74" t="s">
        <v>0</v>
      </c>
      <c r="L949" s="271" t="s">
        <v>41</v>
      </c>
      <c r="M949" s="74">
        <v>25270</v>
      </c>
      <c r="N949" s="67" t="s">
        <v>479</v>
      </c>
    </row>
    <row r="950" spans="2:14" ht="17" x14ac:dyDescent="0.2">
      <c r="B950" s="143" t="s">
        <v>106</v>
      </c>
      <c r="C950" s="19" t="s">
        <v>40</v>
      </c>
      <c r="J950" s="74" t="s">
        <v>0</v>
      </c>
      <c r="L950" s="271" t="s">
        <v>41</v>
      </c>
      <c r="M950" s="74">
        <v>25270</v>
      </c>
      <c r="N950" s="67" t="s">
        <v>479</v>
      </c>
    </row>
    <row r="951" spans="2:14" x14ac:dyDescent="0.2">
      <c r="B951" s="140" t="s">
        <v>107</v>
      </c>
    </row>
    <row r="952" spans="2:14" ht="17" x14ac:dyDescent="0.2">
      <c r="B952" s="141" t="s">
        <v>87</v>
      </c>
      <c r="C952" s="19" t="s">
        <v>40</v>
      </c>
      <c r="J952" s="74" t="s">
        <v>0</v>
      </c>
      <c r="L952" s="271" t="s">
        <v>41</v>
      </c>
      <c r="M952" s="74">
        <v>25270</v>
      </c>
      <c r="N952" s="67" t="s">
        <v>479</v>
      </c>
    </row>
    <row r="953" spans="2:14" ht="32" x14ac:dyDescent="0.2">
      <c r="B953" s="142" t="s">
        <v>102</v>
      </c>
      <c r="C953" s="19" t="s">
        <v>40</v>
      </c>
      <c r="J953" s="74" t="s">
        <v>0</v>
      </c>
      <c r="L953" s="271" t="s">
        <v>41</v>
      </c>
      <c r="M953" s="74">
        <v>25270</v>
      </c>
      <c r="N953" s="67" t="s">
        <v>479</v>
      </c>
    </row>
    <row r="954" spans="2:14" ht="48" x14ac:dyDescent="0.2">
      <c r="B954" s="143" t="s">
        <v>108</v>
      </c>
      <c r="C954" s="19" t="s">
        <v>40</v>
      </c>
      <c r="J954" s="74" t="s">
        <v>0</v>
      </c>
      <c r="L954" s="271" t="s">
        <v>41</v>
      </c>
      <c r="M954" s="74">
        <v>25270</v>
      </c>
      <c r="N954" s="67" t="s">
        <v>479</v>
      </c>
    </row>
    <row r="955" spans="2:14" ht="17" x14ac:dyDescent="0.2">
      <c r="B955" s="144" t="s">
        <v>96</v>
      </c>
      <c r="C955" s="19" t="s">
        <v>40</v>
      </c>
      <c r="J955" s="74" t="s">
        <v>0</v>
      </c>
      <c r="L955" s="271" t="s">
        <v>41</v>
      </c>
      <c r="M955" s="74">
        <v>25270</v>
      </c>
      <c r="N955" s="67" t="s">
        <v>479</v>
      </c>
    </row>
    <row r="956" spans="2:14" ht="32" x14ac:dyDescent="0.2">
      <c r="B956" s="143" t="s">
        <v>109</v>
      </c>
      <c r="C956" s="19" t="s">
        <v>40</v>
      </c>
      <c r="J956" s="74" t="s">
        <v>0</v>
      </c>
      <c r="L956" s="271" t="s">
        <v>41</v>
      </c>
      <c r="M956" s="74">
        <v>25270</v>
      </c>
      <c r="N956" s="67" t="s">
        <v>479</v>
      </c>
    </row>
    <row r="957" spans="2:14" ht="32" x14ac:dyDescent="0.2">
      <c r="B957" s="142" t="s">
        <v>110</v>
      </c>
      <c r="C957" s="19" t="s">
        <v>40</v>
      </c>
      <c r="J957" s="74" t="s">
        <v>0</v>
      </c>
      <c r="L957" s="271" t="s">
        <v>41</v>
      </c>
      <c r="M957" s="74">
        <v>25270</v>
      </c>
      <c r="N957" s="67" t="s">
        <v>479</v>
      </c>
    </row>
    <row r="958" spans="2:14" ht="17" x14ac:dyDescent="0.2">
      <c r="B958" s="144" t="s">
        <v>99</v>
      </c>
      <c r="C958" s="19" t="s">
        <v>40</v>
      </c>
      <c r="J958" s="74" t="s">
        <v>0</v>
      </c>
      <c r="L958" s="271" t="s">
        <v>41</v>
      </c>
      <c r="M958" s="74">
        <v>25270</v>
      </c>
      <c r="N958" s="67" t="s">
        <v>479</v>
      </c>
    </row>
    <row r="959" spans="2:14" ht="17" x14ac:dyDescent="0.2">
      <c r="B959" s="143" t="s">
        <v>111</v>
      </c>
      <c r="C959" s="19" t="s">
        <v>40</v>
      </c>
      <c r="J959" s="74" t="s">
        <v>0</v>
      </c>
      <c r="L959" s="271" t="s">
        <v>41</v>
      </c>
      <c r="M959" s="74">
        <v>25270</v>
      </c>
      <c r="N959" s="67" t="s">
        <v>479</v>
      </c>
    </row>
    <row r="960" spans="2:14" x14ac:dyDescent="0.2">
      <c r="B960" s="140" t="s">
        <v>112</v>
      </c>
    </row>
    <row r="961" spans="2:14" ht="17" x14ac:dyDescent="0.2">
      <c r="B961" s="141" t="s">
        <v>87</v>
      </c>
      <c r="C961" s="19" t="s">
        <v>40</v>
      </c>
      <c r="J961" s="74" t="s">
        <v>0</v>
      </c>
      <c r="L961" s="271" t="s">
        <v>41</v>
      </c>
      <c r="M961" s="74">
        <v>25270</v>
      </c>
      <c r="N961" s="67" t="s">
        <v>479</v>
      </c>
    </row>
    <row r="962" spans="2:14" ht="32" x14ac:dyDescent="0.2">
      <c r="B962" s="142" t="s">
        <v>102</v>
      </c>
      <c r="C962" s="19" t="s">
        <v>40</v>
      </c>
      <c r="J962" s="74" t="s">
        <v>0</v>
      </c>
      <c r="L962" s="271" t="s">
        <v>41</v>
      </c>
      <c r="M962" s="74">
        <v>25270</v>
      </c>
      <c r="N962" s="67" t="s">
        <v>479</v>
      </c>
    </row>
    <row r="963" spans="2:14" ht="48" x14ac:dyDescent="0.2">
      <c r="B963" s="143" t="s">
        <v>113</v>
      </c>
      <c r="C963" s="19" t="s">
        <v>40</v>
      </c>
      <c r="J963" s="74" t="s">
        <v>0</v>
      </c>
      <c r="L963" s="271" t="s">
        <v>41</v>
      </c>
      <c r="M963" s="74">
        <v>25270</v>
      </c>
      <c r="N963" s="67" t="s">
        <v>479</v>
      </c>
    </row>
    <row r="964" spans="2:14" ht="17" x14ac:dyDescent="0.2">
      <c r="B964" s="144" t="s">
        <v>96</v>
      </c>
      <c r="C964" s="19" t="s">
        <v>40</v>
      </c>
      <c r="J964" s="74" t="s">
        <v>0</v>
      </c>
      <c r="L964" s="271" t="s">
        <v>41</v>
      </c>
      <c r="M964" s="74">
        <v>25270</v>
      </c>
      <c r="N964" s="67" t="s">
        <v>479</v>
      </c>
    </row>
    <row r="965" spans="2:14" ht="32" x14ac:dyDescent="0.2">
      <c r="B965" s="143" t="s">
        <v>97</v>
      </c>
      <c r="C965" s="19" t="s">
        <v>40</v>
      </c>
      <c r="J965" s="74" t="s">
        <v>0</v>
      </c>
      <c r="L965" s="271" t="s">
        <v>41</v>
      </c>
      <c r="M965" s="74">
        <v>25270</v>
      </c>
      <c r="N965" s="67" t="s">
        <v>479</v>
      </c>
    </row>
    <row r="966" spans="2:14" ht="32" x14ac:dyDescent="0.2">
      <c r="B966" s="142" t="s">
        <v>114</v>
      </c>
      <c r="C966" s="19" t="s">
        <v>40</v>
      </c>
      <c r="J966" s="74" t="s">
        <v>0</v>
      </c>
      <c r="L966" s="271" t="s">
        <v>41</v>
      </c>
      <c r="M966" s="74">
        <v>25270</v>
      </c>
      <c r="N966" s="67" t="s">
        <v>479</v>
      </c>
    </row>
    <row r="967" spans="2:14" ht="17" x14ac:dyDescent="0.2">
      <c r="B967" s="144" t="s">
        <v>99</v>
      </c>
      <c r="C967" s="19" t="s">
        <v>40</v>
      </c>
      <c r="J967" s="74" t="s">
        <v>0</v>
      </c>
      <c r="L967" s="271" t="s">
        <v>41</v>
      </c>
      <c r="M967" s="74">
        <v>25270</v>
      </c>
      <c r="N967" s="67" t="s">
        <v>479</v>
      </c>
    </row>
    <row r="968" spans="2:14" ht="17" x14ac:dyDescent="0.2">
      <c r="B968" s="143" t="s">
        <v>115</v>
      </c>
      <c r="C968" s="19" t="s">
        <v>40</v>
      </c>
      <c r="J968" s="74" t="s">
        <v>0</v>
      </c>
      <c r="L968" s="271" t="s">
        <v>41</v>
      </c>
      <c r="M968" s="74">
        <v>25270</v>
      </c>
      <c r="N968" s="67" t="s">
        <v>479</v>
      </c>
    </row>
    <row r="969" spans="2:14" x14ac:dyDescent="0.2">
      <c r="B969" s="251" t="s">
        <v>206</v>
      </c>
      <c r="C969" s="252"/>
    </row>
    <row r="970" spans="2:14" ht="17" x14ac:dyDescent="0.2">
      <c r="B970" s="213" t="s">
        <v>87</v>
      </c>
      <c r="C970" s="252" t="s">
        <v>40</v>
      </c>
      <c r="J970" s="74" t="s">
        <v>0</v>
      </c>
      <c r="L970" s="271" t="s">
        <v>41</v>
      </c>
      <c r="M970" s="74">
        <v>25270</v>
      </c>
      <c r="N970" s="67" t="s">
        <v>479</v>
      </c>
    </row>
    <row r="971" spans="2:14" ht="32" x14ac:dyDescent="0.2">
      <c r="B971" s="253" t="s">
        <v>102</v>
      </c>
      <c r="C971" s="252" t="s">
        <v>40</v>
      </c>
      <c r="J971" s="74" t="s">
        <v>0</v>
      </c>
      <c r="L971" s="271" t="s">
        <v>41</v>
      </c>
      <c r="M971" s="74">
        <v>25270</v>
      </c>
      <c r="N971" s="67" t="s">
        <v>479</v>
      </c>
    </row>
    <row r="972" spans="2:14" ht="48" x14ac:dyDescent="0.2">
      <c r="B972" s="238" t="s">
        <v>280</v>
      </c>
      <c r="C972" s="252" t="s">
        <v>40</v>
      </c>
      <c r="J972" s="74" t="s">
        <v>0</v>
      </c>
      <c r="L972" s="271" t="s">
        <v>41</v>
      </c>
      <c r="M972" s="74">
        <v>25270</v>
      </c>
      <c r="N972" s="67" t="s">
        <v>479</v>
      </c>
    </row>
    <row r="973" spans="2:14" ht="17" x14ac:dyDescent="0.2">
      <c r="B973" s="216" t="s">
        <v>96</v>
      </c>
      <c r="C973" s="252" t="s">
        <v>40</v>
      </c>
      <c r="J973" s="74" t="s">
        <v>0</v>
      </c>
      <c r="L973" s="271" t="s">
        <v>41</v>
      </c>
      <c r="M973" s="74">
        <v>25270</v>
      </c>
      <c r="N973" s="67" t="s">
        <v>479</v>
      </c>
    </row>
    <row r="974" spans="2:14" ht="32" x14ac:dyDescent="0.2">
      <c r="B974" s="238" t="s">
        <v>281</v>
      </c>
      <c r="C974" s="252" t="s">
        <v>40</v>
      </c>
      <c r="J974" s="74" t="s">
        <v>0</v>
      </c>
      <c r="L974" s="271" t="s">
        <v>41</v>
      </c>
      <c r="M974" s="74">
        <v>25270</v>
      </c>
      <c r="N974" s="67" t="s">
        <v>479</v>
      </c>
    </row>
    <row r="975" spans="2:14" ht="32" x14ac:dyDescent="0.2">
      <c r="B975" s="253" t="s">
        <v>282</v>
      </c>
      <c r="C975" s="252" t="s">
        <v>40</v>
      </c>
      <c r="J975" s="74" t="s">
        <v>0</v>
      </c>
      <c r="L975" s="271" t="s">
        <v>41</v>
      </c>
      <c r="M975" s="74">
        <v>25270</v>
      </c>
      <c r="N975" s="67" t="s">
        <v>479</v>
      </c>
    </row>
    <row r="976" spans="2:14" ht="17" x14ac:dyDescent="0.2">
      <c r="B976" s="215" t="s">
        <v>99</v>
      </c>
      <c r="C976" s="252" t="s">
        <v>40</v>
      </c>
      <c r="J976" s="74" t="s">
        <v>0</v>
      </c>
      <c r="L976" s="271" t="s">
        <v>41</v>
      </c>
      <c r="M976" s="74">
        <v>25270</v>
      </c>
      <c r="N976" s="67" t="s">
        <v>479</v>
      </c>
    </row>
    <row r="977" spans="2:14" ht="32" x14ac:dyDescent="0.2">
      <c r="B977" s="238" t="s">
        <v>358</v>
      </c>
      <c r="C977" s="252" t="s">
        <v>40</v>
      </c>
      <c r="J977" s="74" t="s">
        <v>0</v>
      </c>
      <c r="L977" s="271" t="s">
        <v>41</v>
      </c>
      <c r="M977" s="74">
        <v>25270</v>
      </c>
      <c r="N977" s="67" t="s">
        <v>479</v>
      </c>
    </row>
    <row r="978" spans="2:14" x14ac:dyDescent="0.2">
      <c r="B978" s="251" t="s">
        <v>279</v>
      </c>
      <c r="C978" s="252"/>
    </row>
    <row r="979" spans="2:14" ht="17" x14ac:dyDescent="0.2">
      <c r="B979" s="213" t="s">
        <v>87</v>
      </c>
      <c r="C979" s="252" t="s">
        <v>40</v>
      </c>
      <c r="J979" s="74" t="s">
        <v>0</v>
      </c>
      <c r="L979" s="271" t="s">
        <v>41</v>
      </c>
      <c r="M979" s="74">
        <v>25270</v>
      </c>
      <c r="N979" s="67" t="s">
        <v>479</v>
      </c>
    </row>
    <row r="980" spans="2:14" ht="32" x14ac:dyDescent="0.2">
      <c r="B980" s="253" t="s">
        <v>102</v>
      </c>
      <c r="C980" s="252" t="s">
        <v>40</v>
      </c>
      <c r="J980" s="74" t="s">
        <v>0</v>
      </c>
      <c r="L980" s="271" t="s">
        <v>41</v>
      </c>
      <c r="M980" s="74">
        <v>25270</v>
      </c>
      <c r="N980" s="67" t="s">
        <v>479</v>
      </c>
    </row>
    <row r="981" spans="2:14" ht="48" x14ac:dyDescent="0.2">
      <c r="B981" s="238" t="s">
        <v>323</v>
      </c>
      <c r="C981" s="252" t="s">
        <v>40</v>
      </c>
      <c r="J981" s="74" t="s">
        <v>0</v>
      </c>
      <c r="L981" s="271" t="s">
        <v>41</v>
      </c>
      <c r="M981" s="74">
        <v>25270</v>
      </c>
      <c r="N981" s="67" t="s">
        <v>479</v>
      </c>
    </row>
    <row r="982" spans="2:14" ht="17" x14ac:dyDescent="0.2">
      <c r="B982" s="216" t="s">
        <v>96</v>
      </c>
      <c r="C982" s="252" t="s">
        <v>40</v>
      </c>
      <c r="J982" s="74" t="s">
        <v>0</v>
      </c>
      <c r="L982" s="271" t="s">
        <v>41</v>
      </c>
      <c r="M982" s="74">
        <v>25270</v>
      </c>
      <c r="N982" s="67" t="s">
        <v>479</v>
      </c>
    </row>
    <row r="983" spans="2:14" ht="32" x14ac:dyDescent="0.2">
      <c r="B983" s="238" t="s">
        <v>97</v>
      </c>
      <c r="C983" s="252" t="s">
        <v>40</v>
      </c>
      <c r="J983" s="74" t="s">
        <v>0</v>
      </c>
      <c r="L983" s="271" t="s">
        <v>41</v>
      </c>
      <c r="M983" s="74">
        <v>25270</v>
      </c>
      <c r="N983" s="67" t="s">
        <v>479</v>
      </c>
    </row>
    <row r="984" spans="2:14" ht="32" x14ac:dyDescent="0.2">
      <c r="B984" s="253" t="s">
        <v>324</v>
      </c>
      <c r="C984" s="252" t="s">
        <v>40</v>
      </c>
      <c r="J984" s="74" t="s">
        <v>0</v>
      </c>
      <c r="L984" s="271" t="s">
        <v>41</v>
      </c>
      <c r="M984" s="74">
        <v>25270</v>
      </c>
      <c r="N984" s="67" t="s">
        <v>479</v>
      </c>
    </row>
    <row r="985" spans="2:14" ht="17" x14ac:dyDescent="0.2">
      <c r="B985" s="215" t="s">
        <v>99</v>
      </c>
      <c r="C985" s="252" t="s">
        <v>40</v>
      </c>
      <c r="J985" s="74" t="s">
        <v>0</v>
      </c>
      <c r="L985" s="271" t="s">
        <v>41</v>
      </c>
      <c r="M985" s="74">
        <v>25270</v>
      </c>
      <c r="N985" s="67" t="s">
        <v>479</v>
      </c>
    </row>
    <row r="986" spans="2:14" ht="32" x14ac:dyDescent="0.2">
      <c r="B986" s="238" t="s">
        <v>359</v>
      </c>
      <c r="C986" s="252" t="s">
        <v>40</v>
      </c>
      <c r="J986" s="74" t="s">
        <v>0</v>
      </c>
      <c r="L986" s="271" t="s">
        <v>41</v>
      </c>
      <c r="M986" s="74">
        <v>25270</v>
      </c>
      <c r="N986" s="67" t="s">
        <v>479</v>
      </c>
    </row>
    <row r="987" spans="2:14" ht="17" x14ac:dyDescent="0.2">
      <c r="B987" s="128" t="s">
        <v>121</v>
      </c>
      <c r="C987" s="19"/>
    </row>
    <row r="988" spans="2:14" ht="17" x14ac:dyDescent="0.2">
      <c r="B988" s="145" t="s">
        <v>122</v>
      </c>
      <c r="C988" s="19" t="s">
        <v>40</v>
      </c>
      <c r="J988" s="74" t="s">
        <v>0</v>
      </c>
      <c r="L988" s="271" t="s">
        <v>41</v>
      </c>
      <c r="M988" s="74">
        <v>25270</v>
      </c>
      <c r="N988" s="67" t="s">
        <v>479</v>
      </c>
    </row>
    <row r="989" spans="2:14" ht="17" x14ac:dyDescent="0.2">
      <c r="B989" s="167" t="s">
        <v>123</v>
      </c>
      <c r="C989" s="19" t="s">
        <v>40</v>
      </c>
      <c r="J989" s="74" t="s">
        <v>0</v>
      </c>
      <c r="L989" s="271" t="s">
        <v>41</v>
      </c>
      <c r="M989" s="74">
        <v>25270</v>
      </c>
      <c r="N989" s="67" t="s">
        <v>479</v>
      </c>
    </row>
    <row r="990" spans="2:14" ht="34" x14ac:dyDescent="0.2">
      <c r="B990" s="167" t="s">
        <v>398</v>
      </c>
      <c r="C990" s="19" t="s">
        <v>40</v>
      </c>
      <c r="J990" s="74" t="s">
        <v>0</v>
      </c>
      <c r="L990" s="271" t="s">
        <v>41</v>
      </c>
      <c r="M990" s="74">
        <v>25270</v>
      </c>
      <c r="N990" s="67" t="s">
        <v>479</v>
      </c>
    </row>
    <row r="991" spans="2:14" ht="17" x14ac:dyDescent="0.2">
      <c r="B991" s="249" t="s">
        <v>125</v>
      </c>
      <c r="C991" s="19" t="s">
        <v>40</v>
      </c>
      <c r="J991" s="74" t="s">
        <v>0</v>
      </c>
      <c r="L991" s="271" t="s">
        <v>41</v>
      </c>
      <c r="M991" s="74">
        <v>25270</v>
      </c>
      <c r="N991" s="67" t="s">
        <v>479</v>
      </c>
    </row>
    <row r="992" spans="2:14" ht="17" x14ac:dyDescent="0.2">
      <c r="B992" s="145" t="s">
        <v>126</v>
      </c>
      <c r="C992" s="19" t="s">
        <v>40</v>
      </c>
      <c r="J992" s="74" t="s">
        <v>0</v>
      </c>
      <c r="L992" s="271" t="s">
        <v>41</v>
      </c>
      <c r="M992" s="74">
        <v>25270</v>
      </c>
      <c r="N992" s="67" t="s">
        <v>479</v>
      </c>
    </row>
    <row r="993" spans="2:14" ht="17" x14ac:dyDescent="0.2">
      <c r="B993" s="166" t="s">
        <v>361</v>
      </c>
      <c r="C993" s="19" t="s">
        <v>40</v>
      </c>
      <c r="J993" s="74" t="s">
        <v>0</v>
      </c>
      <c r="L993" s="271" t="s">
        <v>41</v>
      </c>
      <c r="M993" s="74">
        <v>25270</v>
      </c>
      <c r="N993" s="67" t="s">
        <v>479</v>
      </c>
    </row>
    <row r="994" spans="2:14" ht="17" x14ac:dyDescent="0.2">
      <c r="B994" s="166" t="s">
        <v>362</v>
      </c>
      <c r="C994" s="19" t="s">
        <v>40</v>
      </c>
      <c r="J994" s="74" t="s">
        <v>0</v>
      </c>
      <c r="L994" s="271" t="s">
        <v>41</v>
      </c>
      <c r="M994" s="74">
        <v>25270</v>
      </c>
      <c r="N994" s="67" t="s">
        <v>479</v>
      </c>
    </row>
    <row r="995" spans="2:14" ht="17" x14ac:dyDescent="0.2">
      <c r="B995" s="220" t="s">
        <v>399</v>
      </c>
      <c r="C995" s="19" t="s">
        <v>40</v>
      </c>
      <c r="J995" s="74" t="s">
        <v>0</v>
      </c>
      <c r="L995" s="271" t="s">
        <v>41</v>
      </c>
      <c r="M995" s="74">
        <v>25270</v>
      </c>
      <c r="N995" s="67" t="s">
        <v>479</v>
      </c>
    </row>
    <row r="996" spans="2:14" ht="17" x14ac:dyDescent="0.2">
      <c r="B996" s="166" t="s">
        <v>400</v>
      </c>
      <c r="C996" s="19" t="s">
        <v>40</v>
      </c>
      <c r="J996" s="74" t="s">
        <v>0</v>
      </c>
      <c r="L996" s="271" t="s">
        <v>41</v>
      </c>
      <c r="M996" s="74">
        <v>25270</v>
      </c>
      <c r="N996" s="67" t="s">
        <v>479</v>
      </c>
    </row>
    <row r="997" spans="2:14" ht="17" x14ac:dyDescent="0.2">
      <c r="B997" s="168" t="s">
        <v>571</v>
      </c>
      <c r="C997" s="19" t="s">
        <v>40</v>
      </c>
      <c r="J997" s="74" t="s">
        <v>0</v>
      </c>
      <c r="L997" s="271" t="s">
        <v>41</v>
      </c>
      <c r="M997" s="74">
        <v>25270</v>
      </c>
      <c r="N997" s="67" t="s">
        <v>479</v>
      </c>
    </row>
    <row r="998" spans="2:14" ht="17" x14ac:dyDescent="0.2">
      <c r="B998" s="247" t="s">
        <v>132</v>
      </c>
      <c r="C998" s="19" t="s">
        <v>40</v>
      </c>
      <c r="J998" s="74" t="s">
        <v>0</v>
      </c>
      <c r="L998" s="271" t="s">
        <v>41</v>
      </c>
      <c r="M998" s="74">
        <v>25270</v>
      </c>
      <c r="N998" s="67" t="s">
        <v>479</v>
      </c>
    </row>
    <row r="999" spans="2:14" ht="17" x14ac:dyDescent="0.2">
      <c r="B999" s="247" t="s">
        <v>134</v>
      </c>
      <c r="C999" s="19" t="s">
        <v>40</v>
      </c>
      <c r="J999" s="74" t="s">
        <v>0</v>
      </c>
      <c r="L999" s="271" t="s">
        <v>41</v>
      </c>
      <c r="M999" s="74">
        <v>25270</v>
      </c>
      <c r="N999" s="67" t="s">
        <v>479</v>
      </c>
    </row>
    <row r="1000" spans="2:14" ht="17" x14ac:dyDescent="0.2">
      <c r="B1000" s="247" t="s">
        <v>136</v>
      </c>
      <c r="C1000" s="19" t="s">
        <v>40</v>
      </c>
      <c r="J1000" s="74" t="s">
        <v>0</v>
      </c>
      <c r="L1000" s="271" t="s">
        <v>41</v>
      </c>
      <c r="M1000" s="74">
        <v>25270</v>
      </c>
      <c r="N1000" s="67" t="s">
        <v>479</v>
      </c>
    </row>
    <row r="1001" spans="2:14" ht="23" x14ac:dyDescent="0.3">
      <c r="B1001" s="148" t="s">
        <v>137</v>
      </c>
      <c r="C1001" s="19"/>
    </row>
    <row r="1002" spans="2:14" ht="23" x14ac:dyDescent="0.3">
      <c r="B1002" s="148" t="s">
        <v>138</v>
      </c>
      <c r="C1002" s="19"/>
    </row>
    <row r="1003" spans="2:14" ht="17" x14ac:dyDescent="0.2">
      <c r="B1003" s="168" t="s">
        <v>546</v>
      </c>
      <c r="C1003" s="19" t="s">
        <v>40</v>
      </c>
      <c r="J1003" s="74" t="s">
        <v>0</v>
      </c>
      <c r="L1003" s="271" t="s">
        <v>41</v>
      </c>
      <c r="M1003" s="74">
        <v>25270</v>
      </c>
      <c r="N1003" s="67" t="s">
        <v>479</v>
      </c>
    </row>
    <row r="1004" spans="2:14" ht="34" x14ac:dyDescent="0.2">
      <c r="B1004" s="168" t="s">
        <v>538</v>
      </c>
      <c r="C1004" s="19" t="s">
        <v>40</v>
      </c>
      <c r="J1004" s="74" t="s">
        <v>0</v>
      </c>
      <c r="L1004" s="271" t="s">
        <v>41</v>
      </c>
      <c r="M1004" s="74">
        <v>25270</v>
      </c>
      <c r="N1004" s="67" t="s">
        <v>479</v>
      </c>
    </row>
    <row r="1005" spans="2:14" ht="17" x14ac:dyDescent="0.2">
      <c r="B1005" s="168" t="s">
        <v>547</v>
      </c>
      <c r="C1005" s="19" t="s">
        <v>40</v>
      </c>
      <c r="J1005" s="74" t="s">
        <v>0</v>
      </c>
      <c r="L1005" s="271" t="s">
        <v>41</v>
      </c>
      <c r="M1005" s="74">
        <v>25270</v>
      </c>
      <c r="N1005" s="67" t="s">
        <v>479</v>
      </c>
    </row>
    <row r="1006" spans="2:14" ht="17" x14ac:dyDescent="0.2">
      <c r="B1006" s="168" t="s">
        <v>539</v>
      </c>
      <c r="C1006" s="19" t="s">
        <v>40</v>
      </c>
      <c r="J1006" s="74" t="s">
        <v>0</v>
      </c>
      <c r="L1006" s="271" t="s">
        <v>41</v>
      </c>
      <c r="M1006" s="74">
        <v>25270</v>
      </c>
      <c r="N1006" s="67" t="s">
        <v>479</v>
      </c>
    </row>
    <row r="1007" spans="2:14" ht="17" x14ac:dyDescent="0.2">
      <c r="B1007" s="147" t="s">
        <v>143</v>
      </c>
      <c r="C1007" s="19" t="s">
        <v>40</v>
      </c>
      <c r="J1007" s="74" t="s">
        <v>0</v>
      </c>
      <c r="L1007" s="271" t="s">
        <v>41</v>
      </c>
      <c r="M1007" s="74">
        <v>25270</v>
      </c>
      <c r="N1007" s="67" t="s">
        <v>479</v>
      </c>
    </row>
    <row r="1008" spans="2:14" ht="23" x14ac:dyDescent="0.3">
      <c r="B1008" s="148" t="s">
        <v>144</v>
      </c>
      <c r="C1008" s="19"/>
      <c r="L1008" s="271"/>
      <c r="N1008" s="67"/>
    </row>
    <row r="1009" spans="2:14" ht="17" x14ac:dyDescent="0.2">
      <c r="B1009" s="147" t="s">
        <v>145</v>
      </c>
      <c r="C1009" s="19" t="s">
        <v>40</v>
      </c>
      <c r="J1009" s="74" t="s">
        <v>0</v>
      </c>
      <c r="L1009" s="271" t="s">
        <v>41</v>
      </c>
      <c r="M1009" s="74">
        <v>25270</v>
      </c>
      <c r="N1009" s="67" t="s">
        <v>479</v>
      </c>
    </row>
    <row r="1010" spans="2:14" ht="17" x14ac:dyDescent="0.2">
      <c r="B1010" s="147" t="s">
        <v>146</v>
      </c>
      <c r="C1010" s="19" t="s">
        <v>40</v>
      </c>
      <c r="J1010" s="74" t="s">
        <v>0</v>
      </c>
      <c r="L1010" s="271" t="s">
        <v>41</v>
      </c>
      <c r="M1010" s="74">
        <v>25270</v>
      </c>
      <c r="N1010" s="67" t="s">
        <v>479</v>
      </c>
    </row>
    <row r="1011" spans="2:14" ht="17" x14ac:dyDescent="0.2">
      <c r="B1011" s="147" t="s">
        <v>147</v>
      </c>
      <c r="C1011" s="19" t="s">
        <v>40</v>
      </c>
      <c r="J1011" s="74" t="s">
        <v>0</v>
      </c>
      <c r="L1011" s="271" t="s">
        <v>41</v>
      </c>
      <c r="M1011" s="74">
        <v>25270</v>
      </c>
      <c r="N1011" s="67" t="s">
        <v>479</v>
      </c>
    </row>
    <row r="1012" spans="2:14" ht="17" x14ac:dyDescent="0.2">
      <c r="B1012" s="168" t="s">
        <v>572</v>
      </c>
      <c r="C1012" s="19" t="s">
        <v>40</v>
      </c>
      <c r="J1012" s="74" t="s">
        <v>0</v>
      </c>
      <c r="L1012" s="271" t="s">
        <v>41</v>
      </c>
      <c r="M1012" s="74">
        <v>25270</v>
      </c>
      <c r="N1012" s="67" t="s">
        <v>479</v>
      </c>
    </row>
    <row r="1013" spans="2:14" ht="17" x14ac:dyDescent="0.2">
      <c r="B1013" s="147" t="s">
        <v>149</v>
      </c>
      <c r="C1013" s="19" t="s">
        <v>40</v>
      </c>
      <c r="J1013" s="74" t="s">
        <v>0</v>
      </c>
      <c r="L1013" s="271" t="s">
        <v>41</v>
      </c>
      <c r="M1013" s="74">
        <v>25270</v>
      </c>
      <c r="N1013" s="67" t="s">
        <v>479</v>
      </c>
    </row>
    <row r="1014" spans="2:14" ht="20" x14ac:dyDescent="0.2">
      <c r="B1014" s="177" t="s">
        <v>51</v>
      </c>
      <c r="C1014" s="19"/>
    </row>
    <row r="1015" spans="2:14" ht="17" x14ac:dyDescent="0.2">
      <c r="B1015" s="128" t="s">
        <v>342</v>
      </c>
    </row>
    <row r="1016" spans="2:14" ht="17" x14ac:dyDescent="0.2">
      <c r="B1016" s="132" t="s">
        <v>60</v>
      </c>
      <c r="C1016" s="19"/>
    </row>
    <row r="1017" spans="2:14" ht="17" x14ac:dyDescent="0.2">
      <c r="B1017" s="135" t="s">
        <v>61</v>
      </c>
      <c r="C1017" s="19" t="s">
        <v>40</v>
      </c>
      <c r="J1017" s="74" t="s">
        <v>0</v>
      </c>
      <c r="L1017" s="271" t="s">
        <v>41</v>
      </c>
      <c r="M1017" s="74">
        <v>25270</v>
      </c>
      <c r="N1017" s="67" t="s">
        <v>479</v>
      </c>
    </row>
    <row r="1018" spans="2:14" ht="17" x14ac:dyDescent="0.2">
      <c r="B1018" s="136" t="s">
        <v>62</v>
      </c>
      <c r="C1018" s="19" t="s">
        <v>40</v>
      </c>
      <c r="J1018" s="74" t="s">
        <v>0</v>
      </c>
      <c r="L1018" s="271" t="s">
        <v>41</v>
      </c>
      <c r="M1018" s="74">
        <v>25270</v>
      </c>
      <c r="N1018" s="67" t="s">
        <v>479</v>
      </c>
    </row>
    <row r="1019" spans="2:14" ht="96" x14ac:dyDescent="0.2">
      <c r="B1019" s="211" t="s">
        <v>63</v>
      </c>
      <c r="C1019" s="19" t="s">
        <v>40</v>
      </c>
      <c r="J1019" s="74" t="s">
        <v>0</v>
      </c>
      <c r="L1019" s="271" t="s">
        <v>41</v>
      </c>
      <c r="M1019" s="74">
        <v>25270</v>
      </c>
      <c r="N1019" s="67" t="s">
        <v>479</v>
      </c>
    </row>
    <row r="1020" spans="2:14" ht="17" x14ac:dyDescent="0.2">
      <c r="B1020" s="136" t="s">
        <v>64</v>
      </c>
      <c r="C1020" s="19" t="s">
        <v>40</v>
      </c>
      <c r="J1020" s="74" t="s">
        <v>0</v>
      </c>
      <c r="L1020" s="271" t="s">
        <v>41</v>
      </c>
      <c r="M1020" s="74">
        <v>25270</v>
      </c>
      <c r="N1020" s="67" t="s">
        <v>479</v>
      </c>
    </row>
    <row r="1021" spans="2:14" ht="20" x14ac:dyDescent="0.25">
      <c r="B1021" s="149" t="s">
        <v>150</v>
      </c>
      <c r="C1021" s="19"/>
    </row>
    <row r="1022" spans="2:14" x14ac:dyDescent="0.2">
      <c r="B1022" s="150" t="s">
        <v>151</v>
      </c>
      <c r="C1022" s="19"/>
    </row>
    <row r="1023" spans="2:14" ht="17" x14ac:dyDescent="0.2">
      <c r="B1023" s="151" t="s">
        <v>152</v>
      </c>
      <c r="C1023" s="19" t="s">
        <v>40</v>
      </c>
      <c r="J1023" s="74" t="s">
        <v>0</v>
      </c>
      <c r="L1023" s="271" t="s">
        <v>41</v>
      </c>
      <c r="M1023" s="74">
        <v>25270</v>
      </c>
      <c r="N1023" s="67" t="s">
        <v>479</v>
      </c>
    </row>
    <row r="1024" spans="2:14" ht="17" x14ac:dyDescent="0.2">
      <c r="B1024" s="151" t="s">
        <v>153</v>
      </c>
      <c r="C1024" s="19" t="s">
        <v>40</v>
      </c>
      <c r="J1024" s="74" t="s">
        <v>0</v>
      </c>
      <c r="L1024" s="271" t="s">
        <v>41</v>
      </c>
      <c r="M1024" s="74">
        <v>25270</v>
      </c>
      <c r="N1024" s="67" t="s">
        <v>479</v>
      </c>
    </row>
    <row r="1025" spans="2:14" ht="17" x14ac:dyDescent="0.2">
      <c r="B1025" s="152" t="s">
        <v>154</v>
      </c>
      <c r="C1025" s="19" t="s">
        <v>40</v>
      </c>
      <c r="J1025" s="74" t="s">
        <v>0</v>
      </c>
      <c r="L1025" s="271" t="s">
        <v>41</v>
      </c>
      <c r="M1025" s="74">
        <v>25270</v>
      </c>
      <c r="N1025" s="67" t="s">
        <v>479</v>
      </c>
    </row>
    <row r="1026" spans="2:14" ht="17" x14ac:dyDescent="0.2">
      <c r="B1026" s="143" t="s">
        <v>155</v>
      </c>
      <c r="C1026" s="19" t="s">
        <v>40</v>
      </c>
      <c r="J1026" s="74" t="s">
        <v>0</v>
      </c>
      <c r="L1026" s="271" t="s">
        <v>41</v>
      </c>
      <c r="M1026" s="74">
        <v>25270</v>
      </c>
      <c r="N1026" s="67" t="s">
        <v>479</v>
      </c>
    </row>
    <row r="1027" spans="2:14" x14ac:dyDescent="0.2">
      <c r="B1027" s="153" t="s">
        <v>156</v>
      </c>
    </row>
    <row r="1028" spans="2:14" x14ac:dyDescent="0.2">
      <c r="B1028" s="153" t="s">
        <v>157</v>
      </c>
      <c r="C1028" s="19"/>
    </row>
    <row r="1029" spans="2:14" ht="17" x14ac:dyDescent="0.2">
      <c r="B1029" s="154" t="s">
        <v>158</v>
      </c>
      <c r="C1029" s="19" t="s">
        <v>40</v>
      </c>
      <c r="J1029" s="74" t="s">
        <v>0</v>
      </c>
      <c r="L1029" s="271" t="s">
        <v>41</v>
      </c>
      <c r="M1029" s="74">
        <v>25270</v>
      </c>
      <c r="N1029" s="67" t="s">
        <v>479</v>
      </c>
    </row>
    <row r="1030" spans="2:14" ht="17" x14ac:dyDescent="0.2">
      <c r="B1030" s="155" t="s">
        <v>159</v>
      </c>
      <c r="C1030" s="19" t="s">
        <v>40</v>
      </c>
      <c r="J1030" s="74" t="s">
        <v>0</v>
      </c>
      <c r="L1030" s="271" t="s">
        <v>41</v>
      </c>
      <c r="M1030" s="74">
        <v>25270</v>
      </c>
      <c r="N1030" s="67" t="s">
        <v>479</v>
      </c>
    </row>
    <row r="1031" spans="2:14" ht="17" x14ac:dyDescent="0.2">
      <c r="B1031" s="151" t="s">
        <v>160</v>
      </c>
      <c r="C1031" s="19" t="s">
        <v>40</v>
      </c>
      <c r="L1031" s="271" t="s">
        <v>41</v>
      </c>
      <c r="M1031" s="74">
        <v>25270</v>
      </c>
      <c r="N1031" s="67" t="s">
        <v>479</v>
      </c>
    </row>
    <row r="1032" spans="2:14" x14ac:dyDescent="0.2">
      <c r="B1032" s="153" t="s">
        <v>161</v>
      </c>
      <c r="C1032" s="19"/>
    </row>
    <row r="1033" spans="2:14" x14ac:dyDescent="0.2">
      <c r="B1033" s="157" t="s">
        <v>215</v>
      </c>
      <c r="C1033" s="19"/>
    </row>
    <row r="1034" spans="2:14" ht="51" x14ac:dyDescent="0.2">
      <c r="B1034" s="158" t="s">
        <v>216</v>
      </c>
      <c r="C1034" s="19" t="s">
        <v>40</v>
      </c>
      <c r="J1034" s="74" t="s">
        <v>0</v>
      </c>
      <c r="L1034" s="271" t="s">
        <v>41</v>
      </c>
      <c r="M1034" s="74">
        <v>25270</v>
      </c>
      <c r="N1034" s="67" t="s">
        <v>479</v>
      </c>
    </row>
    <row r="1035" spans="2:14" ht="17" x14ac:dyDescent="0.2">
      <c r="B1035" s="144" t="s">
        <v>409</v>
      </c>
      <c r="C1035" s="19" t="s">
        <v>40</v>
      </c>
      <c r="J1035" s="74" t="s">
        <v>0</v>
      </c>
      <c r="L1035" s="271" t="s">
        <v>41</v>
      </c>
      <c r="M1035" s="74">
        <v>25270</v>
      </c>
      <c r="N1035" s="67" t="s">
        <v>479</v>
      </c>
    </row>
    <row r="1036" spans="2:14" x14ac:dyDescent="0.2">
      <c r="B1036" s="156" t="s">
        <v>162</v>
      </c>
      <c r="C1036" s="19"/>
    </row>
    <row r="1037" spans="2:14" ht="48" x14ac:dyDescent="0.2">
      <c r="B1037" s="151" t="s">
        <v>163</v>
      </c>
      <c r="C1037" s="19" t="s">
        <v>40</v>
      </c>
      <c r="J1037" s="74" t="s">
        <v>0</v>
      </c>
      <c r="L1037" s="271" t="s">
        <v>41</v>
      </c>
      <c r="M1037" s="74">
        <v>25270</v>
      </c>
      <c r="N1037" s="67" t="s">
        <v>479</v>
      </c>
    </row>
    <row r="1038" spans="2:14" ht="17" x14ac:dyDescent="0.2">
      <c r="B1038" s="138" t="s">
        <v>164</v>
      </c>
      <c r="C1038" s="19" t="s">
        <v>40</v>
      </c>
      <c r="J1038" s="74" t="s">
        <v>0</v>
      </c>
      <c r="L1038" s="271" t="s">
        <v>41</v>
      </c>
      <c r="M1038" s="74">
        <v>25270</v>
      </c>
      <c r="N1038" s="67" t="s">
        <v>479</v>
      </c>
    </row>
    <row r="1039" spans="2:14" x14ac:dyDescent="0.2">
      <c r="B1039" s="156" t="s">
        <v>165</v>
      </c>
      <c r="C1039" s="19"/>
    </row>
    <row r="1040" spans="2:14" ht="48" x14ac:dyDescent="0.2">
      <c r="B1040" s="151" t="s">
        <v>166</v>
      </c>
      <c r="C1040" s="19" t="s">
        <v>40</v>
      </c>
      <c r="J1040" s="74" t="s">
        <v>0</v>
      </c>
      <c r="L1040" s="271" t="s">
        <v>41</v>
      </c>
      <c r="M1040" s="74">
        <v>25270</v>
      </c>
      <c r="N1040" s="67" t="s">
        <v>479</v>
      </c>
    </row>
    <row r="1041" spans="2:14" ht="17" x14ac:dyDescent="0.2">
      <c r="B1041" s="138" t="s">
        <v>167</v>
      </c>
      <c r="C1041" s="19" t="s">
        <v>40</v>
      </c>
      <c r="J1041" s="74" t="s">
        <v>0</v>
      </c>
      <c r="L1041" s="271" t="s">
        <v>41</v>
      </c>
      <c r="M1041" s="74">
        <v>25270</v>
      </c>
      <c r="N1041" s="67" t="s">
        <v>479</v>
      </c>
    </row>
    <row r="1042" spans="2:14" x14ac:dyDescent="0.2">
      <c r="B1042" s="157" t="s">
        <v>168</v>
      </c>
    </row>
    <row r="1043" spans="2:14" ht="51" x14ac:dyDescent="0.2">
      <c r="B1043" s="158" t="s">
        <v>169</v>
      </c>
      <c r="C1043" s="19" t="s">
        <v>40</v>
      </c>
      <c r="J1043" s="74" t="s">
        <v>0</v>
      </c>
      <c r="L1043" s="271" t="s">
        <v>41</v>
      </c>
      <c r="M1043" s="74">
        <v>25270</v>
      </c>
      <c r="N1043" s="67" t="s">
        <v>479</v>
      </c>
    </row>
    <row r="1044" spans="2:14" ht="17" x14ac:dyDescent="0.2">
      <c r="B1044" s="159" t="s">
        <v>170</v>
      </c>
      <c r="C1044" s="19" t="s">
        <v>40</v>
      </c>
      <c r="J1044" s="74" t="s">
        <v>0</v>
      </c>
      <c r="L1044" s="271" t="s">
        <v>41</v>
      </c>
      <c r="M1044" s="74">
        <v>25270</v>
      </c>
      <c r="N1044" s="67" t="s">
        <v>479</v>
      </c>
    </row>
    <row r="1045" spans="2:14" x14ac:dyDescent="0.2">
      <c r="B1045" s="157" t="s">
        <v>171</v>
      </c>
      <c r="C1045" s="19"/>
    </row>
    <row r="1046" spans="2:14" ht="48" x14ac:dyDescent="0.2">
      <c r="B1046" s="144" t="s">
        <v>172</v>
      </c>
      <c r="C1046" s="19" t="s">
        <v>40</v>
      </c>
      <c r="J1046" s="74" t="s">
        <v>0</v>
      </c>
      <c r="L1046" s="271" t="s">
        <v>41</v>
      </c>
      <c r="M1046" s="74">
        <v>25270</v>
      </c>
      <c r="N1046" s="67" t="s">
        <v>479</v>
      </c>
    </row>
    <row r="1047" spans="2:14" ht="17" x14ac:dyDescent="0.2">
      <c r="B1047" s="160" t="s">
        <v>173</v>
      </c>
      <c r="C1047" s="19" t="s">
        <v>40</v>
      </c>
      <c r="J1047" s="74" t="s">
        <v>0</v>
      </c>
      <c r="L1047" s="271" t="s">
        <v>41</v>
      </c>
      <c r="M1047" s="74">
        <v>25270</v>
      </c>
      <c r="N1047" s="67" t="s">
        <v>479</v>
      </c>
    </row>
    <row r="1048" spans="2:14" ht="17" x14ac:dyDescent="0.2">
      <c r="B1048" s="161" t="s">
        <v>174</v>
      </c>
    </row>
    <row r="1049" spans="2:14" ht="51" x14ac:dyDescent="0.2">
      <c r="B1049" s="161" t="s">
        <v>175</v>
      </c>
      <c r="C1049" s="19"/>
    </row>
    <row r="1050" spans="2:14" ht="17" x14ac:dyDescent="0.2">
      <c r="B1050" s="131" t="s">
        <v>176</v>
      </c>
      <c r="C1050" s="19" t="s">
        <v>40</v>
      </c>
      <c r="J1050" s="74" t="s">
        <v>0</v>
      </c>
      <c r="L1050" s="271" t="s">
        <v>41</v>
      </c>
      <c r="M1050" s="74">
        <v>25270</v>
      </c>
      <c r="N1050" s="67" t="s">
        <v>479</v>
      </c>
    </row>
    <row r="1051" spans="2:14" ht="17" x14ac:dyDescent="0.2">
      <c r="B1051" s="160" t="s">
        <v>177</v>
      </c>
      <c r="C1051" s="19" t="s">
        <v>40</v>
      </c>
      <c r="J1051" s="74" t="s">
        <v>0</v>
      </c>
      <c r="L1051" s="271" t="s">
        <v>41</v>
      </c>
      <c r="M1051" s="74">
        <v>25270</v>
      </c>
      <c r="N1051" s="67" t="s">
        <v>479</v>
      </c>
    </row>
    <row r="1052" spans="2:14" ht="17" x14ac:dyDescent="0.2">
      <c r="B1052" s="160" t="s">
        <v>410</v>
      </c>
      <c r="C1052" s="19" t="s">
        <v>40</v>
      </c>
      <c r="J1052" s="74" t="s">
        <v>0</v>
      </c>
      <c r="L1052" s="271" t="s">
        <v>41</v>
      </c>
      <c r="M1052" s="74">
        <v>25270</v>
      </c>
      <c r="N1052" s="67" t="s">
        <v>479</v>
      </c>
    </row>
    <row r="1053" spans="2:14" ht="68" x14ac:dyDescent="0.2">
      <c r="B1053" s="160" t="s">
        <v>411</v>
      </c>
      <c r="C1053" s="19" t="s">
        <v>40</v>
      </c>
      <c r="J1053" s="74" t="s">
        <v>0</v>
      </c>
      <c r="L1053" s="271" t="s">
        <v>41</v>
      </c>
      <c r="M1053" s="74">
        <v>25270</v>
      </c>
      <c r="N1053" s="67" t="s">
        <v>479</v>
      </c>
    </row>
    <row r="1054" spans="2:14" ht="17" x14ac:dyDescent="0.2">
      <c r="B1054" s="131" t="s">
        <v>178</v>
      </c>
      <c r="C1054" s="19" t="s">
        <v>40</v>
      </c>
      <c r="J1054" s="74" t="s">
        <v>0</v>
      </c>
      <c r="L1054" s="271" t="s">
        <v>41</v>
      </c>
      <c r="M1054" s="74">
        <v>25270</v>
      </c>
      <c r="N1054" s="67" t="s">
        <v>479</v>
      </c>
    </row>
    <row r="1055" spans="2:14" ht="68" x14ac:dyDescent="0.2">
      <c r="B1055" s="131" t="s">
        <v>365</v>
      </c>
      <c r="C1055" s="19" t="s">
        <v>40</v>
      </c>
      <c r="J1055" s="74" t="s">
        <v>0</v>
      </c>
      <c r="L1055" s="271" t="s">
        <v>41</v>
      </c>
      <c r="M1055" s="74">
        <v>25270</v>
      </c>
      <c r="N1055" s="67" t="s">
        <v>479</v>
      </c>
    </row>
    <row r="1056" spans="2:14" ht="17" x14ac:dyDescent="0.2">
      <c r="B1056" s="131" t="s">
        <v>180</v>
      </c>
      <c r="C1056" s="19" t="s">
        <v>40</v>
      </c>
      <c r="J1056" s="74" t="s">
        <v>0</v>
      </c>
      <c r="L1056" s="271" t="s">
        <v>41</v>
      </c>
      <c r="M1056" s="74">
        <v>25270</v>
      </c>
      <c r="N1056" s="67" t="s">
        <v>479</v>
      </c>
    </row>
    <row r="1057" spans="2:14" ht="68" x14ac:dyDescent="0.2">
      <c r="B1057" s="131" t="s">
        <v>181</v>
      </c>
      <c r="C1057" s="19" t="s">
        <v>40</v>
      </c>
      <c r="J1057" s="74" t="s">
        <v>0</v>
      </c>
      <c r="L1057" s="271" t="s">
        <v>41</v>
      </c>
      <c r="M1057" s="74">
        <v>25270</v>
      </c>
      <c r="N1057" s="67" t="s">
        <v>479</v>
      </c>
    </row>
    <row r="1058" spans="2:14" ht="17" x14ac:dyDescent="0.2">
      <c r="B1058" s="160" t="s">
        <v>182</v>
      </c>
      <c r="C1058" s="19" t="s">
        <v>40</v>
      </c>
      <c r="J1058" s="74" t="s">
        <v>0</v>
      </c>
      <c r="L1058" s="271" t="s">
        <v>41</v>
      </c>
      <c r="M1058" s="74">
        <v>25270</v>
      </c>
      <c r="N1058" s="67" t="s">
        <v>479</v>
      </c>
    </row>
    <row r="1059" spans="2:14" ht="68" x14ac:dyDescent="0.2">
      <c r="B1059" s="160" t="s">
        <v>366</v>
      </c>
      <c r="C1059" s="19" t="s">
        <v>40</v>
      </c>
      <c r="J1059" s="74" t="s">
        <v>0</v>
      </c>
      <c r="L1059" s="271" t="s">
        <v>41</v>
      </c>
      <c r="M1059" s="74">
        <v>25270</v>
      </c>
      <c r="N1059" s="67" t="s">
        <v>479</v>
      </c>
    </row>
    <row r="1060" spans="2:14" ht="17" x14ac:dyDescent="0.2">
      <c r="B1060" s="162" t="s">
        <v>184</v>
      </c>
      <c r="C1060" s="19" t="s">
        <v>40</v>
      </c>
      <c r="J1060" s="74" t="s">
        <v>0</v>
      </c>
      <c r="L1060" s="271" t="s">
        <v>41</v>
      </c>
      <c r="M1060" s="74">
        <v>25270</v>
      </c>
      <c r="N1060" s="67" t="s">
        <v>479</v>
      </c>
    </row>
    <row r="1061" spans="2:14" ht="17" x14ac:dyDescent="0.2">
      <c r="B1061" s="162" t="s">
        <v>185</v>
      </c>
      <c r="C1061" s="19" t="s">
        <v>40</v>
      </c>
      <c r="J1061" s="74" t="s">
        <v>0</v>
      </c>
      <c r="L1061" s="271" t="s">
        <v>41</v>
      </c>
      <c r="M1061" s="74">
        <v>25270</v>
      </c>
      <c r="N1061" s="67" t="s">
        <v>479</v>
      </c>
    </row>
    <row r="1064" spans="2:14" ht="25" x14ac:dyDescent="0.3">
      <c r="B1064" s="125" t="s">
        <v>412</v>
      </c>
      <c r="C1064" s="19"/>
    </row>
    <row r="1065" spans="2:14" ht="69" x14ac:dyDescent="0.2">
      <c r="B1065" s="170" t="s">
        <v>413</v>
      </c>
      <c r="C1065" s="19"/>
    </row>
    <row r="1066" spans="2:14" ht="17" x14ac:dyDescent="0.2">
      <c r="B1066" s="127" t="s">
        <v>328</v>
      </c>
    </row>
    <row r="1067" spans="2:14" ht="17" x14ac:dyDescent="0.2">
      <c r="B1067" s="128" t="s">
        <v>33</v>
      </c>
    </row>
    <row r="1068" spans="2:14" ht="17" x14ac:dyDescent="0.2">
      <c r="B1068" s="127" t="s">
        <v>34</v>
      </c>
      <c r="C1068" s="19"/>
    </row>
    <row r="1069" spans="2:14" ht="17" x14ac:dyDescent="0.2">
      <c r="B1069" s="127" t="s">
        <v>475</v>
      </c>
      <c r="C1069" s="19"/>
    </row>
    <row r="1070" spans="2:14" ht="34" x14ac:dyDescent="0.2">
      <c r="B1070" s="127" t="s">
        <v>476</v>
      </c>
      <c r="C1070" s="19"/>
    </row>
    <row r="1071" spans="2:14" ht="17" x14ac:dyDescent="0.2">
      <c r="B1071" s="129" t="s">
        <v>36</v>
      </c>
      <c r="C1071" s="19"/>
    </row>
    <row r="1072" spans="2:14" ht="17" x14ac:dyDescent="0.2">
      <c r="B1072" s="129" t="s">
        <v>37</v>
      </c>
      <c r="C1072" s="19"/>
    </row>
    <row r="1073" spans="2:14" ht="17" x14ac:dyDescent="0.2">
      <c r="B1073" s="128" t="s">
        <v>38</v>
      </c>
      <c r="C1073" s="19"/>
    </row>
    <row r="1074" spans="2:14" ht="48" x14ac:dyDescent="0.2">
      <c r="B1074" s="164" t="s">
        <v>477</v>
      </c>
      <c r="C1074" s="19" t="s">
        <v>40</v>
      </c>
      <c r="E1074" s="34" t="s">
        <v>0</v>
      </c>
      <c r="G1074" s="62" t="s">
        <v>41</v>
      </c>
      <c r="H1074" s="61">
        <v>18188</v>
      </c>
      <c r="N1074" s="67" t="s">
        <v>479</v>
      </c>
    </row>
    <row r="1075" spans="2:14" ht="48" x14ac:dyDescent="0.2">
      <c r="B1075" s="164" t="s">
        <v>542</v>
      </c>
      <c r="C1075" s="19" t="s">
        <v>40</v>
      </c>
      <c r="E1075" s="34" t="s">
        <v>0</v>
      </c>
      <c r="G1075" s="62" t="s">
        <v>41</v>
      </c>
      <c r="H1075" s="61">
        <v>18188</v>
      </c>
      <c r="N1075" s="67" t="s">
        <v>479</v>
      </c>
    </row>
    <row r="1076" spans="2:14" ht="17" x14ac:dyDescent="0.2">
      <c r="B1076" s="128" t="s">
        <v>44</v>
      </c>
      <c r="C1076" s="19"/>
    </row>
    <row r="1077" spans="2:14" ht="17" x14ac:dyDescent="0.2">
      <c r="B1077" s="164" t="s">
        <v>543</v>
      </c>
      <c r="C1077" s="19" t="s">
        <v>40</v>
      </c>
      <c r="E1077" s="34" t="s">
        <v>0</v>
      </c>
      <c r="G1077" s="62" t="s">
        <v>41</v>
      </c>
      <c r="H1077" s="61">
        <v>18188</v>
      </c>
      <c r="N1077" s="67" t="s">
        <v>479</v>
      </c>
    </row>
    <row r="1078" spans="2:14" ht="17" x14ac:dyDescent="0.2">
      <c r="B1078" s="128" t="s">
        <v>47</v>
      </c>
    </row>
    <row r="1079" spans="2:14" ht="17" x14ac:dyDescent="0.2">
      <c r="B1079" s="131" t="s">
        <v>481</v>
      </c>
      <c r="C1079" s="19" t="s">
        <v>40</v>
      </c>
      <c r="E1079" s="34" t="s">
        <v>0</v>
      </c>
      <c r="G1079" s="62" t="s">
        <v>41</v>
      </c>
      <c r="H1079" s="61">
        <v>18188</v>
      </c>
      <c r="N1079" s="67" t="s">
        <v>479</v>
      </c>
    </row>
    <row r="1080" spans="2:14" ht="17" x14ac:dyDescent="0.2">
      <c r="B1080" s="131" t="s">
        <v>49</v>
      </c>
      <c r="C1080" s="19" t="s">
        <v>40</v>
      </c>
      <c r="E1080" s="34" t="s">
        <v>0</v>
      </c>
      <c r="G1080" s="62" t="s">
        <v>41</v>
      </c>
      <c r="H1080" s="61">
        <v>18188</v>
      </c>
      <c r="N1080" s="67" t="s">
        <v>479</v>
      </c>
    </row>
    <row r="1081" spans="2:14" ht="17" x14ac:dyDescent="0.2">
      <c r="B1081" s="128" t="s">
        <v>482</v>
      </c>
    </row>
    <row r="1082" spans="2:14" ht="17" x14ac:dyDescent="0.2">
      <c r="B1082" s="165" t="s">
        <v>66</v>
      </c>
      <c r="C1082" s="19" t="s">
        <v>40</v>
      </c>
      <c r="E1082" s="34" t="s">
        <v>0</v>
      </c>
      <c r="G1082" s="62" t="s">
        <v>41</v>
      </c>
      <c r="H1082" s="61">
        <v>18188</v>
      </c>
      <c r="N1082" s="67" t="s">
        <v>479</v>
      </c>
    </row>
    <row r="1083" spans="2:14" ht="17" x14ac:dyDescent="0.2">
      <c r="B1083" s="166" t="s">
        <v>67</v>
      </c>
      <c r="C1083" s="19" t="s">
        <v>40</v>
      </c>
      <c r="E1083" s="34" t="s">
        <v>0</v>
      </c>
      <c r="G1083" s="62" t="s">
        <v>41</v>
      </c>
      <c r="H1083" s="61">
        <v>18188</v>
      </c>
      <c r="N1083" s="67" t="s">
        <v>479</v>
      </c>
    </row>
    <row r="1084" spans="2:14" ht="17" x14ac:dyDescent="0.2">
      <c r="B1084" s="166" t="s">
        <v>415</v>
      </c>
      <c r="C1084" s="19" t="s">
        <v>40</v>
      </c>
      <c r="E1084" s="34" t="s">
        <v>0</v>
      </c>
      <c r="G1084" s="62" t="s">
        <v>41</v>
      </c>
      <c r="H1084" s="61">
        <v>18188</v>
      </c>
      <c r="N1084" s="67" t="s">
        <v>479</v>
      </c>
    </row>
    <row r="1085" spans="2:14" ht="17" x14ac:dyDescent="0.2">
      <c r="B1085" s="166" t="s">
        <v>416</v>
      </c>
      <c r="C1085" s="19" t="s">
        <v>40</v>
      </c>
      <c r="E1085" s="34" t="s">
        <v>0</v>
      </c>
      <c r="G1085" s="62" t="s">
        <v>41</v>
      </c>
      <c r="H1085" s="61">
        <v>18188</v>
      </c>
      <c r="N1085" s="67" t="s">
        <v>479</v>
      </c>
    </row>
    <row r="1086" spans="2:14" ht="17" x14ac:dyDescent="0.2">
      <c r="B1086" s="166" t="s">
        <v>417</v>
      </c>
      <c r="C1086" s="19" t="s">
        <v>40</v>
      </c>
      <c r="E1086" s="34" t="s">
        <v>0</v>
      </c>
      <c r="G1086" s="62" t="s">
        <v>41</v>
      </c>
      <c r="H1086" s="61">
        <v>18188</v>
      </c>
      <c r="N1086" s="67" t="s">
        <v>479</v>
      </c>
    </row>
    <row r="1087" spans="2:14" ht="17" x14ac:dyDescent="0.2">
      <c r="B1087" s="166" t="s">
        <v>418</v>
      </c>
      <c r="C1087" s="19" t="s">
        <v>40</v>
      </c>
      <c r="E1087" s="34" t="s">
        <v>0</v>
      </c>
      <c r="G1087" s="62" t="s">
        <v>41</v>
      </c>
      <c r="H1087" s="61">
        <v>18188</v>
      </c>
      <c r="N1087" s="67" t="s">
        <v>479</v>
      </c>
    </row>
    <row r="1088" spans="2:14" ht="17" x14ac:dyDescent="0.2">
      <c r="B1088" s="139" t="s">
        <v>72</v>
      </c>
      <c r="C1088" s="19" t="s">
        <v>40</v>
      </c>
      <c r="E1088" s="34" t="s">
        <v>0</v>
      </c>
      <c r="G1088" s="62" t="s">
        <v>41</v>
      </c>
      <c r="H1088" s="61">
        <v>18188</v>
      </c>
      <c r="N1088" s="67" t="s">
        <v>479</v>
      </c>
    </row>
    <row r="1089" spans="2:14" ht="17" x14ac:dyDescent="0.2">
      <c r="B1089" s="166" t="s">
        <v>483</v>
      </c>
      <c r="C1089" s="19" t="s">
        <v>40</v>
      </c>
      <c r="E1089" s="34" t="s">
        <v>0</v>
      </c>
      <c r="G1089" s="62" t="s">
        <v>41</v>
      </c>
      <c r="H1089" s="61">
        <v>18188</v>
      </c>
      <c r="N1089" s="67" t="s">
        <v>479</v>
      </c>
    </row>
    <row r="1090" spans="2:14" ht="17" x14ac:dyDescent="0.2">
      <c r="B1090" s="166" t="s">
        <v>484</v>
      </c>
      <c r="C1090" s="19" t="s">
        <v>40</v>
      </c>
      <c r="E1090" s="34" t="s">
        <v>0</v>
      </c>
      <c r="G1090" s="62" t="s">
        <v>41</v>
      </c>
      <c r="H1090" s="61">
        <v>18188</v>
      </c>
      <c r="N1090" s="67" t="s">
        <v>479</v>
      </c>
    </row>
    <row r="1091" spans="2:14" ht="17" x14ac:dyDescent="0.2">
      <c r="B1091" s="167" t="s">
        <v>485</v>
      </c>
      <c r="C1091" s="19" t="s">
        <v>40</v>
      </c>
      <c r="E1091" s="34" t="s">
        <v>0</v>
      </c>
      <c r="G1091" s="62" t="s">
        <v>41</v>
      </c>
      <c r="H1091" s="61">
        <v>18188</v>
      </c>
      <c r="N1091" s="67" t="s">
        <v>479</v>
      </c>
    </row>
    <row r="1092" spans="2:14" ht="17" x14ac:dyDescent="0.2">
      <c r="B1092" s="169" t="s">
        <v>486</v>
      </c>
      <c r="C1092" s="19"/>
    </row>
    <row r="1093" spans="2:14" ht="17" x14ac:dyDescent="0.2">
      <c r="B1093" s="166" t="s">
        <v>347</v>
      </c>
      <c r="C1093" s="19" t="s">
        <v>40</v>
      </c>
      <c r="E1093" s="34" t="s">
        <v>0</v>
      </c>
      <c r="G1093" s="62" t="s">
        <v>41</v>
      </c>
      <c r="H1093" s="61">
        <v>18188</v>
      </c>
      <c r="N1093" s="67" t="s">
        <v>479</v>
      </c>
    </row>
    <row r="1094" spans="2:14" ht="17" x14ac:dyDescent="0.2">
      <c r="B1094" s="166" t="s">
        <v>573</v>
      </c>
      <c r="C1094" s="19" t="s">
        <v>40</v>
      </c>
      <c r="E1094" s="34" t="s">
        <v>0</v>
      </c>
      <c r="G1094" s="62" t="s">
        <v>41</v>
      </c>
      <c r="H1094" s="61">
        <v>18188</v>
      </c>
      <c r="N1094" s="67" t="s">
        <v>479</v>
      </c>
    </row>
    <row r="1095" spans="2:14" ht="17" x14ac:dyDescent="0.2">
      <c r="B1095" s="166" t="s">
        <v>574</v>
      </c>
      <c r="C1095" s="19" t="s">
        <v>40</v>
      </c>
      <c r="E1095" s="34" t="s">
        <v>0</v>
      </c>
      <c r="G1095" s="62" t="s">
        <v>41</v>
      </c>
      <c r="H1095" s="61">
        <v>18188</v>
      </c>
      <c r="N1095" s="67" t="s">
        <v>479</v>
      </c>
    </row>
    <row r="1096" spans="2:14" ht="17" x14ac:dyDescent="0.2">
      <c r="B1096" s="167" t="s">
        <v>490</v>
      </c>
      <c r="C1096" s="19" t="s">
        <v>40</v>
      </c>
      <c r="E1096" s="34" t="s">
        <v>0</v>
      </c>
      <c r="G1096" s="62" t="s">
        <v>41</v>
      </c>
      <c r="H1096" s="61">
        <v>18188</v>
      </c>
      <c r="N1096" s="67" t="s">
        <v>479</v>
      </c>
    </row>
    <row r="1097" spans="2:14" ht="17" x14ac:dyDescent="0.2">
      <c r="B1097" s="168" t="s">
        <v>134</v>
      </c>
      <c r="C1097" s="19" t="s">
        <v>40</v>
      </c>
      <c r="E1097" s="34" t="s">
        <v>0</v>
      </c>
      <c r="G1097" s="62" t="s">
        <v>41</v>
      </c>
      <c r="H1097" s="61">
        <v>18188</v>
      </c>
      <c r="N1097" s="67" t="s">
        <v>479</v>
      </c>
    </row>
    <row r="1098" spans="2:14" ht="17" x14ac:dyDescent="0.2">
      <c r="B1098" s="167" t="s">
        <v>544</v>
      </c>
      <c r="C1098" s="19" t="s">
        <v>40</v>
      </c>
      <c r="E1098" s="34" t="s">
        <v>0</v>
      </c>
      <c r="G1098" s="62" t="s">
        <v>41</v>
      </c>
      <c r="H1098" s="61">
        <v>18188</v>
      </c>
      <c r="N1098" s="67" t="s">
        <v>479</v>
      </c>
    </row>
    <row r="1099" spans="2:14" ht="17" x14ac:dyDescent="0.2">
      <c r="B1099" s="167" t="s">
        <v>565</v>
      </c>
      <c r="C1099" s="19" t="s">
        <v>40</v>
      </c>
      <c r="E1099" s="34" t="s">
        <v>0</v>
      </c>
      <c r="G1099" s="62" t="s">
        <v>41</v>
      </c>
      <c r="H1099" s="61">
        <v>18188</v>
      </c>
      <c r="N1099" s="67" t="s">
        <v>479</v>
      </c>
    </row>
    <row r="1100" spans="2:14" ht="17" x14ac:dyDescent="0.2">
      <c r="B1100" s="167" t="s">
        <v>566</v>
      </c>
      <c r="C1100" s="19" t="s">
        <v>40</v>
      </c>
      <c r="E1100" s="34" t="s">
        <v>0</v>
      </c>
      <c r="G1100" s="62" t="s">
        <v>41</v>
      </c>
      <c r="H1100" s="61">
        <v>18188</v>
      </c>
      <c r="N1100" s="67" t="s">
        <v>479</v>
      </c>
    </row>
    <row r="1101" spans="2:14" ht="17" x14ac:dyDescent="0.2">
      <c r="B1101" s="166" t="s">
        <v>237</v>
      </c>
      <c r="C1101" s="19" t="s">
        <v>40</v>
      </c>
      <c r="E1101" s="34" t="s">
        <v>0</v>
      </c>
      <c r="G1101" s="62" t="s">
        <v>41</v>
      </c>
      <c r="H1101" s="61">
        <v>18188</v>
      </c>
      <c r="N1101" s="67" t="s">
        <v>479</v>
      </c>
    </row>
    <row r="1102" spans="2:14" ht="17" x14ac:dyDescent="0.2">
      <c r="B1102" s="166" t="s">
        <v>575</v>
      </c>
      <c r="C1102" s="19" t="s">
        <v>40</v>
      </c>
      <c r="E1102" s="34" t="s">
        <v>0</v>
      </c>
      <c r="G1102" s="62" t="s">
        <v>41</v>
      </c>
      <c r="H1102" s="61">
        <v>18188</v>
      </c>
      <c r="N1102" s="67" t="s">
        <v>479</v>
      </c>
    </row>
    <row r="1103" spans="2:14" ht="17" x14ac:dyDescent="0.2">
      <c r="B1103" s="166" t="s">
        <v>80</v>
      </c>
      <c r="C1103" s="19" t="s">
        <v>40</v>
      </c>
      <c r="E1103" s="34" t="s">
        <v>0</v>
      </c>
      <c r="G1103" s="62" t="s">
        <v>41</v>
      </c>
      <c r="H1103" s="61">
        <v>18188</v>
      </c>
      <c r="N1103" s="67" t="s">
        <v>479</v>
      </c>
    </row>
    <row r="1104" spans="2:14" ht="17" x14ac:dyDescent="0.2">
      <c r="B1104" s="166" t="s">
        <v>81</v>
      </c>
      <c r="C1104" s="19" t="s">
        <v>40</v>
      </c>
      <c r="E1104" s="34" t="s">
        <v>0</v>
      </c>
      <c r="G1104" s="62" t="s">
        <v>41</v>
      </c>
      <c r="H1104" s="61">
        <v>18188</v>
      </c>
      <c r="N1104" s="67" t="s">
        <v>479</v>
      </c>
    </row>
    <row r="1105" spans="2:14" ht="17" x14ac:dyDescent="0.2">
      <c r="B1105" s="166" t="s">
        <v>82</v>
      </c>
      <c r="C1105" s="19" t="s">
        <v>40</v>
      </c>
      <c r="E1105" s="34" t="s">
        <v>0</v>
      </c>
      <c r="G1105" s="62" t="s">
        <v>41</v>
      </c>
      <c r="H1105" s="61">
        <v>18188</v>
      </c>
      <c r="N1105" s="67" t="s">
        <v>479</v>
      </c>
    </row>
    <row r="1106" spans="2:14" ht="17" x14ac:dyDescent="0.2">
      <c r="B1106" s="166" t="s">
        <v>576</v>
      </c>
      <c r="C1106" s="19" t="s">
        <v>40</v>
      </c>
      <c r="E1106" s="34" t="s">
        <v>0</v>
      </c>
      <c r="G1106" s="62" t="s">
        <v>41</v>
      </c>
      <c r="H1106" s="61">
        <v>18188</v>
      </c>
      <c r="N1106" s="67" t="s">
        <v>479</v>
      </c>
    </row>
    <row r="1107" spans="2:14" ht="17" x14ac:dyDescent="0.2">
      <c r="B1107" s="166" t="s">
        <v>495</v>
      </c>
      <c r="C1107" s="19" t="s">
        <v>40</v>
      </c>
      <c r="E1107" s="34" t="s">
        <v>0</v>
      </c>
      <c r="G1107" s="62" t="s">
        <v>41</v>
      </c>
      <c r="H1107" s="61">
        <v>18188</v>
      </c>
      <c r="N1107" s="67" t="s">
        <v>479</v>
      </c>
    </row>
    <row r="1108" spans="2:14" ht="17" x14ac:dyDescent="0.2">
      <c r="B1108" s="242" t="s">
        <v>496</v>
      </c>
      <c r="C1108" s="19"/>
    </row>
    <row r="1109" spans="2:14" ht="17" x14ac:dyDescent="0.2">
      <c r="B1109" s="147" t="s">
        <v>134</v>
      </c>
      <c r="C1109" s="19" t="s">
        <v>40</v>
      </c>
      <c r="E1109" s="34" t="s">
        <v>0</v>
      </c>
      <c r="G1109" s="62" t="s">
        <v>41</v>
      </c>
      <c r="H1109" s="61">
        <v>18188</v>
      </c>
      <c r="N1109" s="67" t="s">
        <v>479</v>
      </c>
    </row>
    <row r="1110" spans="2:14" ht="17" x14ac:dyDescent="0.2">
      <c r="B1110" s="167" t="s">
        <v>497</v>
      </c>
      <c r="C1110" s="19" t="s">
        <v>40</v>
      </c>
      <c r="E1110" s="34" t="s">
        <v>0</v>
      </c>
      <c r="G1110" s="62" t="s">
        <v>41</v>
      </c>
      <c r="H1110" s="61">
        <v>18188</v>
      </c>
      <c r="N1110" s="67" t="s">
        <v>479</v>
      </c>
    </row>
    <row r="1111" spans="2:14" ht="34" x14ac:dyDescent="0.2">
      <c r="B1111" s="166" t="s">
        <v>577</v>
      </c>
      <c r="C1111" s="19" t="s">
        <v>40</v>
      </c>
      <c r="E1111" s="34" t="s">
        <v>0</v>
      </c>
      <c r="G1111" s="62" t="s">
        <v>41</v>
      </c>
      <c r="H1111" s="61">
        <v>18188</v>
      </c>
      <c r="N1111" s="67" t="s">
        <v>479</v>
      </c>
    </row>
    <row r="1112" spans="2:14" ht="17" x14ac:dyDescent="0.2">
      <c r="B1112" s="167" t="s">
        <v>499</v>
      </c>
      <c r="C1112" s="19" t="s">
        <v>40</v>
      </c>
      <c r="E1112" s="34" t="s">
        <v>0</v>
      </c>
      <c r="G1112" s="62" t="s">
        <v>41</v>
      </c>
      <c r="H1112" s="61">
        <v>18188</v>
      </c>
      <c r="N1112" s="67" t="s">
        <v>479</v>
      </c>
    </row>
    <row r="1113" spans="2:14" x14ac:dyDescent="0.2">
      <c r="B1113" s="140" t="s">
        <v>86</v>
      </c>
    </row>
    <row r="1114" spans="2:14" x14ac:dyDescent="0.2">
      <c r="B1114" s="140" t="s">
        <v>500</v>
      </c>
    </row>
    <row r="1115" spans="2:14" ht="17" x14ac:dyDescent="0.2">
      <c r="B1115" s="141" t="s">
        <v>87</v>
      </c>
      <c r="C1115" s="19" t="s">
        <v>40</v>
      </c>
      <c r="E1115" s="34" t="s">
        <v>0</v>
      </c>
      <c r="G1115" s="62" t="s">
        <v>41</v>
      </c>
      <c r="H1115" s="61">
        <v>18188</v>
      </c>
      <c r="N1115" s="67" t="s">
        <v>479</v>
      </c>
    </row>
    <row r="1116" spans="2:14" ht="32" x14ac:dyDescent="0.2">
      <c r="B1116" s="142" t="s">
        <v>102</v>
      </c>
      <c r="C1116" s="19" t="s">
        <v>40</v>
      </c>
      <c r="E1116" s="34" t="s">
        <v>0</v>
      </c>
      <c r="G1116" s="62" t="s">
        <v>41</v>
      </c>
      <c r="H1116" s="61">
        <v>18188</v>
      </c>
      <c r="N1116" s="67" t="s">
        <v>479</v>
      </c>
    </row>
    <row r="1117" spans="2:14" ht="48" x14ac:dyDescent="0.2">
      <c r="B1117" s="143" t="s">
        <v>103</v>
      </c>
      <c r="C1117" s="19" t="s">
        <v>40</v>
      </c>
      <c r="E1117" s="34" t="s">
        <v>0</v>
      </c>
      <c r="G1117" s="62" t="s">
        <v>41</v>
      </c>
      <c r="H1117" s="61">
        <v>18188</v>
      </c>
      <c r="N1117" s="67" t="s">
        <v>479</v>
      </c>
    </row>
    <row r="1118" spans="2:14" ht="17" x14ac:dyDescent="0.2">
      <c r="B1118" s="144" t="s">
        <v>96</v>
      </c>
      <c r="C1118" s="19" t="s">
        <v>40</v>
      </c>
      <c r="E1118" s="34" t="s">
        <v>0</v>
      </c>
      <c r="G1118" s="62" t="s">
        <v>41</v>
      </c>
      <c r="H1118" s="61">
        <v>18188</v>
      </c>
      <c r="N1118" s="67" t="s">
        <v>479</v>
      </c>
    </row>
    <row r="1119" spans="2:14" ht="32" x14ac:dyDescent="0.2">
      <c r="B1119" s="143" t="s">
        <v>104</v>
      </c>
      <c r="C1119" s="19" t="s">
        <v>40</v>
      </c>
      <c r="E1119" s="34" t="s">
        <v>0</v>
      </c>
      <c r="G1119" s="62" t="s">
        <v>41</v>
      </c>
      <c r="H1119" s="61">
        <v>18188</v>
      </c>
      <c r="N1119" s="67" t="s">
        <v>479</v>
      </c>
    </row>
    <row r="1120" spans="2:14" ht="32" x14ac:dyDescent="0.2">
      <c r="B1120" s="142" t="s">
        <v>105</v>
      </c>
      <c r="C1120" s="19" t="s">
        <v>40</v>
      </c>
      <c r="E1120" s="34" t="s">
        <v>0</v>
      </c>
      <c r="G1120" s="62" t="s">
        <v>41</v>
      </c>
      <c r="H1120" s="61">
        <v>18188</v>
      </c>
      <c r="N1120" s="67" t="s">
        <v>479</v>
      </c>
    </row>
    <row r="1121" spans="2:14" ht="17" x14ac:dyDescent="0.2">
      <c r="B1121" s="144" t="s">
        <v>99</v>
      </c>
      <c r="C1121" s="19" t="s">
        <v>40</v>
      </c>
      <c r="E1121" s="34" t="s">
        <v>0</v>
      </c>
      <c r="G1121" s="62" t="s">
        <v>41</v>
      </c>
      <c r="H1121" s="61">
        <v>18188</v>
      </c>
      <c r="N1121" s="67" t="s">
        <v>479</v>
      </c>
    </row>
    <row r="1122" spans="2:14" ht="17" x14ac:dyDescent="0.2">
      <c r="B1122" s="143" t="s">
        <v>106</v>
      </c>
      <c r="C1122" s="19" t="s">
        <v>40</v>
      </c>
      <c r="E1122" s="34" t="s">
        <v>0</v>
      </c>
      <c r="G1122" s="62" t="s">
        <v>41</v>
      </c>
      <c r="H1122" s="61">
        <v>18188</v>
      </c>
      <c r="N1122" s="67" t="s">
        <v>479</v>
      </c>
    </row>
    <row r="1123" spans="2:14" x14ac:dyDescent="0.2">
      <c r="B1123" s="140" t="s">
        <v>101</v>
      </c>
    </row>
    <row r="1124" spans="2:14" ht="17" x14ac:dyDescent="0.2">
      <c r="B1124" s="141" t="s">
        <v>87</v>
      </c>
      <c r="C1124" s="19" t="s">
        <v>40</v>
      </c>
      <c r="E1124" s="34" t="s">
        <v>0</v>
      </c>
      <c r="G1124" s="62" t="s">
        <v>41</v>
      </c>
      <c r="H1124" s="61">
        <v>18188</v>
      </c>
      <c r="N1124" s="67" t="s">
        <v>479</v>
      </c>
    </row>
    <row r="1125" spans="2:14" ht="32" x14ac:dyDescent="0.2">
      <c r="B1125" s="142" t="s">
        <v>102</v>
      </c>
      <c r="C1125" s="19" t="s">
        <v>40</v>
      </c>
      <c r="E1125" s="34" t="s">
        <v>0</v>
      </c>
      <c r="G1125" s="62" t="s">
        <v>41</v>
      </c>
      <c r="H1125" s="61">
        <v>18188</v>
      </c>
      <c r="N1125" s="67" t="s">
        <v>479</v>
      </c>
    </row>
    <row r="1126" spans="2:14" ht="48" x14ac:dyDescent="0.2">
      <c r="B1126" s="143" t="s">
        <v>108</v>
      </c>
      <c r="C1126" s="19" t="s">
        <v>40</v>
      </c>
      <c r="E1126" s="34" t="s">
        <v>0</v>
      </c>
      <c r="G1126" s="62" t="s">
        <v>41</v>
      </c>
      <c r="H1126" s="61">
        <v>18188</v>
      </c>
      <c r="N1126" s="67" t="s">
        <v>479</v>
      </c>
    </row>
    <row r="1127" spans="2:14" ht="17" x14ac:dyDescent="0.2">
      <c r="B1127" s="144" t="s">
        <v>96</v>
      </c>
      <c r="C1127" s="19" t="s">
        <v>40</v>
      </c>
      <c r="E1127" s="34" t="s">
        <v>0</v>
      </c>
      <c r="G1127" s="62" t="s">
        <v>41</v>
      </c>
      <c r="H1127" s="61">
        <v>18188</v>
      </c>
      <c r="N1127" s="67" t="s">
        <v>479</v>
      </c>
    </row>
    <row r="1128" spans="2:14" ht="32" x14ac:dyDescent="0.2">
      <c r="B1128" s="143" t="s">
        <v>109</v>
      </c>
      <c r="C1128" s="19" t="s">
        <v>40</v>
      </c>
      <c r="E1128" s="34" t="s">
        <v>0</v>
      </c>
      <c r="G1128" s="62" t="s">
        <v>41</v>
      </c>
      <c r="H1128" s="61">
        <v>18188</v>
      </c>
      <c r="N1128" s="67" t="s">
        <v>479</v>
      </c>
    </row>
    <row r="1129" spans="2:14" ht="32" x14ac:dyDescent="0.2">
      <c r="B1129" s="142" t="s">
        <v>110</v>
      </c>
      <c r="C1129" s="19" t="s">
        <v>40</v>
      </c>
      <c r="E1129" s="34" t="s">
        <v>0</v>
      </c>
      <c r="G1129" s="62" t="s">
        <v>41</v>
      </c>
      <c r="H1129" s="61">
        <v>18188</v>
      </c>
      <c r="N1129" s="67" t="s">
        <v>479</v>
      </c>
    </row>
    <row r="1130" spans="2:14" ht="17" x14ac:dyDescent="0.2">
      <c r="B1130" s="144" t="s">
        <v>99</v>
      </c>
      <c r="C1130" s="19" t="s">
        <v>40</v>
      </c>
      <c r="E1130" s="34" t="s">
        <v>0</v>
      </c>
      <c r="G1130" s="62" t="s">
        <v>41</v>
      </c>
      <c r="H1130" s="61">
        <v>18188</v>
      </c>
      <c r="N1130" s="67" t="s">
        <v>479</v>
      </c>
    </row>
    <row r="1131" spans="2:14" ht="17" x14ac:dyDescent="0.2">
      <c r="B1131" s="143" t="s">
        <v>111</v>
      </c>
      <c r="C1131" s="19" t="s">
        <v>40</v>
      </c>
      <c r="E1131" s="34" t="s">
        <v>0</v>
      </c>
      <c r="G1131" s="62" t="s">
        <v>41</v>
      </c>
      <c r="H1131" s="61">
        <v>18188</v>
      </c>
      <c r="N1131" s="67" t="s">
        <v>479</v>
      </c>
    </row>
    <row r="1132" spans="2:14" x14ac:dyDescent="0.2">
      <c r="B1132" s="140" t="s">
        <v>107</v>
      </c>
    </row>
    <row r="1133" spans="2:14" ht="17" x14ac:dyDescent="0.2">
      <c r="B1133" s="141" t="s">
        <v>87</v>
      </c>
      <c r="C1133" s="19" t="s">
        <v>40</v>
      </c>
      <c r="E1133" s="34" t="s">
        <v>0</v>
      </c>
      <c r="G1133" s="62" t="s">
        <v>41</v>
      </c>
      <c r="H1133" s="61">
        <v>18188</v>
      </c>
      <c r="N1133" s="67" t="s">
        <v>479</v>
      </c>
    </row>
    <row r="1134" spans="2:14" ht="32" x14ac:dyDescent="0.2">
      <c r="B1134" s="142" t="s">
        <v>102</v>
      </c>
      <c r="C1134" s="19" t="s">
        <v>40</v>
      </c>
      <c r="E1134" s="34" t="s">
        <v>0</v>
      </c>
      <c r="G1134" s="62" t="s">
        <v>41</v>
      </c>
      <c r="H1134" s="61">
        <v>18188</v>
      </c>
      <c r="N1134" s="67" t="s">
        <v>479</v>
      </c>
    </row>
    <row r="1135" spans="2:14" ht="48" x14ac:dyDescent="0.2">
      <c r="B1135" s="143" t="s">
        <v>113</v>
      </c>
      <c r="C1135" s="19" t="s">
        <v>40</v>
      </c>
      <c r="E1135" s="34" t="s">
        <v>0</v>
      </c>
      <c r="G1135" s="62" t="s">
        <v>41</v>
      </c>
      <c r="H1135" s="61">
        <v>18188</v>
      </c>
      <c r="N1135" s="67" t="s">
        <v>479</v>
      </c>
    </row>
    <row r="1136" spans="2:14" ht="17" x14ac:dyDescent="0.2">
      <c r="B1136" s="144" t="s">
        <v>96</v>
      </c>
      <c r="C1136" s="19" t="s">
        <v>40</v>
      </c>
      <c r="E1136" s="34" t="s">
        <v>0</v>
      </c>
      <c r="G1136" s="62" t="s">
        <v>41</v>
      </c>
      <c r="H1136" s="61">
        <v>18188</v>
      </c>
      <c r="N1136" s="67" t="s">
        <v>479</v>
      </c>
    </row>
    <row r="1137" spans="2:14" ht="32" x14ac:dyDescent="0.2">
      <c r="B1137" s="143" t="s">
        <v>97</v>
      </c>
      <c r="C1137" s="19" t="s">
        <v>40</v>
      </c>
      <c r="E1137" s="34" t="s">
        <v>0</v>
      </c>
      <c r="G1137" s="62" t="s">
        <v>41</v>
      </c>
      <c r="H1137" s="61">
        <v>18188</v>
      </c>
      <c r="N1137" s="67" t="s">
        <v>479</v>
      </c>
    </row>
    <row r="1138" spans="2:14" ht="32" x14ac:dyDescent="0.2">
      <c r="B1138" s="142" t="s">
        <v>114</v>
      </c>
      <c r="C1138" s="19" t="s">
        <v>40</v>
      </c>
      <c r="E1138" s="34" t="s">
        <v>0</v>
      </c>
      <c r="G1138" s="62" t="s">
        <v>41</v>
      </c>
      <c r="H1138" s="61">
        <v>18188</v>
      </c>
      <c r="N1138" s="67" t="s">
        <v>479</v>
      </c>
    </row>
    <row r="1139" spans="2:14" ht="17" x14ac:dyDescent="0.2">
      <c r="B1139" s="144" t="s">
        <v>99</v>
      </c>
      <c r="C1139" s="19" t="s">
        <v>40</v>
      </c>
      <c r="E1139" s="34" t="s">
        <v>0</v>
      </c>
      <c r="G1139" s="62" t="s">
        <v>41</v>
      </c>
      <c r="H1139" s="61">
        <v>18188</v>
      </c>
      <c r="N1139" s="67" t="s">
        <v>479</v>
      </c>
    </row>
    <row r="1140" spans="2:14" ht="17" x14ac:dyDescent="0.2">
      <c r="B1140" s="143" t="s">
        <v>115</v>
      </c>
      <c r="C1140" s="19" t="s">
        <v>40</v>
      </c>
      <c r="E1140" s="34" t="s">
        <v>0</v>
      </c>
      <c r="G1140" s="62" t="s">
        <v>41</v>
      </c>
      <c r="H1140" s="61">
        <v>18188</v>
      </c>
      <c r="N1140" s="67" t="s">
        <v>479</v>
      </c>
    </row>
    <row r="1141" spans="2:14" ht="17" x14ac:dyDescent="0.2">
      <c r="B1141" s="128" t="s">
        <v>121</v>
      </c>
      <c r="C1141" s="19"/>
      <c r="G1141" s="62"/>
      <c r="H1141" s="61"/>
      <c r="N1141" s="67"/>
    </row>
    <row r="1142" spans="2:14" ht="17" x14ac:dyDescent="0.2">
      <c r="B1142" s="145" t="s">
        <v>122</v>
      </c>
      <c r="C1142" s="19" t="s">
        <v>40</v>
      </c>
      <c r="E1142" s="34" t="s">
        <v>0</v>
      </c>
      <c r="G1142" s="62" t="s">
        <v>41</v>
      </c>
      <c r="H1142" s="61">
        <v>18188</v>
      </c>
      <c r="N1142" s="67" t="s">
        <v>479</v>
      </c>
    </row>
    <row r="1143" spans="2:14" ht="17" x14ac:dyDescent="0.2">
      <c r="B1143" s="167" t="s">
        <v>123</v>
      </c>
      <c r="C1143" s="19" t="s">
        <v>40</v>
      </c>
      <c r="E1143" s="34" t="s">
        <v>0</v>
      </c>
      <c r="G1143" s="62" t="s">
        <v>41</v>
      </c>
      <c r="H1143" s="61">
        <v>18188</v>
      </c>
      <c r="N1143" s="67" t="s">
        <v>479</v>
      </c>
    </row>
    <row r="1144" spans="2:14" ht="34" x14ac:dyDescent="0.2">
      <c r="B1144" s="167" t="s">
        <v>578</v>
      </c>
      <c r="C1144" s="19" t="s">
        <v>40</v>
      </c>
      <c r="E1144" s="34" t="s">
        <v>0</v>
      </c>
      <c r="G1144" s="62" t="s">
        <v>41</v>
      </c>
      <c r="H1144" s="61">
        <v>18188</v>
      </c>
      <c r="N1144" s="67" t="s">
        <v>479</v>
      </c>
    </row>
    <row r="1145" spans="2:14" ht="17" x14ac:dyDescent="0.2">
      <c r="B1145" s="249" t="s">
        <v>125</v>
      </c>
      <c r="C1145" s="19" t="s">
        <v>40</v>
      </c>
      <c r="E1145" s="34" t="s">
        <v>0</v>
      </c>
      <c r="G1145" s="62" t="s">
        <v>41</v>
      </c>
      <c r="H1145" s="61">
        <v>18188</v>
      </c>
      <c r="N1145" s="67" t="s">
        <v>479</v>
      </c>
    </row>
    <row r="1146" spans="2:14" ht="17" x14ac:dyDescent="0.2">
      <c r="B1146" s="145" t="s">
        <v>126</v>
      </c>
      <c r="C1146" s="19" t="s">
        <v>40</v>
      </c>
      <c r="E1146" s="34" t="s">
        <v>0</v>
      </c>
      <c r="G1146" s="62" t="s">
        <v>41</v>
      </c>
      <c r="H1146" s="61">
        <v>18188</v>
      </c>
      <c r="N1146" s="67" t="s">
        <v>479</v>
      </c>
    </row>
    <row r="1147" spans="2:14" ht="17" x14ac:dyDescent="0.2">
      <c r="B1147" s="166" t="s">
        <v>361</v>
      </c>
      <c r="C1147" s="19" t="s">
        <v>40</v>
      </c>
      <c r="E1147" s="34" t="s">
        <v>0</v>
      </c>
      <c r="G1147" s="62" t="s">
        <v>41</v>
      </c>
      <c r="H1147" s="61">
        <v>18188</v>
      </c>
      <c r="N1147" s="67" t="s">
        <v>479</v>
      </c>
    </row>
    <row r="1148" spans="2:14" ht="17" x14ac:dyDescent="0.2">
      <c r="B1148" s="166" t="s">
        <v>362</v>
      </c>
      <c r="C1148" s="19" t="s">
        <v>40</v>
      </c>
      <c r="E1148" s="34" t="s">
        <v>0</v>
      </c>
      <c r="G1148" s="62" t="s">
        <v>41</v>
      </c>
      <c r="H1148" s="61">
        <v>18188</v>
      </c>
      <c r="N1148" s="67" t="s">
        <v>479</v>
      </c>
    </row>
    <row r="1149" spans="2:14" ht="17" x14ac:dyDescent="0.2">
      <c r="B1149" s="220" t="s">
        <v>129</v>
      </c>
      <c r="C1149" s="19" t="s">
        <v>40</v>
      </c>
      <c r="E1149" s="34" t="s">
        <v>0</v>
      </c>
      <c r="G1149" s="62" t="s">
        <v>41</v>
      </c>
      <c r="H1149" s="61">
        <v>18188</v>
      </c>
      <c r="N1149" s="67" t="s">
        <v>479</v>
      </c>
    </row>
    <row r="1150" spans="2:14" ht="17" x14ac:dyDescent="0.2">
      <c r="B1150" s="166" t="s">
        <v>400</v>
      </c>
      <c r="C1150" s="19" t="s">
        <v>40</v>
      </c>
      <c r="E1150" s="34" t="s">
        <v>0</v>
      </c>
      <c r="G1150" s="62" t="s">
        <v>41</v>
      </c>
      <c r="H1150" s="61">
        <v>18188</v>
      </c>
      <c r="N1150" s="67" t="s">
        <v>479</v>
      </c>
    </row>
    <row r="1151" spans="2:14" ht="17" x14ac:dyDescent="0.2">
      <c r="B1151" s="168" t="s">
        <v>571</v>
      </c>
      <c r="C1151" s="19" t="s">
        <v>40</v>
      </c>
      <c r="E1151" s="34" t="s">
        <v>0</v>
      </c>
      <c r="G1151" s="62" t="s">
        <v>41</v>
      </c>
      <c r="H1151" s="61">
        <v>18188</v>
      </c>
      <c r="N1151" s="67" t="s">
        <v>479</v>
      </c>
    </row>
    <row r="1152" spans="2:14" ht="17" x14ac:dyDescent="0.2">
      <c r="B1152" s="247" t="s">
        <v>132</v>
      </c>
      <c r="C1152" s="19" t="s">
        <v>40</v>
      </c>
      <c r="E1152" s="34" t="s">
        <v>0</v>
      </c>
      <c r="G1152" s="62" t="s">
        <v>41</v>
      </c>
      <c r="H1152" s="61">
        <v>18188</v>
      </c>
      <c r="N1152" s="67" t="s">
        <v>479</v>
      </c>
    </row>
    <row r="1153" spans="2:14" ht="17" x14ac:dyDescent="0.2">
      <c r="B1153" s="247" t="s">
        <v>134</v>
      </c>
      <c r="C1153" s="19" t="s">
        <v>40</v>
      </c>
      <c r="E1153" s="34" t="s">
        <v>0</v>
      </c>
      <c r="G1153" s="62" t="s">
        <v>41</v>
      </c>
      <c r="H1153" s="61">
        <v>18188</v>
      </c>
      <c r="N1153" s="67" t="s">
        <v>479</v>
      </c>
    </row>
    <row r="1154" spans="2:14" ht="17" x14ac:dyDescent="0.2">
      <c r="B1154" s="247" t="s">
        <v>136</v>
      </c>
      <c r="C1154" s="19" t="s">
        <v>40</v>
      </c>
      <c r="E1154" s="34" t="s">
        <v>0</v>
      </c>
      <c r="G1154" s="62" t="s">
        <v>41</v>
      </c>
      <c r="H1154" s="61">
        <v>18188</v>
      </c>
      <c r="N1154" s="67" t="s">
        <v>479</v>
      </c>
    </row>
    <row r="1155" spans="2:14" ht="23" x14ac:dyDescent="0.3">
      <c r="B1155" s="148" t="s">
        <v>137</v>
      </c>
      <c r="C1155" s="19"/>
    </row>
    <row r="1156" spans="2:14" ht="23" x14ac:dyDescent="0.3">
      <c r="B1156" s="148" t="s">
        <v>138</v>
      </c>
      <c r="C1156" s="19"/>
    </row>
    <row r="1157" spans="2:14" ht="17" x14ac:dyDescent="0.2">
      <c r="B1157" s="168" t="s">
        <v>546</v>
      </c>
      <c r="C1157" s="19" t="s">
        <v>40</v>
      </c>
      <c r="E1157" s="34" t="s">
        <v>0</v>
      </c>
      <c r="G1157" s="62" t="s">
        <v>41</v>
      </c>
      <c r="H1157" s="61">
        <v>18188</v>
      </c>
      <c r="N1157" s="67" t="s">
        <v>479</v>
      </c>
    </row>
    <row r="1158" spans="2:14" ht="34" x14ac:dyDescent="0.2">
      <c r="B1158" s="168" t="s">
        <v>538</v>
      </c>
      <c r="C1158" s="19" t="s">
        <v>40</v>
      </c>
      <c r="E1158" s="34" t="s">
        <v>0</v>
      </c>
      <c r="G1158" s="62" t="s">
        <v>41</v>
      </c>
      <c r="H1158" s="61">
        <v>18188</v>
      </c>
      <c r="N1158" s="67" t="s">
        <v>479</v>
      </c>
    </row>
    <row r="1159" spans="2:14" ht="17" x14ac:dyDescent="0.2">
      <c r="B1159" s="168" t="s">
        <v>547</v>
      </c>
      <c r="C1159" s="19" t="s">
        <v>40</v>
      </c>
      <c r="E1159" s="34" t="s">
        <v>0</v>
      </c>
      <c r="G1159" s="62" t="s">
        <v>41</v>
      </c>
      <c r="H1159" s="61">
        <v>18188</v>
      </c>
      <c r="N1159" s="67" t="s">
        <v>479</v>
      </c>
    </row>
    <row r="1160" spans="2:14" ht="17" x14ac:dyDescent="0.2">
      <c r="B1160" s="168" t="s">
        <v>539</v>
      </c>
      <c r="C1160" s="19" t="s">
        <v>40</v>
      </c>
      <c r="E1160" s="34" t="s">
        <v>0</v>
      </c>
      <c r="G1160" s="62" t="s">
        <v>41</v>
      </c>
      <c r="H1160" s="61">
        <v>18188</v>
      </c>
      <c r="N1160" s="67" t="s">
        <v>479</v>
      </c>
    </row>
    <row r="1161" spans="2:14" ht="17" x14ac:dyDescent="0.2">
      <c r="B1161" s="147" t="s">
        <v>143</v>
      </c>
      <c r="C1161" s="19" t="s">
        <v>40</v>
      </c>
      <c r="E1161" s="34" t="s">
        <v>0</v>
      </c>
      <c r="G1161" s="62" t="s">
        <v>41</v>
      </c>
      <c r="H1161" s="61">
        <v>18188</v>
      </c>
      <c r="N1161" s="67" t="s">
        <v>479</v>
      </c>
    </row>
    <row r="1162" spans="2:14" ht="23" x14ac:dyDescent="0.3">
      <c r="B1162" s="148" t="s">
        <v>144</v>
      </c>
      <c r="C1162" s="19"/>
    </row>
    <row r="1163" spans="2:14" ht="17" x14ac:dyDescent="0.2">
      <c r="B1163" s="147" t="s">
        <v>145</v>
      </c>
      <c r="C1163" s="19" t="s">
        <v>40</v>
      </c>
      <c r="E1163" s="34" t="s">
        <v>0</v>
      </c>
      <c r="G1163" s="62" t="s">
        <v>41</v>
      </c>
      <c r="H1163" s="61">
        <v>18188</v>
      </c>
      <c r="N1163" s="67" t="s">
        <v>479</v>
      </c>
    </row>
    <row r="1164" spans="2:14" ht="17" x14ac:dyDescent="0.2">
      <c r="B1164" s="147" t="s">
        <v>146</v>
      </c>
      <c r="C1164" s="19" t="s">
        <v>40</v>
      </c>
      <c r="E1164" s="34" t="s">
        <v>0</v>
      </c>
      <c r="G1164" s="62" t="s">
        <v>41</v>
      </c>
      <c r="H1164" s="61">
        <v>18188</v>
      </c>
      <c r="N1164" s="67" t="s">
        <v>479</v>
      </c>
    </row>
    <row r="1165" spans="2:14" ht="17" x14ac:dyDescent="0.2">
      <c r="B1165" s="147" t="s">
        <v>147</v>
      </c>
      <c r="C1165" s="19" t="s">
        <v>40</v>
      </c>
      <c r="E1165" s="34" t="s">
        <v>0</v>
      </c>
      <c r="G1165" s="62" t="s">
        <v>41</v>
      </c>
      <c r="H1165" s="61">
        <v>18188</v>
      </c>
      <c r="N1165" s="67" t="s">
        <v>479</v>
      </c>
    </row>
    <row r="1166" spans="2:14" ht="17" x14ac:dyDescent="0.2">
      <c r="B1166" s="168" t="s">
        <v>241</v>
      </c>
      <c r="C1166" s="19" t="s">
        <v>40</v>
      </c>
      <c r="E1166" s="34" t="s">
        <v>0</v>
      </c>
      <c r="G1166" s="62" t="s">
        <v>41</v>
      </c>
      <c r="H1166" s="61">
        <v>18188</v>
      </c>
      <c r="N1166" s="67" t="s">
        <v>479</v>
      </c>
    </row>
    <row r="1167" spans="2:14" ht="17" x14ac:dyDescent="0.2">
      <c r="B1167" s="147" t="s">
        <v>149</v>
      </c>
      <c r="C1167" s="19" t="s">
        <v>40</v>
      </c>
      <c r="E1167" s="34" t="s">
        <v>0</v>
      </c>
      <c r="G1167" s="62" t="s">
        <v>41</v>
      </c>
      <c r="H1167" s="61">
        <v>18188</v>
      </c>
      <c r="N1167" s="67" t="s">
        <v>479</v>
      </c>
    </row>
    <row r="1168" spans="2:14" ht="20" x14ac:dyDescent="0.2">
      <c r="B1168" s="177" t="s">
        <v>51</v>
      </c>
      <c r="C1168" s="19"/>
    </row>
    <row r="1169" spans="2:14" ht="17" x14ac:dyDescent="0.2">
      <c r="B1169" s="128" t="s">
        <v>342</v>
      </c>
    </row>
    <row r="1170" spans="2:14" ht="17" x14ac:dyDescent="0.2">
      <c r="B1170" s="132" t="s">
        <v>60</v>
      </c>
      <c r="C1170" s="19"/>
    </row>
    <row r="1171" spans="2:14" ht="17" x14ac:dyDescent="0.2">
      <c r="B1171" s="135" t="s">
        <v>61</v>
      </c>
      <c r="C1171" s="19" t="s">
        <v>40</v>
      </c>
      <c r="E1171" s="34" t="s">
        <v>0</v>
      </c>
      <c r="G1171" s="62" t="s">
        <v>41</v>
      </c>
      <c r="H1171" s="61">
        <v>18188</v>
      </c>
      <c r="N1171" s="67" t="s">
        <v>479</v>
      </c>
    </row>
    <row r="1172" spans="2:14" ht="17" x14ac:dyDescent="0.2">
      <c r="B1172" s="136" t="s">
        <v>62</v>
      </c>
      <c r="C1172" s="19" t="s">
        <v>40</v>
      </c>
      <c r="E1172" s="34" t="s">
        <v>0</v>
      </c>
      <c r="G1172" s="62" t="s">
        <v>41</v>
      </c>
      <c r="H1172" s="61">
        <v>18188</v>
      </c>
      <c r="N1172" s="67" t="s">
        <v>479</v>
      </c>
    </row>
    <row r="1173" spans="2:14" ht="96" x14ac:dyDescent="0.2">
      <c r="B1173" s="211" t="s">
        <v>63</v>
      </c>
      <c r="C1173" s="19" t="s">
        <v>40</v>
      </c>
      <c r="E1173" s="34" t="s">
        <v>0</v>
      </c>
      <c r="G1173" s="62" t="s">
        <v>41</v>
      </c>
      <c r="H1173" s="61">
        <v>18188</v>
      </c>
      <c r="N1173" s="67" t="s">
        <v>479</v>
      </c>
    </row>
    <row r="1174" spans="2:14" ht="17" x14ac:dyDescent="0.2">
      <c r="B1174" s="136" t="s">
        <v>64</v>
      </c>
      <c r="C1174" s="19" t="s">
        <v>40</v>
      </c>
      <c r="E1174" s="34" t="s">
        <v>0</v>
      </c>
      <c r="G1174" s="62" t="s">
        <v>41</v>
      </c>
      <c r="H1174" s="61">
        <v>18188</v>
      </c>
      <c r="N1174" s="67" t="s">
        <v>479</v>
      </c>
    </row>
    <row r="1175" spans="2:14" ht="20" x14ac:dyDescent="0.25">
      <c r="B1175" s="149" t="s">
        <v>150</v>
      </c>
      <c r="C1175" s="19"/>
    </row>
    <row r="1176" spans="2:14" x14ac:dyDescent="0.2">
      <c r="B1176" s="150" t="s">
        <v>151</v>
      </c>
      <c r="C1176" s="19"/>
    </row>
    <row r="1177" spans="2:14" ht="17" x14ac:dyDescent="0.2">
      <c r="B1177" s="151" t="s">
        <v>152</v>
      </c>
      <c r="C1177" s="19" t="s">
        <v>40</v>
      </c>
      <c r="E1177" s="34" t="s">
        <v>0</v>
      </c>
      <c r="G1177" s="62" t="s">
        <v>41</v>
      </c>
      <c r="H1177" s="61">
        <v>18188</v>
      </c>
      <c r="N1177" s="67" t="s">
        <v>479</v>
      </c>
    </row>
    <row r="1178" spans="2:14" ht="17" x14ac:dyDescent="0.2">
      <c r="B1178" s="151" t="s">
        <v>153</v>
      </c>
      <c r="C1178" s="19" t="s">
        <v>40</v>
      </c>
      <c r="E1178" s="34" t="s">
        <v>0</v>
      </c>
      <c r="G1178" s="62" t="s">
        <v>41</v>
      </c>
      <c r="H1178" s="61">
        <v>18188</v>
      </c>
      <c r="N1178" s="67" t="s">
        <v>479</v>
      </c>
    </row>
    <row r="1179" spans="2:14" ht="17" x14ac:dyDescent="0.2">
      <c r="B1179" s="152" t="s">
        <v>154</v>
      </c>
      <c r="C1179" s="19" t="s">
        <v>40</v>
      </c>
      <c r="E1179" s="34" t="s">
        <v>0</v>
      </c>
      <c r="G1179" s="62" t="s">
        <v>41</v>
      </c>
      <c r="H1179" s="61">
        <v>18188</v>
      </c>
      <c r="N1179" s="67" t="s">
        <v>479</v>
      </c>
    </row>
    <row r="1180" spans="2:14" ht="17" x14ac:dyDescent="0.2">
      <c r="B1180" s="143" t="s">
        <v>155</v>
      </c>
      <c r="C1180" s="19" t="s">
        <v>40</v>
      </c>
      <c r="E1180" s="34" t="s">
        <v>0</v>
      </c>
      <c r="G1180" s="62" t="s">
        <v>41</v>
      </c>
      <c r="H1180" s="61">
        <v>18188</v>
      </c>
      <c r="N1180" s="67" t="s">
        <v>479</v>
      </c>
    </row>
    <row r="1181" spans="2:14" x14ac:dyDescent="0.2">
      <c r="B1181" s="153" t="s">
        <v>156</v>
      </c>
    </row>
    <row r="1182" spans="2:14" x14ac:dyDescent="0.2">
      <c r="B1182" s="153" t="s">
        <v>157</v>
      </c>
      <c r="C1182" s="19"/>
    </row>
    <row r="1183" spans="2:14" ht="17" x14ac:dyDescent="0.2">
      <c r="B1183" s="154" t="s">
        <v>158</v>
      </c>
      <c r="C1183" s="19" t="s">
        <v>40</v>
      </c>
      <c r="E1183" s="34" t="s">
        <v>0</v>
      </c>
      <c r="G1183" s="62" t="s">
        <v>41</v>
      </c>
      <c r="H1183" s="61">
        <v>18188</v>
      </c>
      <c r="N1183" s="67" t="s">
        <v>479</v>
      </c>
    </row>
    <row r="1184" spans="2:14" ht="17" x14ac:dyDescent="0.2">
      <c r="B1184" s="155" t="s">
        <v>159</v>
      </c>
      <c r="C1184" s="19" t="s">
        <v>40</v>
      </c>
      <c r="E1184" s="34" t="s">
        <v>0</v>
      </c>
      <c r="G1184" s="62" t="s">
        <v>41</v>
      </c>
      <c r="H1184" s="61">
        <v>18188</v>
      </c>
      <c r="N1184" s="67" t="s">
        <v>479</v>
      </c>
    </row>
    <row r="1185" spans="2:14" ht="17" x14ac:dyDescent="0.2">
      <c r="B1185" s="151" t="s">
        <v>160</v>
      </c>
      <c r="C1185" s="19" t="s">
        <v>40</v>
      </c>
      <c r="E1185" s="34" t="s">
        <v>0</v>
      </c>
      <c r="G1185" s="62" t="s">
        <v>41</v>
      </c>
      <c r="H1185" s="61">
        <v>18188</v>
      </c>
      <c r="N1185" s="67" t="s">
        <v>479</v>
      </c>
    </row>
    <row r="1186" spans="2:14" x14ac:dyDescent="0.2">
      <c r="B1186" s="153" t="s">
        <v>161</v>
      </c>
      <c r="C1186" s="19"/>
    </row>
    <row r="1187" spans="2:14" x14ac:dyDescent="0.2">
      <c r="B1187" s="156" t="s">
        <v>162</v>
      </c>
      <c r="C1187" s="19"/>
    </row>
    <row r="1188" spans="2:14" ht="48" x14ac:dyDescent="0.2">
      <c r="B1188" s="151" t="s">
        <v>163</v>
      </c>
      <c r="C1188" s="19" t="s">
        <v>40</v>
      </c>
      <c r="E1188" s="34" t="s">
        <v>0</v>
      </c>
      <c r="G1188" s="62" t="s">
        <v>41</v>
      </c>
      <c r="H1188" s="61">
        <v>18188</v>
      </c>
      <c r="N1188" s="67" t="s">
        <v>479</v>
      </c>
    </row>
    <row r="1189" spans="2:14" ht="17" x14ac:dyDescent="0.2">
      <c r="B1189" s="138" t="s">
        <v>164</v>
      </c>
      <c r="C1189" s="19" t="s">
        <v>40</v>
      </c>
      <c r="E1189" s="34" t="s">
        <v>0</v>
      </c>
      <c r="G1189" s="62" t="s">
        <v>41</v>
      </c>
      <c r="H1189" s="61">
        <v>18188</v>
      </c>
      <c r="N1189" s="67" t="s">
        <v>479</v>
      </c>
    </row>
    <row r="1190" spans="2:14" x14ac:dyDescent="0.2">
      <c r="B1190" s="156" t="s">
        <v>165</v>
      </c>
      <c r="C1190" s="19"/>
    </row>
    <row r="1191" spans="2:14" ht="48" x14ac:dyDescent="0.2">
      <c r="B1191" s="151" t="s">
        <v>166</v>
      </c>
      <c r="C1191" s="19" t="s">
        <v>40</v>
      </c>
      <c r="E1191" s="34" t="s">
        <v>0</v>
      </c>
      <c r="G1191" s="62" t="s">
        <v>41</v>
      </c>
      <c r="H1191" s="61">
        <v>18188</v>
      </c>
      <c r="N1191" s="67" t="s">
        <v>479</v>
      </c>
    </row>
    <row r="1192" spans="2:14" ht="17" x14ac:dyDescent="0.2">
      <c r="B1192" s="138" t="s">
        <v>167</v>
      </c>
      <c r="C1192" s="19" t="s">
        <v>40</v>
      </c>
      <c r="E1192" s="34" t="s">
        <v>0</v>
      </c>
      <c r="G1192" s="62" t="s">
        <v>41</v>
      </c>
      <c r="H1192" s="61">
        <v>18188</v>
      </c>
      <c r="N1192" s="67" t="s">
        <v>479</v>
      </c>
    </row>
    <row r="1193" spans="2:14" x14ac:dyDescent="0.2">
      <c r="B1193" s="157" t="s">
        <v>168</v>
      </c>
    </row>
    <row r="1194" spans="2:14" ht="51" x14ac:dyDescent="0.2">
      <c r="B1194" s="158" t="s">
        <v>169</v>
      </c>
      <c r="C1194" s="19" t="s">
        <v>40</v>
      </c>
      <c r="E1194" s="34" t="s">
        <v>0</v>
      </c>
      <c r="G1194" s="62" t="s">
        <v>41</v>
      </c>
      <c r="H1194" s="61">
        <v>18188</v>
      </c>
      <c r="N1194" s="67" t="s">
        <v>479</v>
      </c>
    </row>
    <row r="1195" spans="2:14" ht="17" x14ac:dyDescent="0.2">
      <c r="B1195" s="159" t="s">
        <v>170</v>
      </c>
      <c r="C1195" s="19" t="s">
        <v>40</v>
      </c>
      <c r="E1195" s="34" t="s">
        <v>0</v>
      </c>
      <c r="G1195" s="62" t="s">
        <v>41</v>
      </c>
      <c r="H1195" s="61">
        <v>18188</v>
      </c>
      <c r="N1195" s="67" t="s">
        <v>479</v>
      </c>
    </row>
    <row r="1196" spans="2:14" x14ac:dyDescent="0.2">
      <c r="B1196" s="157" t="s">
        <v>171</v>
      </c>
      <c r="C1196" s="19"/>
    </row>
    <row r="1197" spans="2:14" ht="48" x14ac:dyDescent="0.2">
      <c r="B1197" s="144" t="s">
        <v>172</v>
      </c>
      <c r="C1197" s="19" t="s">
        <v>40</v>
      </c>
      <c r="E1197" s="34" t="s">
        <v>0</v>
      </c>
      <c r="G1197" s="62" t="s">
        <v>41</v>
      </c>
      <c r="H1197" s="61">
        <v>18188</v>
      </c>
      <c r="N1197" s="67" t="s">
        <v>479</v>
      </c>
    </row>
    <row r="1198" spans="2:14" ht="17" x14ac:dyDescent="0.2">
      <c r="B1198" s="160" t="s">
        <v>173</v>
      </c>
      <c r="C1198" s="19" t="s">
        <v>40</v>
      </c>
      <c r="E1198" s="34" t="s">
        <v>0</v>
      </c>
      <c r="G1198" s="62" t="s">
        <v>41</v>
      </c>
      <c r="H1198" s="61">
        <v>18188</v>
      </c>
      <c r="N1198" s="67" t="s">
        <v>479</v>
      </c>
    </row>
    <row r="1199" spans="2:14" ht="17" x14ac:dyDescent="0.2">
      <c r="B1199" s="161" t="s">
        <v>174</v>
      </c>
    </row>
    <row r="1200" spans="2:14" ht="51" x14ac:dyDescent="0.2">
      <c r="B1200" s="161" t="s">
        <v>175</v>
      </c>
      <c r="C1200" s="19"/>
    </row>
    <row r="1201" spans="2:14" ht="17" x14ac:dyDescent="0.2">
      <c r="B1201" s="131" t="s">
        <v>176</v>
      </c>
      <c r="C1201" s="19" t="s">
        <v>40</v>
      </c>
      <c r="E1201" s="34" t="s">
        <v>0</v>
      </c>
      <c r="G1201" s="62" t="s">
        <v>41</v>
      </c>
      <c r="H1201" s="61">
        <v>18188</v>
      </c>
      <c r="N1201" s="67" t="s">
        <v>479</v>
      </c>
    </row>
    <row r="1202" spans="2:14" ht="17" x14ac:dyDescent="0.2">
      <c r="B1202" s="160" t="s">
        <v>177</v>
      </c>
      <c r="C1202" s="19" t="s">
        <v>40</v>
      </c>
      <c r="E1202" s="34" t="s">
        <v>0</v>
      </c>
      <c r="G1202" s="62" t="s">
        <v>41</v>
      </c>
      <c r="H1202" s="61">
        <v>18188</v>
      </c>
      <c r="N1202" s="67" t="s">
        <v>479</v>
      </c>
    </row>
    <row r="1203" spans="2:14" ht="17" x14ac:dyDescent="0.2">
      <c r="B1203" s="131" t="s">
        <v>178</v>
      </c>
      <c r="C1203" s="19" t="s">
        <v>40</v>
      </c>
      <c r="E1203" s="34" t="s">
        <v>0</v>
      </c>
      <c r="G1203" s="62" t="s">
        <v>41</v>
      </c>
      <c r="H1203" s="61">
        <v>18188</v>
      </c>
      <c r="N1203" s="67" t="s">
        <v>479</v>
      </c>
    </row>
    <row r="1204" spans="2:14" ht="68" x14ac:dyDescent="0.2">
      <c r="B1204" s="165" t="s">
        <v>431</v>
      </c>
      <c r="C1204" s="19" t="s">
        <v>40</v>
      </c>
      <c r="E1204" s="34" t="s">
        <v>0</v>
      </c>
      <c r="G1204" s="62" t="s">
        <v>41</v>
      </c>
      <c r="H1204" s="61">
        <v>18188</v>
      </c>
      <c r="N1204" s="67" t="s">
        <v>479</v>
      </c>
    </row>
    <row r="1205" spans="2:14" ht="17" x14ac:dyDescent="0.2">
      <c r="B1205" s="131" t="s">
        <v>180</v>
      </c>
      <c r="C1205" s="19" t="s">
        <v>40</v>
      </c>
      <c r="E1205" s="34" t="s">
        <v>0</v>
      </c>
      <c r="G1205" s="62" t="s">
        <v>41</v>
      </c>
      <c r="H1205" s="61">
        <v>18188</v>
      </c>
      <c r="N1205" s="67" t="s">
        <v>479</v>
      </c>
    </row>
    <row r="1206" spans="2:14" ht="68" x14ac:dyDescent="0.2">
      <c r="B1206" s="131" t="s">
        <v>181</v>
      </c>
      <c r="C1206" s="19" t="s">
        <v>40</v>
      </c>
      <c r="E1206" s="34" t="s">
        <v>0</v>
      </c>
      <c r="G1206" s="62" t="s">
        <v>41</v>
      </c>
      <c r="H1206" s="61">
        <v>18188</v>
      </c>
      <c r="N1206" s="67" t="s">
        <v>479</v>
      </c>
    </row>
    <row r="1207" spans="2:14" ht="17" x14ac:dyDescent="0.2">
      <c r="B1207" s="160" t="s">
        <v>182</v>
      </c>
      <c r="C1207" s="19" t="s">
        <v>40</v>
      </c>
      <c r="E1207" s="34" t="s">
        <v>0</v>
      </c>
      <c r="G1207" s="62" t="s">
        <v>41</v>
      </c>
      <c r="H1207" s="61">
        <v>18188</v>
      </c>
      <c r="N1207" s="67" t="s">
        <v>479</v>
      </c>
    </row>
    <row r="1208" spans="2:14" ht="68" x14ac:dyDescent="0.2">
      <c r="B1208" s="160" t="s">
        <v>432</v>
      </c>
      <c r="C1208" s="19" t="s">
        <v>40</v>
      </c>
      <c r="E1208" s="34" t="s">
        <v>0</v>
      </c>
      <c r="G1208" s="62" t="s">
        <v>41</v>
      </c>
      <c r="H1208" s="61">
        <v>18188</v>
      </c>
      <c r="N1208" s="67" t="s">
        <v>479</v>
      </c>
    </row>
    <row r="1209" spans="2:14" ht="17" x14ac:dyDescent="0.2">
      <c r="B1209" s="162" t="s">
        <v>184</v>
      </c>
      <c r="C1209" s="19" t="s">
        <v>40</v>
      </c>
      <c r="E1209" s="34" t="s">
        <v>0</v>
      </c>
      <c r="G1209" s="62" t="s">
        <v>41</v>
      </c>
      <c r="H1209" s="61">
        <v>18188</v>
      </c>
      <c r="N1209" s="67" t="s">
        <v>479</v>
      </c>
    </row>
    <row r="1210" spans="2:14" ht="17" x14ac:dyDescent="0.2">
      <c r="B1210" s="162" t="s">
        <v>185</v>
      </c>
      <c r="C1210" s="19" t="s">
        <v>40</v>
      </c>
      <c r="E1210" s="34" t="s">
        <v>0</v>
      </c>
      <c r="G1210" s="62" t="s">
        <v>41</v>
      </c>
      <c r="H1210" s="61">
        <v>18188</v>
      </c>
      <c r="N1210" s="67" t="s">
        <v>479</v>
      </c>
    </row>
    <row r="1213" spans="2:14" ht="50" x14ac:dyDescent="0.3">
      <c r="B1213" s="125" t="s">
        <v>433</v>
      </c>
      <c r="C1213" s="19"/>
    </row>
    <row r="1214" spans="2:14" ht="69" x14ac:dyDescent="0.2">
      <c r="B1214" s="170" t="s">
        <v>579</v>
      </c>
      <c r="C1214" s="19"/>
    </row>
    <row r="1215" spans="2:14" ht="17" x14ac:dyDescent="0.2">
      <c r="B1215" s="127" t="s">
        <v>328</v>
      </c>
    </row>
    <row r="1216" spans="2:14" ht="17" x14ac:dyDescent="0.2">
      <c r="B1216" s="128" t="s">
        <v>33</v>
      </c>
    </row>
    <row r="1217" spans="2:14" ht="17" x14ac:dyDescent="0.2">
      <c r="B1217" s="127" t="s">
        <v>34</v>
      </c>
      <c r="C1217" s="19"/>
    </row>
    <row r="1218" spans="2:14" ht="17" x14ac:dyDescent="0.2">
      <c r="B1218" s="127" t="s">
        <v>475</v>
      </c>
      <c r="C1218" s="19"/>
    </row>
    <row r="1219" spans="2:14" ht="34" x14ac:dyDescent="0.2">
      <c r="B1219" s="127" t="s">
        <v>476</v>
      </c>
      <c r="C1219" s="19"/>
    </row>
    <row r="1220" spans="2:14" ht="17" x14ac:dyDescent="0.2">
      <c r="B1220" s="129" t="s">
        <v>36</v>
      </c>
      <c r="C1220" s="19"/>
    </row>
    <row r="1221" spans="2:14" ht="17" x14ac:dyDescent="0.2">
      <c r="B1221" s="129" t="s">
        <v>37</v>
      </c>
      <c r="C1221" s="19"/>
    </row>
    <row r="1222" spans="2:14" ht="17" x14ac:dyDescent="0.2">
      <c r="B1222" s="128" t="s">
        <v>38</v>
      </c>
      <c r="C1222" s="19"/>
    </row>
    <row r="1223" spans="2:14" ht="48" x14ac:dyDescent="0.2">
      <c r="B1223" s="164" t="s">
        <v>477</v>
      </c>
      <c r="C1223" s="19" t="s">
        <v>40</v>
      </c>
      <c r="J1223" s="74" t="s">
        <v>0</v>
      </c>
      <c r="L1223" s="271" t="s">
        <v>41</v>
      </c>
      <c r="M1223" s="74">
        <v>25292</v>
      </c>
      <c r="N1223" s="67" t="s">
        <v>479</v>
      </c>
    </row>
    <row r="1224" spans="2:14" ht="48" x14ac:dyDescent="0.2">
      <c r="B1224" s="164" t="s">
        <v>542</v>
      </c>
      <c r="C1224" s="19" t="s">
        <v>40</v>
      </c>
      <c r="J1224" s="74" t="s">
        <v>0</v>
      </c>
      <c r="L1224" s="271" t="s">
        <v>41</v>
      </c>
      <c r="M1224" s="74">
        <v>25292</v>
      </c>
      <c r="N1224" s="67" t="s">
        <v>479</v>
      </c>
    </row>
    <row r="1225" spans="2:14" ht="17" x14ac:dyDescent="0.2">
      <c r="B1225" s="128" t="s">
        <v>44</v>
      </c>
      <c r="C1225" s="19"/>
    </row>
    <row r="1226" spans="2:14" ht="17" x14ac:dyDescent="0.2">
      <c r="B1226" s="164" t="s">
        <v>543</v>
      </c>
      <c r="C1226" s="19" t="s">
        <v>40</v>
      </c>
      <c r="J1226" s="74" t="s">
        <v>0</v>
      </c>
      <c r="L1226" s="271" t="s">
        <v>41</v>
      </c>
      <c r="M1226" s="74">
        <v>25292</v>
      </c>
      <c r="N1226" s="67" t="s">
        <v>479</v>
      </c>
    </row>
    <row r="1227" spans="2:14" ht="17" x14ac:dyDescent="0.2">
      <c r="B1227" s="128" t="s">
        <v>47</v>
      </c>
    </row>
    <row r="1228" spans="2:14" ht="17" x14ac:dyDescent="0.2">
      <c r="B1228" s="131" t="s">
        <v>481</v>
      </c>
      <c r="C1228" s="19" t="s">
        <v>40</v>
      </c>
      <c r="J1228" s="74" t="s">
        <v>0</v>
      </c>
      <c r="L1228" s="271" t="s">
        <v>41</v>
      </c>
      <c r="M1228" s="74">
        <v>25292</v>
      </c>
      <c r="N1228" s="67" t="s">
        <v>479</v>
      </c>
    </row>
    <row r="1229" spans="2:14" ht="17" x14ac:dyDescent="0.2">
      <c r="B1229" s="131" t="s">
        <v>49</v>
      </c>
      <c r="C1229" s="19" t="s">
        <v>40</v>
      </c>
      <c r="J1229" s="74" t="s">
        <v>0</v>
      </c>
      <c r="L1229" s="271" t="s">
        <v>41</v>
      </c>
      <c r="M1229" s="74">
        <v>25292</v>
      </c>
      <c r="N1229" s="67" t="s">
        <v>479</v>
      </c>
    </row>
    <row r="1230" spans="2:14" ht="17" x14ac:dyDescent="0.2">
      <c r="B1230" s="128" t="s">
        <v>482</v>
      </c>
    </row>
    <row r="1231" spans="2:14" ht="17" x14ac:dyDescent="0.2">
      <c r="B1231" s="165" t="s">
        <v>66</v>
      </c>
      <c r="C1231" s="19" t="s">
        <v>40</v>
      </c>
      <c r="J1231" s="74" t="s">
        <v>0</v>
      </c>
      <c r="L1231" s="271" t="s">
        <v>41</v>
      </c>
      <c r="M1231" s="74">
        <v>25292</v>
      </c>
      <c r="N1231" s="67" t="s">
        <v>479</v>
      </c>
    </row>
    <row r="1232" spans="2:14" ht="17" x14ac:dyDescent="0.2">
      <c r="B1232" s="138" t="s">
        <v>67</v>
      </c>
      <c r="C1232" s="19" t="s">
        <v>40</v>
      </c>
      <c r="J1232" s="74" t="s">
        <v>0</v>
      </c>
      <c r="L1232" s="271" t="s">
        <v>41</v>
      </c>
      <c r="M1232" s="74">
        <v>25292</v>
      </c>
      <c r="N1232" s="67" t="s">
        <v>479</v>
      </c>
    </row>
    <row r="1233" spans="2:14" ht="17" x14ac:dyDescent="0.2">
      <c r="B1233" s="166" t="s">
        <v>274</v>
      </c>
      <c r="C1233" s="19" t="s">
        <v>40</v>
      </c>
      <c r="J1233" s="74" t="s">
        <v>0</v>
      </c>
      <c r="L1233" s="271" t="s">
        <v>41</v>
      </c>
      <c r="M1233" s="74">
        <v>25292</v>
      </c>
      <c r="N1233" s="67" t="s">
        <v>479</v>
      </c>
    </row>
    <row r="1234" spans="2:14" ht="17" x14ac:dyDescent="0.2">
      <c r="B1234" s="166" t="s">
        <v>436</v>
      </c>
      <c r="C1234" s="19" t="s">
        <v>40</v>
      </c>
      <c r="J1234" s="74" t="s">
        <v>0</v>
      </c>
      <c r="L1234" s="271" t="s">
        <v>41</v>
      </c>
      <c r="M1234" s="74">
        <v>25292</v>
      </c>
      <c r="N1234" s="67" t="s">
        <v>479</v>
      </c>
    </row>
    <row r="1235" spans="2:14" ht="17" x14ac:dyDescent="0.2">
      <c r="B1235" s="166" t="s">
        <v>437</v>
      </c>
      <c r="C1235" s="19" t="s">
        <v>40</v>
      </c>
      <c r="J1235" s="74" t="s">
        <v>0</v>
      </c>
      <c r="L1235" s="271" t="s">
        <v>41</v>
      </c>
      <c r="M1235" s="74">
        <v>25292</v>
      </c>
      <c r="N1235" s="67" t="s">
        <v>479</v>
      </c>
    </row>
    <row r="1236" spans="2:14" ht="17" x14ac:dyDescent="0.2">
      <c r="B1236" s="166" t="s">
        <v>418</v>
      </c>
      <c r="C1236" s="19" t="s">
        <v>40</v>
      </c>
      <c r="J1236" s="74" t="s">
        <v>0</v>
      </c>
      <c r="L1236" s="271" t="s">
        <v>41</v>
      </c>
      <c r="M1236" s="74">
        <v>25292</v>
      </c>
      <c r="N1236" s="67" t="s">
        <v>479</v>
      </c>
    </row>
    <row r="1237" spans="2:14" ht="17" x14ac:dyDescent="0.2">
      <c r="B1237" s="139" t="s">
        <v>72</v>
      </c>
      <c r="C1237" s="19" t="s">
        <v>40</v>
      </c>
      <c r="J1237" s="74" t="s">
        <v>0</v>
      </c>
      <c r="L1237" s="271" t="s">
        <v>41</v>
      </c>
      <c r="M1237" s="74">
        <v>25292</v>
      </c>
      <c r="N1237" s="67" t="s">
        <v>479</v>
      </c>
    </row>
    <row r="1238" spans="2:14" ht="17" x14ac:dyDescent="0.2">
      <c r="B1238" s="166" t="s">
        <v>483</v>
      </c>
      <c r="C1238" s="19" t="s">
        <v>40</v>
      </c>
      <c r="J1238" s="74" t="s">
        <v>0</v>
      </c>
      <c r="L1238" s="271" t="s">
        <v>41</v>
      </c>
      <c r="M1238" s="74">
        <v>25292</v>
      </c>
      <c r="N1238" s="67" t="s">
        <v>479</v>
      </c>
    </row>
    <row r="1239" spans="2:14" ht="17" x14ac:dyDescent="0.2">
      <c r="B1239" s="166" t="s">
        <v>484</v>
      </c>
      <c r="C1239" s="19" t="s">
        <v>40</v>
      </c>
      <c r="J1239" s="74" t="s">
        <v>0</v>
      </c>
      <c r="L1239" s="271" t="s">
        <v>41</v>
      </c>
      <c r="M1239" s="74">
        <v>25292</v>
      </c>
      <c r="N1239" s="67" t="s">
        <v>479</v>
      </c>
    </row>
    <row r="1240" spans="2:14" ht="17" x14ac:dyDescent="0.2">
      <c r="B1240" s="167" t="s">
        <v>485</v>
      </c>
      <c r="C1240" s="19" t="s">
        <v>40</v>
      </c>
      <c r="J1240" s="74" t="s">
        <v>0</v>
      </c>
      <c r="L1240" s="271" t="s">
        <v>41</v>
      </c>
      <c r="M1240" s="74">
        <v>25292</v>
      </c>
      <c r="N1240" s="67" t="s">
        <v>479</v>
      </c>
    </row>
    <row r="1241" spans="2:14" ht="17" x14ac:dyDescent="0.2">
      <c r="B1241" s="169" t="s">
        <v>486</v>
      </c>
      <c r="C1241" s="19"/>
    </row>
    <row r="1242" spans="2:14" ht="17" x14ac:dyDescent="0.2">
      <c r="B1242" s="166" t="s">
        <v>347</v>
      </c>
      <c r="C1242" s="19" t="s">
        <v>40</v>
      </c>
      <c r="J1242" s="74" t="s">
        <v>0</v>
      </c>
      <c r="L1242" s="271" t="s">
        <v>41</v>
      </c>
      <c r="M1242" s="74">
        <v>25292</v>
      </c>
      <c r="N1242" s="67" t="s">
        <v>479</v>
      </c>
    </row>
    <row r="1243" spans="2:14" ht="17" x14ac:dyDescent="0.2">
      <c r="B1243" s="166" t="s">
        <v>580</v>
      </c>
      <c r="C1243" s="19" t="s">
        <v>40</v>
      </c>
      <c r="J1243" s="74" t="s">
        <v>0</v>
      </c>
      <c r="L1243" s="271" t="s">
        <v>41</v>
      </c>
      <c r="M1243" s="74">
        <v>25292</v>
      </c>
      <c r="N1243" s="67" t="s">
        <v>479</v>
      </c>
    </row>
    <row r="1244" spans="2:14" ht="17" x14ac:dyDescent="0.2">
      <c r="B1244" s="166" t="s">
        <v>574</v>
      </c>
      <c r="C1244" s="19" t="s">
        <v>40</v>
      </c>
      <c r="J1244" s="74" t="s">
        <v>0</v>
      </c>
      <c r="L1244" s="271" t="s">
        <v>41</v>
      </c>
      <c r="M1244" s="74">
        <v>25292</v>
      </c>
      <c r="N1244" s="67" t="s">
        <v>479</v>
      </c>
    </row>
    <row r="1245" spans="2:14" ht="17" x14ac:dyDescent="0.2">
      <c r="B1245" s="167" t="s">
        <v>490</v>
      </c>
      <c r="C1245" s="19" t="s">
        <v>40</v>
      </c>
      <c r="J1245" s="74" t="s">
        <v>0</v>
      </c>
      <c r="L1245" s="271" t="s">
        <v>41</v>
      </c>
      <c r="M1245" s="74">
        <v>25292</v>
      </c>
      <c r="N1245" s="67" t="s">
        <v>479</v>
      </c>
    </row>
    <row r="1246" spans="2:14" ht="17" x14ac:dyDescent="0.2">
      <c r="B1246" s="168" t="s">
        <v>134</v>
      </c>
      <c r="C1246" s="19" t="s">
        <v>40</v>
      </c>
      <c r="J1246" s="74" t="s">
        <v>0</v>
      </c>
      <c r="L1246" s="271" t="s">
        <v>41</v>
      </c>
      <c r="M1246" s="74">
        <v>25292</v>
      </c>
      <c r="N1246" s="67" t="s">
        <v>479</v>
      </c>
    </row>
    <row r="1247" spans="2:14" ht="17" x14ac:dyDescent="0.2">
      <c r="B1247" s="167" t="s">
        <v>544</v>
      </c>
      <c r="C1247" s="19" t="s">
        <v>40</v>
      </c>
      <c r="J1247" s="74" t="s">
        <v>0</v>
      </c>
      <c r="L1247" s="271" t="s">
        <v>41</v>
      </c>
      <c r="M1247" s="74">
        <v>25292</v>
      </c>
      <c r="N1247" s="67" t="s">
        <v>479</v>
      </c>
    </row>
    <row r="1248" spans="2:14" ht="17" x14ac:dyDescent="0.2">
      <c r="B1248" s="167" t="s">
        <v>565</v>
      </c>
      <c r="C1248" s="19" t="s">
        <v>40</v>
      </c>
      <c r="J1248" s="74" t="s">
        <v>0</v>
      </c>
      <c r="L1248" s="271" t="s">
        <v>41</v>
      </c>
      <c r="M1248" s="74">
        <v>25292</v>
      </c>
      <c r="N1248" s="67" t="s">
        <v>479</v>
      </c>
    </row>
    <row r="1249" spans="1:14" ht="17" x14ac:dyDescent="0.2">
      <c r="B1249" s="167" t="s">
        <v>566</v>
      </c>
      <c r="C1249" s="19" t="s">
        <v>40</v>
      </c>
      <c r="J1249" s="74" t="s">
        <v>0</v>
      </c>
      <c r="L1249" s="271" t="s">
        <v>41</v>
      </c>
      <c r="M1249" s="74">
        <v>25292</v>
      </c>
      <c r="N1249" s="67" t="s">
        <v>479</v>
      </c>
    </row>
    <row r="1250" spans="1:14" ht="17" x14ac:dyDescent="0.2">
      <c r="B1250" s="166" t="s">
        <v>237</v>
      </c>
      <c r="C1250" s="19" t="s">
        <v>40</v>
      </c>
      <c r="J1250" s="74" t="s">
        <v>0</v>
      </c>
      <c r="L1250" s="271" t="s">
        <v>41</v>
      </c>
      <c r="M1250" s="74">
        <v>25292</v>
      </c>
      <c r="N1250" s="67" t="s">
        <v>479</v>
      </c>
    </row>
    <row r="1251" spans="1:14" ht="17" x14ac:dyDescent="0.2">
      <c r="B1251" s="166" t="s">
        <v>277</v>
      </c>
      <c r="C1251" s="19" t="s">
        <v>40</v>
      </c>
      <c r="J1251" s="74" t="s">
        <v>0</v>
      </c>
      <c r="L1251" s="271" t="s">
        <v>41</v>
      </c>
      <c r="M1251" s="74">
        <v>25292</v>
      </c>
      <c r="N1251" s="67" t="s">
        <v>479</v>
      </c>
    </row>
    <row r="1252" spans="1:14" ht="17" x14ac:dyDescent="0.2">
      <c r="B1252" s="166" t="s">
        <v>80</v>
      </c>
      <c r="C1252" s="19" t="s">
        <v>40</v>
      </c>
      <c r="J1252" s="74" t="s">
        <v>0</v>
      </c>
      <c r="L1252" s="271" t="s">
        <v>41</v>
      </c>
      <c r="M1252" s="74">
        <v>25292</v>
      </c>
      <c r="N1252" s="67" t="s">
        <v>479</v>
      </c>
    </row>
    <row r="1253" spans="1:14" ht="17" x14ac:dyDescent="0.2">
      <c r="B1253" s="166" t="s">
        <v>81</v>
      </c>
      <c r="C1253" s="19" t="s">
        <v>40</v>
      </c>
      <c r="J1253" s="74" t="s">
        <v>0</v>
      </c>
      <c r="L1253" s="271" t="s">
        <v>41</v>
      </c>
      <c r="M1253" s="74">
        <v>25292</v>
      </c>
      <c r="N1253" s="67" t="s">
        <v>479</v>
      </c>
    </row>
    <row r="1254" spans="1:14" ht="17" x14ac:dyDescent="0.2">
      <c r="B1254" s="166" t="s">
        <v>82</v>
      </c>
      <c r="C1254" s="19" t="s">
        <v>40</v>
      </c>
      <c r="J1254" s="74" t="s">
        <v>0</v>
      </c>
      <c r="L1254" s="271" t="s">
        <v>41</v>
      </c>
      <c r="M1254" s="74">
        <v>25292</v>
      </c>
      <c r="N1254" s="67" t="s">
        <v>479</v>
      </c>
    </row>
    <row r="1255" spans="1:14" ht="17" x14ac:dyDescent="0.2">
      <c r="B1255" s="166" t="s">
        <v>576</v>
      </c>
      <c r="C1255" s="19" t="s">
        <v>40</v>
      </c>
      <c r="J1255" s="74" t="s">
        <v>0</v>
      </c>
      <c r="L1255" s="271" t="s">
        <v>41</v>
      </c>
      <c r="M1255" s="74">
        <v>25292</v>
      </c>
      <c r="N1255" s="67" t="s">
        <v>479</v>
      </c>
    </row>
    <row r="1256" spans="1:14" ht="17" x14ac:dyDescent="0.2">
      <c r="B1256" s="166" t="s">
        <v>495</v>
      </c>
      <c r="C1256" s="19" t="s">
        <v>40</v>
      </c>
      <c r="J1256" s="74" t="s">
        <v>0</v>
      </c>
      <c r="L1256" s="271" t="s">
        <v>41</v>
      </c>
      <c r="M1256" s="74">
        <v>25292</v>
      </c>
      <c r="N1256" s="67" t="s">
        <v>479</v>
      </c>
    </row>
    <row r="1257" spans="1:14" ht="17" x14ac:dyDescent="0.2">
      <c r="B1257" s="242" t="s">
        <v>496</v>
      </c>
      <c r="C1257" s="19"/>
    </row>
    <row r="1258" spans="1:14" ht="17" x14ac:dyDescent="0.2">
      <c r="B1258" s="147" t="s">
        <v>134</v>
      </c>
      <c r="C1258" s="19" t="s">
        <v>40</v>
      </c>
      <c r="J1258" s="74" t="s">
        <v>0</v>
      </c>
      <c r="L1258" s="271" t="s">
        <v>41</v>
      </c>
      <c r="M1258" s="74">
        <v>25292</v>
      </c>
      <c r="N1258" s="67" t="s">
        <v>479</v>
      </c>
    </row>
    <row r="1259" spans="1:14" ht="17" x14ac:dyDescent="0.2">
      <c r="B1259" s="167" t="s">
        <v>497</v>
      </c>
      <c r="C1259" s="19" t="s">
        <v>40</v>
      </c>
      <c r="J1259" s="74" t="s">
        <v>0</v>
      </c>
      <c r="L1259" s="271" t="s">
        <v>41</v>
      </c>
      <c r="M1259" s="74">
        <v>25292</v>
      </c>
      <c r="N1259" s="67" t="s">
        <v>479</v>
      </c>
    </row>
    <row r="1260" spans="1:14" ht="34" x14ac:dyDescent="0.2">
      <c r="A1260" s="52"/>
      <c r="B1260" s="166" t="s">
        <v>581</v>
      </c>
      <c r="C1260" s="19" t="s">
        <v>40</v>
      </c>
      <c r="J1260" s="74" t="s">
        <v>0</v>
      </c>
      <c r="L1260" s="271" t="s">
        <v>41</v>
      </c>
      <c r="M1260" s="74">
        <v>25292</v>
      </c>
      <c r="N1260" s="67" t="s">
        <v>479</v>
      </c>
    </row>
    <row r="1261" spans="1:14" ht="17" x14ac:dyDescent="0.2">
      <c r="B1261" s="167" t="s">
        <v>499</v>
      </c>
      <c r="C1261" s="19" t="s">
        <v>40</v>
      </c>
      <c r="J1261" s="74" t="s">
        <v>0</v>
      </c>
      <c r="L1261" s="271" t="s">
        <v>41</v>
      </c>
      <c r="M1261" s="74">
        <v>25292</v>
      </c>
      <c r="N1261" s="67" t="s">
        <v>479</v>
      </c>
    </row>
    <row r="1262" spans="1:14" x14ac:dyDescent="0.2">
      <c r="B1262" s="140" t="s">
        <v>86</v>
      </c>
    </row>
    <row r="1263" spans="1:14" x14ac:dyDescent="0.2">
      <c r="B1263" s="140" t="s">
        <v>500</v>
      </c>
    </row>
    <row r="1264" spans="1:14" ht="17" x14ac:dyDescent="0.2">
      <c r="B1264" s="141" t="s">
        <v>87</v>
      </c>
      <c r="C1264" s="19" t="s">
        <v>40</v>
      </c>
      <c r="J1264" s="74" t="s">
        <v>0</v>
      </c>
      <c r="L1264" s="271" t="s">
        <v>41</v>
      </c>
      <c r="M1264" s="74">
        <v>25292</v>
      </c>
      <c r="N1264" s="67" t="s">
        <v>479</v>
      </c>
    </row>
    <row r="1265" spans="2:14" ht="32" x14ac:dyDescent="0.2">
      <c r="B1265" s="142" t="s">
        <v>102</v>
      </c>
      <c r="C1265" s="19" t="s">
        <v>40</v>
      </c>
      <c r="J1265" s="74" t="s">
        <v>0</v>
      </c>
      <c r="L1265" s="271" t="s">
        <v>41</v>
      </c>
      <c r="M1265" s="74">
        <v>25292</v>
      </c>
      <c r="N1265" s="67" t="s">
        <v>479</v>
      </c>
    </row>
    <row r="1266" spans="2:14" ht="48" x14ac:dyDescent="0.2">
      <c r="B1266" s="143" t="s">
        <v>103</v>
      </c>
      <c r="C1266" s="19" t="s">
        <v>40</v>
      </c>
      <c r="J1266" s="74" t="s">
        <v>0</v>
      </c>
      <c r="L1266" s="271" t="s">
        <v>41</v>
      </c>
      <c r="M1266" s="74">
        <v>25292</v>
      </c>
      <c r="N1266" s="67" t="s">
        <v>479</v>
      </c>
    </row>
    <row r="1267" spans="2:14" ht="17" x14ac:dyDescent="0.2">
      <c r="B1267" s="144" t="s">
        <v>96</v>
      </c>
      <c r="C1267" s="19" t="s">
        <v>40</v>
      </c>
      <c r="J1267" s="74" t="s">
        <v>0</v>
      </c>
      <c r="L1267" s="271" t="s">
        <v>41</v>
      </c>
      <c r="M1267" s="74">
        <v>25292</v>
      </c>
      <c r="N1267" s="67" t="s">
        <v>479</v>
      </c>
    </row>
    <row r="1268" spans="2:14" ht="32" x14ac:dyDescent="0.2">
      <c r="B1268" s="143" t="s">
        <v>104</v>
      </c>
      <c r="C1268" s="19" t="s">
        <v>40</v>
      </c>
      <c r="J1268" s="74" t="s">
        <v>0</v>
      </c>
      <c r="L1268" s="271" t="s">
        <v>41</v>
      </c>
      <c r="M1268" s="74">
        <v>25292</v>
      </c>
      <c r="N1268" s="67" t="s">
        <v>479</v>
      </c>
    </row>
    <row r="1269" spans="2:14" ht="32" x14ac:dyDescent="0.2">
      <c r="B1269" s="142" t="s">
        <v>105</v>
      </c>
      <c r="C1269" s="19" t="s">
        <v>40</v>
      </c>
      <c r="J1269" s="74" t="s">
        <v>0</v>
      </c>
      <c r="L1269" s="271" t="s">
        <v>41</v>
      </c>
      <c r="M1269" s="74">
        <v>25292</v>
      </c>
      <c r="N1269" s="67" t="s">
        <v>479</v>
      </c>
    </row>
    <row r="1270" spans="2:14" ht="17" x14ac:dyDescent="0.2">
      <c r="B1270" s="144" t="s">
        <v>99</v>
      </c>
      <c r="C1270" s="19" t="s">
        <v>40</v>
      </c>
      <c r="J1270" s="74" t="s">
        <v>0</v>
      </c>
      <c r="L1270" s="271" t="s">
        <v>41</v>
      </c>
      <c r="M1270" s="74">
        <v>25292</v>
      </c>
      <c r="N1270" s="67" t="s">
        <v>479</v>
      </c>
    </row>
    <row r="1271" spans="2:14" ht="17" x14ac:dyDescent="0.2">
      <c r="B1271" s="143" t="s">
        <v>106</v>
      </c>
      <c r="C1271" s="19" t="s">
        <v>40</v>
      </c>
      <c r="J1271" s="74" t="s">
        <v>0</v>
      </c>
      <c r="L1271" s="271" t="s">
        <v>41</v>
      </c>
      <c r="M1271" s="74">
        <v>25292</v>
      </c>
      <c r="N1271" s="67" t="s">
        <v>479</v>
      </c>
    </row>
    <row r="1272" spans="2:14" x14ac:dyDescent="0.2">
      <c r="B1272" s="140" t="s">
        <v>101</v>
      </c>
    </row>
    <row r="1273" spans="2:14" ht="17" x14ac:dyDescent="0.2">
      <c r="B1273" s="141" t="s">
        <v>87</v>
      </c>
      <c r="C1273" s="19" t="s">
        <v>40</v>
      </c>
      <c r="J1273" s="74" t="s">
        <v>0</v>
      </c>
      <c r="L1273" s="271" t="s">
        <v>41</v>
      </c>
      <c r="M1273" s="74">
        <v>25292</v>
      </c>
      <c r="N1273" s="67" t="s">
        <v>479</v>
      </c>
    </row>
    <row r="1274" spans="2:14" ht="32" x14ac:dyDescent="0.2">
      <c r="B1274" s="142" t="s">
        <v>102</v>
      </c>
      <c r="C1274" s="19" t="s">
        <v>40</v>
      </c>
      <c r="J1274" s="74" t="s">
        <v>0</v>
      </c>
      <c r="L1274" s="271" t="s">
        <v>41</v>
      </c>
      <c r="M1274" s="74">
        <v>25292</v>
      </c>
      <c r="N1274" s="67" t="s">
        <v>479</v>
      </c>
    </row>
    <row r="1275" spans="2:14" ht="48" x14ac:dyDescent="0.2">
      <c r="B1275" s="143" t="s">
        <v>108</v>
      </c>
      <c r="C1275" s="19" t="s">
        <v>40</v>
      </c>
      <c r="J1275" s="74" t="s">
        <v>0</v>
      </c>
      <c r="L1275" s="271" t="s">
        <v>41</v>
      </c>
      <c r="M1275" s="74">
        <v>25292</v>
      </c>
      <c r="N1275" s="67" t="s">
        <v>479</v>
      </c>
    </row>
    <row r="1276" spans="2:14" ht="17" x14ac:dyDescent="0.2">
      <c r="B1276" s="144" t="s">
        <v>96</v>
      </c>
      <c r="C1276" s="19" t="s">
        <v>40</v>
      </c>
      <c r="J1276" s="74" t="s">
        <v>0</v>
      </c>
      <c r="L1276" s="271" t="s">
        <v>41</v>
      </c>
      <c r="M1276" s="74">
        <v>25292</v>
      </c>
      <c r="N1276" s="67" t="s">
        <v>479</v>
      </c>
    </row>
    <row r="1277" spans="2:14" ht="32" x14ac:dyDescent="0.2">
      <c r="B1277" s="143" t="s">
        <v>109</v>
      </c>
      <c r="C1277" s="19" t="s">
        <v>40</v>
      </c>
      <c r="J1277" s="74" t="s">
        <v>0</v>
      </c>
      <c r="L1277" s="271" t="s">
        <v>41</v>
      </c>
      <c r="M1277" s="74">
        <v>25292</v>
      </c>
      <c r="N1277" s="67" t="s">
        <v>479</v>
      </c>
    </row>
    <row r="1278" spans="2:14" ht="32" x14ac:dyDescent="0.2">
      <c r="B1278" s="142" t="s">
        <v>110</v>
      </c>
      <c r="C1278" s="19" t="s">
        <v>40</v>
      </c>
      <c r="J1278" s="74" t="s">
        <v>0</v>
      </c>
      <c r="L1278" s="271" t="s">
        <v>41</v>
      </c>
      <c r="M1278" s="74">
        <v>25292</v>
      </c>
      <c r="N1278" s="67" t="s">
        <v>479</v>
      </c>
    </row>
    <row r="1279" spans="2:14" ht="17" x14ac:dyDescent="0.2">
      <c r="B1279" s="144" t="s">
        <v>99</v>
      </c>
      <c r="C1279" s="19" t="s">
        <v>40</v>
      </c>
      <c r="J1279" s="74" t="s">
        <v>0</v>
      </c>
      <c r="L1279" s="271" t="s">
        <v>41</v>
      </c>
      <c r="M1279" s="74">
        <v>25292</v>
      </c>
      <c r="N1279" s="67" t="s">
        <v>479</v>
      </c>
    </row>
    <row r="1280" spans="2:14" ht="17" x14ac:dyDescent="0.2">
      <c r="B1280" s="143" t="s">
        <v>111</v>
      </c>
      <c r="C1280" s="19" t="s">
        <v>40</v>
      </c>
      <c r="J1280" s="74" t="s">
        <v>0</v>
      </c>
      <c r="L1280" s="271" t="s">
        <v>41</v>
      </c>
      <c r="M1280" s="74">
        <v>25292</v>
      </c>
      <c r="N1280" s="67" t="s">
        <v>479</v>
      </c>
    </row>
    <row r="1281" spans="2:14" x14ac:dyDescent="0.2">
      <c r="B1281" s="140" t="s">
        <v>107</v>
      </c>
    </row>
    <row r="1282" spans="2:14" ht="17" x14ac:dyDescent="0.2">
      <c r="B1282" s="141" t="s">
        <v>87</v>
      </c>
      <c r="C1282" s="19" t="s">
        <v>40</v>
      </c>
      <c r="J1282" s="74" t="s">
        <v>0</v>
      </c>
      <c r="L1282" s="271" t="s">
        <v>41</v>
      </c>
      <c r="M1282" s="74">
        <v>25292</v>
      </c>
      <c r="N1282" s="67" t="s">
        <v>479</v>
      </c>
    </row>
    <row r="1283" spans="2:14" ht="32" x14ac:dyDescent="0.2">
      <c r="B1283" s="142" t="s">
        <v>102</v>
      </c>
      <c r="C1283" s="19" t="s">
        <v>40</v>
      </c>
      <c r="J1283" s="74" t="s">
        <v>0</v>
      </c>
      <c r="L1283" s="271" t="s">
        <v>41</v>
      </c>
      <c r="M1283" s="74">
        <v>25292</v>
      </c>
      <c r="N1283" s="67" t="s">
        <v>479</v>
      </c>
    </row>
    <row r="1284" spans="2:14" ht="48" x14ac:dyDescent="0.2">
      <c r="B1284" s="143" t="s">
        <v>113</v>
      </c>
      <c r="C1284" s="19" t="s">
        <v>40</v>
      </c>
      <c r="J1284" s="74" t="s">
        <v>0</v>
      </c>
      <c r="L1284" s="271" t="s">
        <v>41</v>
      </c>
      <c r="M1284" s="74">
        <v>25292</v>
      </c>
      <c r="N1284" s="67" t="s">
        <v>479</v>
      </c>
    </row>
    <row r="1285" spans="2:14" ht="17" x14ac:dyDescent="0.2">
      <c r="B1285" s="144" t="s">
        <v>96</v>
      </c>
      <c r="C1285" s="19" t="s">
        <v>40</v>
      </c>
      <c r="J1285" s="74" t="s">
        <v>0</v>
      </c>
      <c r="L1285" s="271" t="s">
        <v>41</v>
      </c>
      <c r="M1285" s="74">
        <v>25292</v>
      </c>
      <c r="N1285" s="67" t="s">
        <v>479</v>
      </c>
    </row>
    <row r="1286" spans="2:14" ht="32" x14ac:dyDescent="0.2">
      <c r="B1286" s="143" t="s">
        <v>97</v>
      </c>
      <c r="C1286" s="19" t="s">
        <v>40</v>
      </c>
      <c r="J1286" s="74" t="s">
        <v>0</v>
      </c>
      <c r="L1286" s="271" t="s">
        <v>41</v>
      </c>
      <c r="M1286" s="74">
        <v>25292</v>
      </c>
      <c r="N1286" s="67" t="s">
        <v>479</v>
      </c>
    </row>
    <row r="1287" spans="2:14" ht="32" x14ac:dyDescent="0.2">
      <c r="B1287" s="142" t="s">
        <v>114</v>
      </c>
      <c r="C1287" s="19" t="s">
        <v>40</v>
      </c>
      <c r="J1287" s="74" t="s">
        <v>0</v>
      </c>
      <c r="L1287" s="271" t="s">
        <v>41</v>
      </c>
      <c r="M1287" s="74">
        <v>25292</v>
      </c>
      <c r="N1287" s="67" t="s">
        <v>479</v>
      </c>
    </row>
    <row r="1288" spans="2:14" ht="17" x14ac:dyDescent="0.2">
      <c r="B1288" s="144" t="s">
        <v>99</v>
      </c>
      <c r="C1288" s="19" t="s">
        <v>40</v>
      </c>
      <c r="J1288" s="74" t="s">
        <v>0</v>
      </c>
      <c r="L1288" s="271" t="s">
        <v>41</v>
      </c>
      <c r="M1288" s="74">
        <v>25292</v>
      </c>
      <c r="N1288" s="67" t="s">
        <v>479</v>
      </c>
    </row>
    <row r="1289" spans="2:14" ht="17" x14ac:dyDescent="0.2">
      <c r="B1289" s="143" t="s">
        <v>115</v>
      </c>
      <c r="C1289" s="19" t="s">
        <v>40</v>
      </c>
      <c r="J1289" s="74" t="s">
        <v>0</v>
      </c>
      <c r="L1289" s="271" t="s">
        <v>41</v>
      </c>
      <c r="M1289" s="74">
        <v>25292</v>
      </c>
      <c r="N1289" s="67" t="s">
        <v>479</v>
      </c>
    </row>
    <row r="1290" spans="2:14" x14ac:dyDescent="0.2">
      <c r="B1290" s="251" t="s">
        <v>112</v>
      </c>
      <c r="C1290" s="252"/>
    </row>
    <row r="1291" spans="2:14" ht="17" x14ac:dyDescent="0.2">
      <c r="B1291" s="213" t="s">
        <v>87</v>
      </c>
      <c r="C1291" s="252" t="s">
        <v>40</v>
      </c>
      <c r="J1291" s="74" t="s">
        <v>0</v>
      </c>
      <c r="L1291" s="271" t="s">
        <v>41</v>
      </c>
      <c r="M1291" s="74">
        <v>25292</v>
      </c>
      <c r="N1291" s="67" t="s">
        <v>479</v>
      </c>
    </row>
    <row r="1292" spans="2:14" ht="32" x14ac:dyDescent="0.2">
      <c r="B1292" s="253" t="s">
        <v>102</v>
      </c>
      <c r="C1292" s="252" t="s">
        <v>40</v>
      </c>
      <c r="J1292" s="74" t="s">
        <v>0</v>
      </c>
      <c r="L1292" s="271" t="s">
        <v>41</v>
      </c>
      <c r="M1292" s="74">
        <v>25292</v>
      </c>
      <c r="N1292" s="67" t="s">
        <v>479</v>
      </c>
    </row>
    <row r="1293" spans="2:14" ht="48" x14ac:dyDescent="0.2">
      <c r="B1293" s="238" t="s">
        <v>280</v>
      </c>
      <c r="C1293" s="252" t="s">
        <v>40</v>
      </c>
      <c r="J1293" s="74" t="s">
        <v>0</v>
      </c>
      <c r="L1293" s="271" t="s">
        <v>41</v>
      </c>
      <c r="M1293" s="74">
        <v>25292</v>
      </c>
      <c r="N1293" s="67" t="s">
        <v>479</v>
      </c>
    </row>
    <row r="1294" spans="2:14" ht="17" x14ac:dyDescent="0.2">
      <c r="B1294" s="216" t="s">
        <v>96</v>
      </c>
      <c r="C1294" s="252" t="s">
        <v>40</v>
      </c>
      <c r="J1294" s="74" t="s">
        <v>0</v>
      </c>
      <c r="L1294" s="271" t="s">
        <v>41</v>
      </c>
      <c r="M1294" s="74">
        <v>25292</v>
      </c>
      <c r="N1294" s="67" t="s">
        <v>479</v>
      </c>
    </row>
    <row r="1295" spans="2:14" ht="32" x14ac:dyDescent="0.2">
      <c r="B1295" s="238" t="s">
        <v>281</v>
      </c>
      <c r="C1295" s="252" t="s">
        <v>40</v>
      </c>
      <c r="J1295" s="74" t="s">
        <v>0</v>
      </c>
      <c r="L1295" s="271" t="s">
        <v>41</v>
      </c>
      <c r="M1295" s="74">
        <v>25292</v>
      </c>
      <c r="N1295" s="67" t="s">
        <v>479</v>
      </c>
    </row>
    <row r="1296" spans="2:14" ht="32" x14ac:dyDescent="0.2">
      <c r="B1296" s="253" t="s">
        <v>282</v>
      </c>
      <c r="C1296" s="252" t="s">
        <v>40</v>
      </c>
      <c r="J1296" s="74" t="s">
        <v>0</v>
      </c>
      <c r="L1296" s="271" t="s">
        <v>41</v>
      </c>
      <c r="M1296" s="74">
        <v>25292</v>
      </c>
      <c r="N1296" s="67" t="s">
        <v>479</v>
      </c>
    </row>
    <row r="1297" spans="2:14" ht="17" x14ac:dyDescent="0.2">
      <c r="B1297" s="215" t="s">
        <v>99</v>
      </c>
      <c r="C1297" s="252" t="s">
        <v>40</v>
      </c>
      <c r="J1297" s="74" t="s">
        <v>0</v>
      </c>
      <c r="L1297" s="271" t="s">
        <v>41</v>
      </c>
      <c r="M1297" s="74">
        <v>25292</v>
      </c>
      <c r="N1297" s="67" t="s">
        <v>479</v>
      </c>
    </row>
    <row r="1298" spans="2:14" ht="17" x14ac:dyDescent="0.2">
      <c r="B1298" s="217" t="s">
        <v>283</v>
      </c>
      <c r="C1298" s="252" t="s">
        <v>40</v>
      </c>
      <c r="J1298" s="74" t="s">
        <v>0</v>
      </c>
      <c r="L1298" s="271" t="s">
        <v>41</v>
      </c>
      <c r="M1298" s="74">
        <v>25292</v>
      </c>
      <c r="N1298" s="67" t="s">
        <v>479</v>
      </c>
    </row>
    <row r="1299" spans="2:14" ht="17" x14ac:dyDescent="0.2">
      <c r="B1299" s="128" t="s">
        <v>121</v>
      </c>
      <c r="C1299" s="19"/>
    </row>
    <row r="1300" spans="2:14" ht="17" x14ac:dyDescent="0.2">
      <c r="B1300" s="145" t="s">
        <v>122</v>
      </c>
      <c r="C1300" s="19" t="s">
        <v>40</v>
      </c>
      <c r="J1300" s="74" t="s">
        <v>0</v>
      </c>
      <c r="L1300" s="271" t="s">
        <v>41</v>
      </c>
      <c r="M1300" s="74">
        <v>25292</v>
      </c>
      <c r="N1300" s="67" t="s">
        <v>479</v>
      </c>
    </row>
    <row r="1301" spans="2:14" ht="17" x14ac:dyDescent="0.2">
      <c r="B1301" s="139" t="s">
        <v>123</v>
      </c>
      <c r="C1301" s="19" t="s">
        <v>40</v>
      </c>
      <c r="J1301" s="74" t="s">
        <v>0</v>
      </c>
      <c r="L1301" s="271" t="s">
        <v>41</v>
      </c>
      <c r="M1301" s="74">
        <v>25292</v>
      </c>
      <c r="N1301" s="67" t="s">
        <v>479</v>
      </c>
    </row>
    <row r="1302" spans="2:14" ht="17" x14ac:dyDescent="0.2">
      <c r="B1302" s="167" t="s">
        <v>439</v>
      </c>
      <c r="C1302" s="19" t="s">
        <v>40</v>
      </c>
      <c r="J1302" s="74" t="s">
        <v>0</v>
      </c>
      <c r="L1302" s="271" t="s">
        <v>41</v>
      </c>
      <c r="M1302" s="74">
        <v>25292</v>
      </c>
      <c r="N1302" s="67" t="s">
        <v>479</v>
      </c>
    </row>
    <row r="1303" spans="2:14" ht="17" x14ac:dyDescent="0.2">
      <c r="B1303" s="139" t="s">
        <v>125</v>
      </c>
      <c r="C1303" s="19" t="s">
        <v>40</v>
      </c>
      <c r="J1303" s="74" t="s">
        <v>0</v>
      </c>
      <c r="L1303" s="271" t="s">
        <v>41</v>
      </c>
      <c r="M1303" s="74">
        <v>25292</v>
      </c>
      <c r="N1303" s="67" t="s">
        <v>479</v>
      </c>
    </row>
    <row r="1304" spans="2:14" ht="17" x14ac:dyDescent="0.2">
      <c r="B1304" s="145" t="s">
        <v>126</v>
      </c>
      <c r="C1304" s="19" t="s">
        <v>40</v>
      </c>
      <c r="J1304" s="74" t="s">
        <v>0</v>
      </c>
      <c r="L1304" s="271" t="s">
        <v>41</v>
      </c>
      <c r="M1304" s="74">
        <v>25292</v>
      </c>
      <c r="N1304" s="67" t="s">
        <v>479</v>
      </c>
    </row>
    <row r="1305" spans="2:14" ht="17" x14ac:dyDescent="0.2">
      <c r="B1305" s="166" t="s">
        <v>440</v>
      </c>
      <c r="C1305" s="19" t="s">
        <v>40</v>
      </c>
      <c r="J1305" s="74" t="s">
        <v>0</v>
      </c>
      <c r="L1305" s="271" t="s">
        <v>41</v>
      </c>
      <c r="M1305" s="74">
        <v>25292</v>
      </c>
      <c r="N1305" s="67" t="s">
        <v>479</v>
      </c>
    </row>
    <row r="1306" spans="2:14" ht="33" customHeight="1" x14ac:dyDescent="0.2">
      <c r="B1306" s="166" t="s">
        <v>441</v>
      </c>
      <c r="C1306" s="19" t="s">
        <v>40</v>
      </c>
      <c r="J1306" s="74" t="s">
        <v>0</v>
      </c>
      <c r="L1306" s="271" t="s">
        <v>41</v>
      </c>
      <c r="M1306" s="74">
        <v>25292</v>
      </c>
      <c r="N1306" s="67" t="s">
        <v>479</v>
      </c>
    </row>
    <row r="1307" spans="2:14" ht="33" customHeight="1" x14ac:dyDescent="0.2">
      <c r="B1307" s="220" t="s">
        <v>129</v>
      </c>
      <c r="C1307" s="19" t="s">
        <v>40</v>
      </c>
      <c r="J1307" s="74" t="s">
        <v>0</v>
      </c>
      <c r="L1307" s="271" t="s">
        <v>41</v>
      </c>
      <c r="M1307" s="74">
        <v>25292</v>
      </c>
      <c r="N1307" s="67" t="s">
        <v>479</v>
      </c>
    </row>
    <row r="1308" spans="2:14" ht="17" x14ac:dyDescent="0.2">
      <c r="B1308" s="166" t="s">
        <v>400</v>
      </c>
      <c r="C1308" s="19" t="s">
        <v>40</v>
      </c>
      <c r="J1308" s="74" t="s">
        <v>0</v>
      </c>
      <c r="L1308" s="271" t="s">
        <v>41</v>
      </c>
      <c r="M1308" s="74">
        <v>25292</v>
      </c>
      <c r="N1308" s="67" t="s">
        <v>479</v>
      </c>
    </row>
    <row r="1309" spans="2:14" ht="17" x14ac:dyDescent="0.2">
      <c r="B1309" s="168" t="s">
        <v>571</v>
      </c>
      <c r="C1309" s="19" t="s">
        <v>40</v>
      </c>
      <c r="J1309" s="74" t="s">
        <v>0</v>
      </c>
      <c r="L1309" s="271" t="s">
        <v>41</v>
      </c>
      <c r="M1309" s="74">
        <v>25292</v>
      </c>
      <c r="N1309" s="67" t="s">
        <v>479</v>
      </c>
    </row>
    <row r="1310" spans="2:14" ht="17" x14ac:dyDescent="0.2">
      <c r="B1310" s="247" t="s">
        <v>132</v>
      </c>
      <c r="C1310" s="19" t="s">
        <v>40</v>
      </c>
      <c r="J1310" s="74" t="s">
        <v>0</v>
      </c>
      <c r="L1310" s="271" t="s">
        <v>41</v>
      </c>
      <c r="M1310" s="74">
        <v>25292</v>
      </c>
      <c r="N1310" s="67" t="s">
        <v>479</v>
      </c>
    </row>
    <row r="1311" spans="2:14" ht="17" x14ac:dyDescent="0.2">
      <c r="B1311" s="247" t="s">
        <v>134</v>
      </c>
      <c r="C1311" s="19" t="s">
        <v>40</v>
      </c>
      <c r="J1311" s="74" t="s">
        <v>0</v>
      </c>
      <c r="L1311" s="271" t="s">
        <v>41</v>
      </c>
      <c r="M1311" s="74">
        <v>25292</v>
      </c>
      <c r="N1311" s="67" t="s">
        <v>479</v>
      </c>
    </row>
    <row r="1312" spans="2:14" ht="17" x14ac:dyDescent="0.2">
      <c r="B1312" s="247" t="s">
        <v>136</v>
      </c>
      <c r="C1312" s="19" t="s">
        <v>40</v>
      </c>
      <c r="J1312" s="74" t="s">
        <v>0</v>
      </c>
      <c r="L1312" s="271" t="s">
        <v>41</v>
      </c>
      <c r="M1312" s="74">
        <v>25292</v>
      </c>
      <c r="N1312" s="67" t="s">
        <v>479</v>
      </c>
    </row>
    <row r="1313" spans="2:14" ht="23" x14ac:dyDescent="0.3">
      <c r="B1313" s="148" t="s">
        <v>137</v>
      </c>
      <c r="C1313" s="19"/>
    </row>
    <row r="1314" spans="2:14" ht="23" x14ac:dyDescent="0.3">
      <c r="B1314" s="148" t="s">
        <v>138</v>
      </c>
      <c r="C1314" s="19"/>
    </row>
    <row r="1315" spans="2:14" ht="17" x14ac:dyDescent="0.2">
      <c r="B1315" s="168" t="s">
        <v>546</v>
      </c>
      <c r="C1315" s="19" t="s">
        <v>40</v>
      </c>
      <c r="J1315" s="74" t="s">
        <v>0</v>
      </c>
      <c r="L1315" s="271" t="s">
        <v>41</v>
      </c>
      <c r="M1315" s="74">
        <v>25292</v>
      </c>
      <c r="N1315" s="67" t="s">
        <v>479</v>
      </c>
    </row>
    <row r="1316" spans="2:14" ht="34" x14ac:dyDescent="0.2">
      <c r="B1316" s="168" t="s">
        <v>538</v>
      </c>
      <c r="C1316" s="19" t="s">
        <v>40</v>
      </c>
      <c r="J1316" s="74" t="s">
        <v>0</v>
      </c>
      <c r="L1316" s="271" t="s">
        <v>41</v>
      </c>
      <c r="M1316" s="74">
        <v>25292</v>
      </c>
      <c r="N1316" s="67" t="s">
        <v>479</v>
      </c>
    </row>
    <row r="1317" spans="2:14" ht="17" x14ac:dyDescent="0.2">
      <c r="B1317" s="168" t="s">
        <v>547</v>
      </c>
      <c r="C1317" s="19" t="s">
        <v>40</v>
      </c>
      <c r="J1317" s="74" t="s">
        <v>0</v>
      </c>
      <c r="L1317" s="271" t="s">
        <v>41</v>
      </c>
      <c r="M1317" s="74">
        <v>25292</v>
      </c>
      <c r="N1317" s="67" t="s">
        <v>479</v>
      </c>
    </row>
    <row r="1318" spans="2:14" ht="17" x14ac:dyDescent="0.2">
      <c r="B1318" s="168" t="s">
        <v>539</v>
      </c>
      <c r="C1318" s="19" t="s">
        <v>40</v>
      </c>
      <c r="J1318" s="74" t="s">
        <v>0</v>
      </c>
      <c r="L1318" s="271" t="s">
        <v>41</v>
      </c>
      <c r="M1318" s="74">
        <v>25292</v>
      </c>
      <c r="N1318" s="67" t="s">
        <v>479</v>
      </c>
    </row>
    <row r="1319" spans="2:14" ht="17" x14ac:dyDescent="0.2">
      <c r="B1319" s="147" t="s">
        <v>143</v>
      </c>
      <c r="C1319" s="19" t="s">
        <v>40</v>
      </c>
      <c r="J1319" s="74" t="s">
        <v>0</v>
      </c>
      <c r="L1319" s="271" t="s">
        <v>41</v>
      </c>
      <c r="M1319" s="74">
        <v>25292</v>
      </c>
      <c r="N1319" s="67" t="s">
        <v>479</v>
      </c>
    </row>
    <row r="1320" spans="2:14" ht="23" x14ac:dyDescent="0.3">
      <c r="B1320" s="148" t="s">
        <v>144</v>
      </c>
      <c r="C1320" s="19"/>
    </row>
    <row r="1321" spans="2:14" ht="17" x14ac:dyDescent="0.2">
      <c r="B1321" s="147" t="s">
        <v>145</v>
      </c>
      <c r="C1321" s="19" t="s">
        <v>40</v>
      </c>
      <c r="J1321" s="74" t="s">
        <v>0</v>
      </c>
      <c r="L1321" s="271" t="s">
        <v>41</v>
      </c>
      <c r="M1321" s="74">
        <v>25292</v>
      </c>
      <c r="N1321" s="67" t="s">
        <v>479</v>
      </c>
    </row>
    <row r="1322" spans="2:14" ht="17" x14ac:dyDescent="0.2">
      <c r="B1322" s="147" t="s">
        <v>146</v>
      </c>
      <c r="C1322" s="19" t="s">
        <v>40</v>
      </c>
      <c r="J1322" s="74" t="s">
        <v>0</v>
      </c>
      <c r="L1322" s="271" t="s">
        <v>41</v>
      </c>
      <c r="M1322" s="74">
        <v>25292</v>
      </c>
      <c r="N1322" s="67" t="s">
        <v>479</v>
      </c>
    </row>
    <row r="1323" spans="2:14" ht="17" x14ac:dyDescent="0.2">
      <c r="B1323" s="147" t="s">
        <v>147</v>
      </c>
      <c r="C1323" s="19" t="s">
        <v>40</v>
      </c>
      <c r="J1323" s="74" t="s">
        <v>0</v>
      </c>
      <c r="L1323" s="271" t="s">
        <v>41</v>
      </c>
      <c r="M1323" s="74">
        <v>25292</v>
      </c>
      <c r="N1323" s="67" t="s">
        <v>479</v>
      </c>
    </row>
    <row r="1324" spans="2:14" ht="17" x14ac:dyDescent="0.2">
      <c r="B1324" s="168" t="s">
        <v>241</v>
      </c>
      <c r="C1324" s="19" t="s">
        <v>40</v>
      </c>
      <c r="J1324" s="74" t="s">
        <v>0</v>
      </c>
      <c r="L1324" s="271" t="s">
        <v>41</v>
      </c>
      <c r="M1324" s="74">
        <v>25292</v>
      </c>
      <c r="N1324" s="67" t="s">
        <v>479</v>
      </c>
    </row>
    <row r="1325" spans="2:14" ht="17" x14ac:dyDescent="0.2">
      <c r="B1325" s="147" t="s">
        <v>149</v>
      </c>
      <c r="C1325" s="19" t="s">
        <v>40</v>
      </c>
      <c r="J1325" s="74" t="s">
        <v>0</v>
      </c>
      <c r="L1325" s="271" t="s">
        <v>41</v>
      </c>
      <c r="M1325" s="74">
        <v>25292</v>
      </c>
      <c r="N1325" s="67" t="s">
        <v>479</v>
      </c>
    </row>
    <row r="1326" spans="2:14" ht="20" x14ac:dyDescent="0.2">
      <c r="B1326" s="177" t="s">
        <v>51</v>
      </c>
      <c r="C1326" s="19"/>
    </row>
    <row r="1327" spans="2:14" ht="17" x14ac:dyDescent="0.2">
      <c r="B1327" s="128" t="s">
        <v>342</v>
      </c>
    </row>
    <row r="1328" spans="2:14" ht="17" x14ac:dyDescent="0.2">
      <c r="B1328" s="132" t="s">
        <v>60</v>
      </c>
      <c r="C1328" s="19"/>
    </row>
    <row r="1329" spans="2:14" ht="17" x14ac:dyDescent="0.2">
      <c r="B1329" s="135" t="s">
        <v>61</v>
      </c>
      <c r="C1329" s="19" t="s">
        <v>40</v>
      </c>
      <c r="J1329" s="74" t="s">
        <v>0</v>
      </c>
      <c r="L1329" s="271" t="s">
        <v>41</v>
      </c>
      <c r="M1329" s="74">
        <v>25292</v>
      </c>
      <c r="N1329" s="67" t="s">
        <v>479</v>
      </c>
    </row>
    <row r="1330" spans="2:14" ht="17" x14ac:dyDescent="0.2">
      <c r="B1330" s="136" t="s">
        <v>62</v>
      </c>
      <c r="C1330" s="19" t="s">
        <v>40</v>
      </c>
      <c r="J1330" s="74" t="s">
        <v>0</v>
      </c>
      <c r="L1330" s="271" t="s">
        <v>41</v>
      </c>
      <c r="M1330" s="74">
        <v>25292</v>
      </c>
      <c r="N1330" s="67" t="s">
        <v>479</v>
      </c>
    </row>
    <row r="1331" spans="2:14" ht="96" x14ac:dyDescent="0.2">
      <c r="B1331" s="211" t="s">
        <v>63</v>
      </c>
      <c r="C1331" s="19" t="s">
        <v>40</v>
      </c>
      <c r="J1331" s="74" t="s">
        <v>0</v>
      </c>
      <c r="L1331" s="271" t="s">
        <v>41</v>
      </c>
      <c r="M1331" s="74">
        <v>25292</v>
      </c>
      <c r="N1331" s="67" t="s">
        <v>479</v>
      </c>
    </row>
    <row r="1332" spans="2:14" ht="17" x14ac:dyDescent="0.2">
      <c r="B1332" s="136" t="s">
        <v>64</v>
      </c>
      <c r="C1332" s="19" t="s">
        <v>40</v>
      </c>
      <c r="J1332" s="74" t="s">
        <v>0</v>
      </c>
      <c r="L1332" s="271" t="s">
        <v>41</v>
      </c>
      <c r="M1332" s="74">
        <v>25292</v>
      </c>
      <c r="N1332" s="67" t="s">
        <v>479</v>
      </c>
    </row>
    <row r="1333" spans="2:14" ht="20" x14ac:dyDescent="0.25">
      <c r="B1333" s="149" t="s">
        <v>150</v>
      </c>
      <c r="C1333" s="19"/>
    </row>
    <row r="1334" spans="2:14" x14ac:dyDescent="0.2">
      <c r="B1334" s="150" t="s">
        <v>151</v>
      </c>
      <c r="C1334" s="19"/>
    </row>
    <row r="1335" spans="2:14" ht="17" x14ac:dyDescent="0.2">
      <c r="B1335" s="151" t="s">
        <v>152</v>
      </c>
      <c r="C1335" s="19" t="s">
        <v>40</v>
      </c>
      <c r="J1335" s="74" t="s">
        <v>0</v>
      </c>
      <c r="L1335" s="271" t="s">
        <v>41</v>
      </c>
      <c r="M1335" s="74">
        <v>25292</v>
      </c>
      <c r="N1335" s="67" t="s">
        <v>479</v>
      </c>
    </row>
    <row r="1336" spans="2:14" ht="17" x14ac:dyDescent="0.2">
      <c r="B1336" s="151" t="s">
        <v>153</v>
      </c>
      <c r="C1336" s="19" t="s">
        <v>40</v>
      </c>
      <c r="J1336" s="74" t="s">
        <v>0</v>
      </c>
      <c r="L1336" s="271" t="s">
        <v>41</v>
      </c>
      <c r="M1336" s="74">
        <v>25292</v>
      </c>
      <c r="N1336" s="67" t="s">
        <v>479</v>
      </c>
    </row>
    <row r="1337" spans="2:14" ht="17" x14ac:dyDescent="0.2">
      <c r="B1337" s="152" t="s">
        <v>154</v>
      </c>
      <c r="C1337" s="19" t="s">
        <v>40</v>
      </c>
      <c r="J1337" s="74" t="s">
        <v>0</v>
      </c>
      <c r="L1337" s="271" t="s">
        <v>41</v>
      </c>
      <c r="M1337" s="74">
        <v>25292</v>
      </c>
      <c r="N1337" s="67" t="s">
        <v>479</v>
      </c>
    </row>
    <row r="1338" spans="2:14" ht="17" x14ac:dyDescent="0.2">
      <c r="B1338" s="143" t="s">
        <v>155</v>
      </c>
      <c r="C1338" s="19" t="s">
        <v>40</v>
      </c>
      <c r="J1338" s="74" t="s">
        <v>0</v>
      </c>
      <c r="L1338" s="271" t="s">
        <v>41</v>
      </c>
      <c r="M1338" s="74">
        <v>25292</v>
      </c>
      <c r="N1338" s="67" t="s">
        <v>479</v>
      </c>
    </row>
    <row r="1339" spans="2:14" x14ac:dyDescent="0.2">
      <c r="B1339" s="153" t="s">
        <v>156</v>
      </c>
    </row>
    <row r="1340" spans="2:14" x14ac:dyDescent="0.2">
      <c r="B1340" s="153" t="s">
        <v>157</v>
      </c>
      <c r="C1340" s="19"/>
    </row>
    <row r="1341" spans="2:14" ht="17" x14ac:dyDescent="0.2">
      <c r="B1341" s="154" t="s">
        <v>158</v>
      </c>
      <c r="C1341" s="19" t="s">
        <v>40</v>
      </c>
      <c r="J1341" s="74" t="s">
        <v>0</v>
      </c>
      <c r="L1341" s="271" t="s">
        <v>41</v>
      </c>
      <c r="M1341" s="74">
        <v>25292</v>
      </c>
      <c r="N1341" s="67" t="s">
        <v>479</v>
      </c>
    </row>
    <row r="1342" spans="2:14" ht="17" x14ac:dyDescent="0.2">
      <c r="B1342" s="155" t="s">
        <v>159</v>
      </c>
      <c r="C1342" s="19" t="s">
        <v>40</v>
      </c>
      <c r="J1342" s="74" t="s">
        <v>0</v>
      </c>
      <c r="L1342" s="271" t="s">
        <v>41</v>
      </c>
      <c r="M1342" s="74">
        <v>25292</v>
      </c>
      <c r="N1342" s="67" t="s">
        <v>479</v>
      </c>
    </row>
    <row r="1343" spans="2:14" ht="17" x14ac:dyDescent="0.2">
      <c r="B1343" s="151" t="s">
        <v>160</v>
      </c>
      <c r="C1343" s="19" t="s">
        <v>40</v>
      </c>
      <c r="J1343" s="74" t="s">
        <v>0</v>
      </c>
      <c r="L1343" s="271" t="s">
        <v>41</v>
      </c>
      <c r="M1343" s="74">
        <v>25292</v>
      </c>
      <c r="N1343" s="67" t="s">
        <v>479</v>
      </c>
    </row>
    <row r="1344" spans="2:14" x14ac:dyDescent="0.2">
      <c r="B1344" s="153" t="s">
        <v>161</v>
      </c>
      <c r="C1344" s="19"/>
    </row>
    <row r="1345" spans="2:14" x14ac:dyDescent="0.2">
      <c r="B1345" s="156" t="s">
        <v>162</v>
      </c>
      <c r="C1345" s="19"/>
    </row>
    <row r="1346" spans="2:14" ht="48" x14ac:dyDescent="0.2">
      <c r="B1346" s="151" t="s">
        <v>163</v>
      </c>
      <c r="C1346" s="19" t="s">
        <v>40</v>
      </c>
      <c r="J1346" s="74" t="s">
        <v>0</v>
      </c>
      <c r="L1346" s="271" t="s">
        <v>41</v>
      </c>
      <c r="M1346" s="74">
        <v>25292</v>
      </c>
      <c r="N1346" s="67" t="s">
        <v>479</v>
      </c>
    </row>
    <row r="1347" spans="2:14" ht="17" x14ac:dyDescent="0.2">
      <c r="B1347" s="166" t="s">
        <v>443</v>
      </c>
      <c r="C1347" s="19" t="s">
        <v>40</v>
      </c>
      <c r="J1347" s="74" t="s">
        <v>0</v>
      </c>
      <c r="L1347" s="271" t="s">
        <v>41</v>
      </c>
      <c r="M1347" s="74">
        <v>25292</v>
      </c>
      <c r="N1347" s="67" t="s">
        <v>479</v>
      </c>
    </row>
    <row r="1348" spans="2:14" x14ac:dyDescent="0.2">
      <c r="B1348" s="156" t="s">
        <v>165</v>
      </c>
      <c r="C1348" s="19"/>
    </row>
    <row r="1349" spans="2:14" ht="48" x14ac:dyDescent="0.2">
      <c r="B1349" s="151" t="s">
        <v>166</v>
      </c>
      <c r="C1349" s="19" t="s">
        <v>40</v>
      </c>
      <c r="J1349" s="74" t="s">
        <v>0</v>
      </c>
      <c r="L1349" s="271" t="s">
        <v>41</v>
      </c>
      <c r="M1349" s="74">
        <v>25292</v>
      </c>
      <c r="N1349" s="67" t="s">
        <v>479</v>
      </c>
    </row>
    <row r="1350" spans="2:14" ht="17" x14ac:dyDescent="0.2">
      <c r="B1350" s="138" t="s">
        <v>167</v>
      </c>
      <c r="C1350" s="19" t="s">
        <v>40</v>
      </c>
      <c r="J1350" s="74" t="s">
        <v>0</v>
      </c>
      <c r="L1350" s="271" t="s">
        <v>41</v>
      </c>
      <c r="M1350" s="74">
        <v>25292</v>
      </c>
      <c r="N1350" s="67" t="s">
        <v>479</v>
      </c>
    </row>
    <row r="1351" spans="2:14" x14ac:dyDescent="0.2">
      <c r="B1351" s="157" t="s">
        <v>168</v>
      </c>
    </row>
    <row r="1352" spans="2:14" ht="51" x14ac:dyDescent="0.2">
      <c r="B1352" s="158" t="s">
        <v>169</v>
      </c>
      <c r="C1352" s="19" t="s">
        <v>40</v>
      </c>
      <c r="J1352" s="74" t="s">
        <v>0</v>
      </c>
      <c r="L1352" s="271" t="s">
        <v>41</v>
      </c>
      <c r="M1352" s="74">
        <v>25292</v>
      </c>
      <c r="N1352" s="67" t="s">
        <v>479</v>
      </c>
    </row>
    <row r="1353" spans="2:14" ht="17" x14ac:dyDescent="0.2">
      <c r="B1353" s="159" t="s">
        <v>170</v>
      </c>
      <c r="C1353" s="19" t="s">
        <v>40</v>
      </c>
      <c r="J1353" s="74" t="s">
        <v>0</v>
      </c>
      <c r="L1353" s="271" t="s">
        <v>41</v>
      </c>
      <c r="M1353" s="74">
        <v>25292</v>
      </c>
      <c r="N1353" s="67" t="s">
        <v>479</v>
      </c>
    </row>
    <row r="1354" spans="2:14" x14ac:dyDescent="0.2">
      <c r="B1354" s="157" t="s">
        <v>171</v>
      </c>
      <c r="C1354" s="19"/>
    </row>
    <row r="1355" spans="2:14" ht="48" x14ac:dyDescent="0.2">
      <c r="B1355" s="144" t="s">
        <v>172</v>
      </c>
      <c r="C1355" s="19" t="s">
        <v>40</v>
      </c>
      <c r="J1355" s="74" t="s">
        <v>0</v>
      </c>
      <c r="L1355" s="271" t="s">
        <v>41</v>
      </c>
      <c r="M1355" s="74">
        <v>25292</v>
      </c>
      <c r="N1355" s="67" t="s">
        <v>479</v>
      </c>
    </row>
    <row r="1356" spans="2:14" ht="17" x14ac:dyDescent="0.2">
      <c r="B1356" s="160" t="s">
        <v>173</v>
      </c>
      <c r="C1356" s="19" t="s">
        <v>40</v>
      </c>
      <c r="J1356" s="74" t="s">
        <v>0</v>
      </c>
      <c r="L1356" s="271" t="s">
        <v>41</v>
      </c>
      <c r="M1356" s="74">
        <v>25292</v>
      </c>
      <c r="N1356" s="67" t="s">
        <v>479</v>
      </c>
    </row>
    <row r="1357" spans="2:14" ht="17" x14ac:dyDescent="0.2">
      <c r="B1357" s="161" t="s">
        <v>174</v>
      </c>
    </row>
    <row r="1358" spans="2:14" ht="51" x14ac:dyDescent="0.2">
      <c r="B1358" s="161" t="s">
        <v>175</v>
      </c>
      <c r="C1358" s="19"/>
    </row>
    <row r="1359" spans="2:14" ht="17" x14ac:dyDescent="0.2">
      <c r="B1359" s="131" t="s">
        <v>176</v>
      </c>
      <c r="C1359" s="19" t="s">
        <v>40</v>
      </c>
      <c r="J1359" s="74" t="s">
        <v>0</v>
      </c>
      <c r="L1359" s="271" t="s">
        <v>41</v>
      </c>
      <c r="M1359" s="74">
        <v>25292</v>
      </c>
      <c r="N1359" s="67" t="s">
        <v>479</v>
      </c>
    </row>
    <row r="1360" spans="2:14" ht="17" x14ac:dyDescent="0.2">
      <c r="B1360" s="160" t="s">
        <v>177</v>
      </c>
      <c r="C1360" s="19" t="s">
        <v>40</v>
      </c>
      <c r="J1360" s="74" t="s">
        <v>0</v>
      </c>
      <c r="L1360" s="271" t="s">
        <v>41</v>
      </c>
      <c r="M1360" s="74">
        <v>25292</v>
      </c>
      <c r="N1360" s="67" t="s">
        <v>479</v>
      </c>
    </row>
    <row r="1361" spans="2:14" ht="17" x14ac:dyDescent="0.2">
      <c r="B1361" s="131" t="s">
        <v>178</v>
      </c>
      <c r="C1361" s="19" t="s">
        <v>40</v>
      </c>
      <c r="J1361" s="74" t="s">
        <v>0</v>
      </c>
      <c r="L1361" s="271" t="s">
        <v>41</v>
      </c>
      <c r="M1361" s="74">
        <v>25292</v>
      </c>
      <c r="N1361" s="67" t="s">
        <v>479</v>
      </c>
    </row>
    <row r="1362" spans="2:14" ht="68" x14ac:dyDescent="0.2">
      <c r="B1362" s="131" t="s">
        <v>365</v>
      </c>
      <c r="C1362" s="19" t="s">
        <v>40</v>
      </c>
      <c r="J1362" s="74" t="s">
        <v>0</v>
      </c>
      <c r="L1362" s="271" t="s">
        <v>41</v>
      </c>
      <c r="M1362" s="74">
        <v>25292</v>
      </c>
      <c r="N1362" s="67" t="s">
        <v>479</v>
      </c>
    </row>
    <row r="1363" spans="2:14" ht="17" x14ac:dyDescent="0.2">
      <c r="B1363" s="131" t="s">
        <v>180</v>
      </c>
      <c r="C1363" s="19" t="s">
        <v>40</v>
      </c>
      <c r="J1363" s="74" t="s">
        <v>0</v>
      </c>
      <c r="L1363" s="271" t="s">
        <v>41</v>
      </c>
      <c r="M1363" s="74">
        <v>25292</v>
      </c>
      <c r="N1363" s="67" t="s">
        <v>479</v>
      </c>
    </row>
    <row r="1364" spans="2:14" ht="68" x14ac:dyDescent="0.2">
      <c r="B1364" s="131" t="s">
        <v>181</v>
      </c>
      <c r="C1364" s="19" t="s">
        <v>40</v>
      </c>
      <c r="J1364" s="74" t="s">
        <v>0</v>
      </c>
      <c r="L1364" s="271" t="s">
        <v>41</v>
      </c>
      <c r="M1364" s="74">
        <v>25292</v>
      </c>
      <c r="N1364" s="67" t="s">
        <v>479</v>
      </c>
    </row>
    <row r="1365" spans="2:14" ht="17" x14ac:dyDescent="0.2">
      <c r="B1365" s="160" t="s">
        <v>182</v>
      </c>
      <c r="C1365" s="19" t="s">
        <v>40</v>
      </c>
      <c r="J1365" s="74" t="s">
        <v>0</v>
      </c>
      <c r="L1365" s="271" t="s">
        <v>41</v>
      </c>
      <c r="M1365" s="74">
        <v>25292</v>
      </c>
      <c r="N1365" s="67" t="s">
        <v>479</v>
      </c>
    </row>
    <row r="1366" spans="2:14" ht="68" x14ac:dyDescent="0.2">
      <c r="B1366" s="160" t="s">
        <v>366</v>
      </c>
      <c r="C1366" s="19" t="s">
        <v>40</v>
      </c>
      <c r="J1366" s="74" t="s">
        <v>0</v>
      </c>
      <c r="L1366" s="271" t="s">
        <v>41</v>
      </c>
      <c r="M1366" s="74">
        <v>25292</v>
      </c>
      <c r="N1366" s="67" t="s">
        <v>479</v>
      </c>
    </row>
    <row r="1367" spans="2:14" ht="17" x14ac:dyDescent="0.2">
      <c r="B1367" s="162" t="s">
        <v>184</v>
      </c>
      <c r="C1367" s="19" t="s">
        <v>40</v>
      </c>
      <c r="J1367" s="74" t="s">
        <v>0</v>
      </c>
      <c r="L1367" s="271" t="s">
        <v>41</v>
      </c>
      <c r="M1367" s="74">
        <v>25292</v>
      </c>
      <c r="N1367" s="67" t="s">
        <v>479</v>
      </c>
    </row>
    <row r="1368" spans="2:14" ht="17" x14ac:dyDescent="0.2">
      <c r="B1368" s="162" t="s">
        <v>185</v>
      </c>
      <c r="C1368" s="19" t="s">
        <v>40</v>
      </c>
      <c r="J1368" s="74" t="s">
        <v>0</v>
      </c>
      <c r="L1368" s="271" t="s">
        <v>41</v>
      </c>
      <c r="M1368" s="74">
        <v>25292</v>
      </c>
      <c r="N1368" s="67" t="s">
        <v>479</v>
      </c>
    </row>
    <row r="1371" spans="2:14" ht="25" x14ac:dyDescent="0.3">
      <c r="B1371" s="125" t="s">
        <v>582</v>
      </c>
      <c r="C1371" s="19"/>
    </row>
    <row r="1372" spans="2:14" ht="92" x14ac:dyDescent="0.2">
      <c r="B1372" s="170" t="s">
        <v>583</v>
      </c>
      <c r="C1372" s="19"/>
    </row>
    <row r="1373" spans="2:14" ht="17" x14ac:dyDescent="0.2">
      <c r="B1373" s="127" t="s">
        <v>328</v>
      </c>
    </row>
    <row r="1374" spans="2:14" ht="17" x14ac:dyDescent="0.2">
      <c r="B1374" s="128" t="s">
        <v>33</v>
      </c>
    </row>
    <row r="1375" spans="2:14" ht="17" x14ac:dyDescent="0.2">
      <c r="B1375" s="127" t="s">
        <v>34</v>
      </c>
      <c r="C1375" s="19"/>
    </row>
    <row r="1376" spans="2:14" ht="17" x14ac:dyDescent="0.2">
      <c r="B1376" s="163" t="s">
        <v>475</v>
      </c>
      <c r="C1376" s="19"/>
    </row>
    <row r="1377" spans="2:14" ht="34" x14ac:dyDescent="0.2">
      <c r="B1377" s="163" t="s">
        <v>476</v>
      </c>
      <c r="C1377" s="19"/>
    </row>
    <row r="1378" spans="2:14" ht="17" x14ac:dyDescent="0.2">
      <c r="B1378" s="129" t="s">
        <v>36</v>
      </c>
      <c r="C1378" s="19"/>
    </row>
    <row r="1379" spans="2:14" ht="17" x14ac:dyDescent="0.2">
      <c r="B1379" s="129" t="s">
        <v>37</v>
      </c>
      <c r="C1379" s="19"/>
    </row>
    <row r="1380" spans="2:14" ht="17" x14ac:dyDescent="0.2">
      <c r="B1380" s="128" t="s">
        <v>38</v>
      </c>
      <c r="C1380" s="19"/>
    </row>
    <row r="1381" spans="2:14" ht="48" x14ac:dyDescent="0.2">
      <c r="B1381" s="164" t="s">
        <v>477</v>
      </c>
      <c r="C1381" s="19" t="s">
        <v>40</v>
      </c>
      <c r="E1381" s="34" t="s">
        <v>0</v>
      </c>
      <c r="G1381" s="62" t="s">
        <v>41</v>
      </c>
      <c r="H1381" s="61">
        <v>18223</v>
      </c>
      <c r="N1381" s="67" t="s">
        <v>479</v>
      </c>
    </row>
    <row r="1382" spans="2:14" ht="48" x14ac:dyDescent="0.2">
      <c r="B1382" s="164" t="s">
        <v>542</v>
      </c>
      <c r="C1382" s="19" t="s">
        <v>40</v>
      </c>
      <c r="E1382" s="34" t="s">
        <v>0</v>
      </c>
      <c r="G1382" s="62" t="s">
        <v>41</v>
      </c>
      <c r="H1382" s="61">
        <v>18223</v>
      </c>
      <c r="N1382" s="67" t="s">
        <v>479</v>
      </c>
    </row>
    <row r="1383" spans="2:14" ht="17" x14ac:dyDescent="0.2">
      <c r="B1383" s="128" t="s">
        <v>44</v>
      </c>
      <c r="C1383" s="19"/>
    </row>
    <row r="1384" spans="2:14" ht="17" x14ac:dyDescent="0.2">
      <c r="B1384" s="164" t="s">
        <v>543</v>
      </c>
      <c r="C1384" s="19" t="s">
        <v>40</v>
      </c>
      <c r="E1384" s="34" t="s">
        <v>0</v>
      </c>
      <c r="G1384" s="62" t="s">
        <v>41</v>
      </c>
      <c r="H1384" s="61">
        <v>18223</v>
      </c>
      <c r="N1384" s="67" t="s">
        <v>479</v>
      </c>
    </row>
    <row r="1385" spans="2:14" ht="17" x14ac:dyDescent="0.2">
      <c r="B1385" s="128" t="s">
        <v>47</v>
      </c>
    </row>
    <row r="1386" spans="2:14" ht="17" x14ac:dyDescent="0.2">
      <c r="B1386" s="131" t="s">
        <v>481</v>
      </c>
      <c r="C1386" s="19" t="s">
        <v>40</v>
      </c>
      <c r="E1386" s="34" t="s">
        <v>0</v>
      </c>
      <c r="G1386" s="62" t="s">
        <v>41</v>
      </c>
      <c r="H1386" s="61">
        <v>18223</v>
      </c>
      <c r="N1386" s="67" t="s">
        <v>479</v>
      </c>
    </row>
    <row r="1387" spans="2:14" ht="17" x14ac:dyDescent="0.2">
      <c r="B1387" s="131" t="s">
        <v>49</v>
      </c>
      <c r="C1387" s="19" t="s">
        <v>40</v>
      </c>
      <c r="E1387" s="34" t="s">
        <v>0</v>
      </c>
      <c r="G1387" s="62" t="s">
        <v>41</v>
      </c>
      <c r="H1387" s="61">
        <v>18223</v>
      </c>
      <c r="N1387" s="67" t="s">
        <v>479</v>
      </c>
    </row>
    <row r="1388" spans="2:14" ht="17" x14ac:dyDescent="0.2">
      <c r="B1388" s="128" t="s">
        <v>482</v>
      </c>
    </row>
    <row r="1389" spans="2:14" ht="17" x14ac:dyDescent="0.2">
      <c r="B1389" s="165" t="s">
        <v>66</v>
      </c>
      <c r="C1389" s="19" t="s">
        <v>40</v>
      </c>
      <c r="E1389" s="34" t="s">
        <v>0</v>
      </c>
      <c r="G1389" s="62" t="s">
        <v>41</v>
      </c>
      <c r="H1389" s="61">
        <v>18223</v>
      </c>
      <c r="N1389" s="67" t="s">
        <v>479</v>
      </c>
    </row>
    <row r="1390" spans="2:14" ht="17" x14ac:dyDescent="0.2">
      <c r="B1390" s="166" t="s">
        <v>67</v>
      </c>
      <c r="C1390" s="19" t="s">
        <v>40</v>
      </c>
      <c r="E1390" s="34" t="s">
        <v>0</v>
      </c>
      <c r="G1390" s="62" t="s">
        <v>41</v>
      </c>
      <c r="H1390" s="61">
        <v>18223</v>
      </c>
      <c r="N1390" s="67" t="s">
        <v>479</v>
      </c>
    </row>
    <row r="1391" spans="2:14" ht="17" x14ac:dyDescent="0.2">
      <c r="B1391" s="166" t="s">
        <v>68</v>
      </c>
      <c r="C1391" s="19" t="s">
        <v>40</v>
      </c>
      <c r="E1391" s="34" t="s">
        <v>0</v>
      </c>
      <c r="G1391" s="62" t="s">
        <v>41</v>
      </c>
      <c r="H1391" s="61">
        <v>18223</v>
      </c>
      <c r="N1391" s="67" t="s">
        <v>479</v>
      </c>
    </row>
    <row r="1392" spans="2:14" ht="17" x14ac:dyDescent="0.2">
      <c r="B1392" s="166" t="s">
        <v>354</v>
      </c>
      <c r="C1392" s="19" t="s">
        <v>40</v>
      </c>
      <c r="E1392" s="34" t="s">
        <v>0</v>
      </c>
      <c r="G1392" s="62" t="s">
        <v>41</v>
      </c>
      <c r="H1392" s="61">
        <v>18223</v>
      </c>
      <c r="N1392" s="67" t="s">
        <v>479</v>
      </c>
    </row>
    <row r="1393" spans="2:14" ht="17" x14ac:dyDescent="0.2">
      <c r="B1393" s="166" t="s">
        <v>584</v>
      </c>
      <c r="C1393" s="19" t="s">
        <v>40</v>
      </c>
      <c r="E1393" s="34" t="s">
        <v>0</v>
      </c>
      <c r="G1393" s="62" t="s">
        <v>41</v>
      </c>
      <c r="H1393" s="61">
        <v>18223</v>
      </c>
      <c r="N1393" s="67" t="s">
        <v>479</v>
      </c>
    </row>
    <row r="1394" spans="2:14" ht="17" x14ac:dyDescent="0.2">
      <c r="B1394" s="166" t="s">
        <v>418</v>
      </c>
      <c r="C1394" s="19" t="s">
        <v>40</v>
      </c>
      <c r="E1394" s="34" t="s">
        <v>0</v>
      </c>
      <c r="G1394" s="62" t="s">
        <v>41</v>
      </c>
      <c r="H1394" s="61">
        <v>18223</v>
      </c>
      <c r="N1394" s="67" t="s">
        <v>479</v>
      </c>
    </row>
    <row r="1395" spans="2:14" ht="17" x14ac:dyDescent="0.2">
      <c r="B1395" s="139" t="s">
        <v>72</v>
      </c>
      <c r="C1395" s="19" t="s">
        <v>40</v>
      </c>
      <c r="E1395" s="34" t="s">
        <v>0</v>
      </c>
      <c r="G1395" s="62" t="s">
        <v>41</v>
      </c>
      <c r="H1395" s="61">
        <v>18223</v>
      </c>
      <c r="N1395" s="67" t="s">
        <v>479</v>
      </c>
    </row>
    <row r="1396" spans="2:14" ht="17" x14ac:dyDescent="0.2">
      <c r="B1396" s="166" t="s">
        <v>483</v>
      </c>
      <c r="C1396" s="19" t="s">
        <v>40</v>
      </c>
      <c r="E1396" s="34" t="s">
        <v>0</v>
      </c>
      <c r="G1396" s="62" t="s">
        <v>41</v>
      </c>
      <c r="H1396" s="61">
        <v>18223</v>
      </c>
      <c r="N1396" s="67" t="s">
        <v>479</v>
      </c>
    </row>
    <row r="1397" spans="2:14" ht="17" x14ac:dyDescent="0.2">
      <c r="B1397" s="166" t="s">
        <v>484</v>
      </c>
      <c r="C1397" s="19" t="s">
        <v>40</v>
      </c>
      <c r="E1397" s="34" t="s">
        <v>0</v>
      </c>
      <c r="G1397" s="62" t="s">
        <v>41</v>
      </c>
      <c r="H1397" s="61">
        <v>18223</v>
      </c>
      <c r="N1397" s="67" t="s">
        <v>479</v>
      </c>
    </row>
    <row r="1398" spans="2:14" ht="17" x14ac:dyDescent="0.2">
      <c r="B1398" s="167" t="s">
        <v>485</v>
      </c>
      <c r="C1398" s="19" t="s">
        <v>40</v>
      </c>
      <c r="E1398" s="34" t="s">
        <v>0</v>
      </c>
      <c r="G1398" s="62" t="s">
        <v>41</v>
      </c>
      <c r="H1398" s="61">
        <v>18223</v>
      </c>
      <c r="N1398" s="67" t="s">
        <v>479</v>
      </c>
    </row>
    <row r="1399" spans="2:14" ht="17" x14ac:dyDescent="0.2">
      <c r="B1399" s="169" t="s">
        <v>486</v>
      </c>
      <c r="C1399" s="19"/>
    </row>
    <row r="1400" spans="2:14" ht="17" x14ac:dyDescent="0.2">
      <c r="B1400" s="166" t="s">
        <v>347</v>
      </c>
      <c r="C1400" s="19" t="s">
        <v>40</v>
      </c>
      <c r="E1400" s="34" t="s">
        <v>0</v>
      </c>
      <c r="G1400" s="62" t="s">
        <v>41</v>
      </c>
      <c r="H1400" s="61">
        <v>18223</v>
      </c>
      <c r="N1400" s="67" t="s">
        <v>479</v>
      </c>
    </row>
    <row r="1401" spans="2:14" ht="17" x14ac:dyDescent="0.2">
      <c r="B1401" s="166" t="s">
        <v>401</v>
      </c>
      <c r="C1401" s="19" t="s">
        <v>40</v>
      </c>
      <c r="E1401" s="34" t="s">
        <v>0</v>
      </c>
      <c r="G1401" s="62" t="s">
        <v>41</v>
      </c>
      <c r="H1401" s="61">
        <v>18223</v>
      </c>
      <c r="N1401" s="67" t="s">
        <v>479</v>
      </c>
    </row>
    <row r="1402" spans="2:14" ht="17" x14ac:dyDescent="0.2">
      <c r="B1402" s="166" t="s">
        <v>585</v>
      </c>
      <c r="C1402" s="19" t="s">
        <v>40</v>
      </c>
      <c r="E1402" s="34" t="s">
        <v>0</v>
      </c>
      <c r="G1402" s="62" t="s">
        <v>41</v>
      </c>
      <c r="H1402" s="61">
        <v>18223</v>
      </c>
      <c r="N1402" s="67" t="s">
        <v>479</v>
      </c>
    </row>
    <row r="1403" spans="2:14" ht="17" x14ac:dyDescent="0.2">
      <c r="B1403" s="167" t="s">
        <v>490</v>
      </c>
      <c r="C1403" s="19" t="s">
        <v>40</v>
      </c>
      <c r="E1403" s="34" t="s">
        <v>0</v>
      </c>
      <c r="G1403" s="62" t="s">
        <v>41</v>
      </c>
      <c r="H1403" s="61">
        <v>18223</v>
      </c>
      <c r="N1403" s="67" t="s">
        <v>479</v>
      </c>
    </row>
    <row r="1404" spans="2:14" ht="17" x14ac:dyDescent="0.2">
      <c r="B1404" s="168" t="s">
        <v>134</v>
      </c>
      <c r="C1404" s="19" t="s">
        <v>40</v>
      </c>
      <c r="E1404" s="34" t="s">
        <v>0</v>
      </c>
      <c r="G1404" s="62" t="s">
        <v>41</v>
      </c>
      <c r="H1404" s="61">
        <v>18223</v>
      </c>
      <c r="N1404" s="67" t="s">
        <v>479</v>
      </c>
    </row>
    <row r="1405" spans="2:14" ht="17" x14ac:dyDescent="0.2">
      <c r="B1405" s="167" t="s">
        <v>544</v>
      </c>
      <c r="C1405" s="19" t="s">
        <v>40</v>
      </c>
      <c r="E1405" s="34" t="s">
        <v>0</v>
      </c>
      <c r="G1405" s="62" t="s">
        <v>41</v>
      </c>
      <c r="H1405" s="61">
        <v>18223</v>
      </c>
      <c r="N1405" s="67" t="s">
        <v>479</v>
      </c>
    </row>
    <row r="1406" spans="2:14" ht="17" x14ac:dyDescent="0.2">
      <c r="B1406" s="167" t="s">
        <v>565</v>
      </c>
      <c r="C1406" s="19" t="s">
        <v>40</v>
      </c>
      <c r="E1406" s="34" t="s">
        <v>0</v>
      </c>
      <c r="G1406" s="62" t="s">
        <v>41</v>
      </c>
      <c r="H1406" s="61">
        <v>18223</v>
      </c>
      <c r="N1406" s="67" t="s">
        <v>479</v>
      </c>
    </row>
    <row r="1407" spans="2:14" ht="17" x14ac:dyDescent="0.2">
      <c r="B1407" s="167" t="s">
        <v>566</v>
      </c>
      <c r="C1407" s="19" t="s">
        <v>40</v>
      </c>
      <c r="E1407" s="34" t="s">
        <v>0</v>
      </c>
      <c r="G1407" s="62" t="s">
        <v>41</v>
      </c>
      <c r="H1407" s="61">
        <v>18223</v>
      </c>
      <c r="N1407" s="67" t="s">
        <v>479</v>
      </c>
    </row>
    <row r="1408" spans="2:14" ht="17" x14ac:dyDescent="0.2">
      <c r="B1408" s="166" t="s">
        <v>586</v>
      </c>
      <c r="C1408" s="19" t="s">
        <v>40</v>
      </c>
      <c r="E1408" s="34" t="s">
        <v>0</v>
      </c>
      <c r="G1408" s="62" t="s">
        <v>41</v>
      </c>
      <c r="H1408" s="61">
        <v>18223</v>
      </c>
      <c r="N1408" s="67" t="s">
        <v>479</v>
      </c>
    </row>
    <row r="1409" spans="2:14" ht="17" x14ac:dyDescent="0.2">
      <c r="B1409" s="166" t="s">
        <v>587</v>
      </c>
      <c r="C1409" s="19" t="s">
        <v>40</v>
      </c>
      <c r="E1409" s="34" t="s">
        <v>0</v>
      </c>
      <c r="G1409" s="62" t="s">
        <v>41</v>
      </c>
      <c r="H1409" s="61">
        <v>18223</v>
      </c>
      <c r="N1409" s="67" t="s">
        <v>479</v>
      </c>
    </row>
    <row r="1410" spans="2:14" ht="17" x14ac:dyDescent="0.2">
      <c r="B1410" s="166" t="s">
        <v>80</v>
      </c>
      <c r="C1410" s="19" t="s">
        <v>40</v>
      </c>
      <c r="E1410" s="34" t="s">
        <v>0</v>
      </c>
      <c r="G1410" s="62" t="s">
        <v>41</v>
      </c>
      <c r="H1410" s="61">
        <v>18223</v>
      </c>
      <c r="N1410" s="67" t="s">
        <v>479</v>
      </c>
    </row>
    <row r="1411" spans="2:14" ht="17" x14ac:dyDescent="0.2">
      <c r="B1411" s="166" t="s">
        <v>81</v>
      </c>
      <c r="C1411" s="19" t="s">
        <v>40</v>
      </c>
      <c r="E1411" s="34" t="s">
        <v>0</v>
      </c>
      <c r="G1411" s="62" t="s">
        <v>41</v>
      </c>
      <c r="H1411" s="61">
        <v>18223</v>
      </c>
      <c r="N1411" s="67" t="s">
        <v>479</v>
      </c>
    </row>
    <row r="1412" spans="2:14" ht="17" x14ac:dyDescent="0.2">
      <c r="B1412" s="166" t="s">
        <v>82</v>
      </c>
      <c r="C1412" s="19" t="s">
        <v>40</v>
      </c>
      <c r="E1412" s="34" t="s">
        <v>0</v>
      </c>
      <c r="G1412" s="62" t="s">
        <v>41</v>
      </c>
      <c r="H1412" s="61">
        <v>18223</v>
      </c>
      <c r="N1412" s="67" t="s">
        <v>479</v>
      </c>
    </row>
    <row r="1413" spans="2:14" ht="17" x14ac:dyDescent="0.2">
      <c r="B1413" s="166" t="s">
        <v>588</v>
      </c>
      <c r="C1413" s="19" t="s">
        <v>40</v>
      </c>
      <c r="E1413" s="34" t="s">
        <v>0</v>
      </c>
      <c r="G1413" s="62" t="s">
        <v>41</v>
      </c>
      <c r="H1413" s="61">
        <v>18223</v>
      </c>
      <c r="N1413" s="67" t="s">
        <v>479</v>
      </c>
    </row>
    <row r="1414" spans="2:14" ht="17" x14ac:dyDescent="0.2">
      <c r="B1414" s="166" t="s">
        <v>495</v>
      </c>
      <c r="C1414" s="19" t="s">
        <v>40</v>
      </c>
      <c r="E1414" s="34" t="s">
        <v>0</v>
      </c>
      <c r="G1414" s="62" t="s">
        <v>41</v>
      </c>
      <c r="H1414" s="61">
        <v>18223</v>
      </c>
      <c r="N1414" s="67" t="s">
        <v>479</v>
      </c>
    </row>
    <row r="1415" spans="2:14" ht="17" x14ac:dyDescent="0.2">
      <c r="B1415" s="242" t="s">
        <v>496</v>
      </c>
      <c r="C1415" s="19"/>
    </row>
    <row r="1416" spans="2:14" ht="17" x14ac:dyDescent="0.2">
      <c r="B1416" s="147" t="s">
        <v>134</v>
      </c>
      <c r="C1416" s="19" t="s">
        <v>40</v>
      </c>
      <c r="E1416" s="34" t="s">
        <v>0</v>
      </c>
      <c r="G1416" s="62" t="s">
        <v>41</v>
      </c>
      <c r="H1416" s="61">
        <v>18223</v>
      </c>
      <c r="N1416" s="67" t="s">
        <v>479</v>
      </c>
    </row>
    <row r="1417" spans="2:14" ht="17" x14ac:dyDescent="0.2">
      <c r="B1417" s="167" t="s">
        <v>497</v>
      </c>
      <c r="C1417" s="19" t="s">
        <v>40</v>
      </c>
      <c r="E1417" s="34" t="s">
        <v>0</v>
      </c>
      <c r="G1417" s="62" t="s">
        <v>41</v>
      </c>
      <c r="H1417" s="61">
        <v>18223</v>
      </c>
      <c r="N1417" s="67" t="s">
        <v>479</v>
      </c>
    </row>
    <row r="1418" spans="2:14" ht="34" x14ac:dyDescent="0.2">
      <c r="B1418" s="166" t="s">
        <v>589</v>
      </c>
      <c r="C1418" s="19" t="s">
        <v>40</v>
      </c>
      <c r="E1418" s="34" t="s">
        <v>0</v>
      </c>
      <c r="G1418" s="62" t="s">
        <v>41</v>
      </c>
      <c r="H1418" s="61">
        <v>18223</v>
      </c>
      <c r="N1418" s="67" t="s">
        <v>479</v>
      </c>
    </row>
    <row r="1419" spans="2:14" ht="17" x14ac:dyDescent="0.2">
      <c r="B1419" s="167" t="s">
        <v>499</v>
      </c>
      <c r="C1419" s="19" t="s">
        <v>40</v>
      </c>
      <c r="E1419" s="34" t="s">
        <v>0</v>
      </c>
      <c r="G1419" s="62" t="s">
        <v>41</v>
      </c>
      <c r="H1419" s="61">
        <v>18223</v>
      </c>
      <c r="N1419" s="67" t="s">
        <v>479</v>
      </c>
    </row>
    <row r="1420" spans="2:14" x14ac:dyDescent="0.2">
      <c r="B1420" s="140" t="s">
        <v>86</v>
      </c>
    </row>
    <row r="1421" spans="2:14" x14ac:dyDescent="0.2">
      <c r="B1421" s="140" t="s">
        <v>500</v>
      </c>
      <c r="C1421" s="19"/>
    </row>
    <row r="1422" spans="2:14" ht="17" x14ac:dyDescent="0.2">
      <c r="B1422" s="141" t="s">
        <v>87</v>
      </c>
      <c r="C1422" s="19" t="s">
        <v>40</v>
      </c>
      <c r="E1422" s="34" t="s">
        <v>0</v>
      </c>
      <c r="G1422" s="62" t="s">
        <v>41</v>
      </c>
      <c r="H1422" s="61">
        <v>18223</v>
      </c>
      <c r="N1422" s="67" t="s">
        <v>479</v>
      </c>
    </row>
    <row r="1423" spans="2:14" ht="32" x14ac:dyDescent="0.2">
      <c r="B1423" s="142" t="s">
        <v>102</v>
      </c>
      <c r="C1423" s="19" t="s">
        <v>40</v>
      </c>
      <c r="E1423" s="34" t="s">
        <v>0</v>
      </c>
      <c r="G1423" s="62" t="s">
        <v>41</v>
      </c>
      <c r="H1423" s="61">
        <v>18223</v>
      </c>
      <c r="N1423" s="67" t="s">
        <v>479</v>
      </c>
    </row>
    <row r="1424" spans="2:14" ht="48" x14ac:dyDescent="0.2">
      <c r="B1424" s="143" t="s">
        <v>103</v>
      </c>
      <c r="C1424" s="19" t="s">
        <v>40</v>
      </c>
      <c r="E1424" s="34" t="s">
        <v>0</v>
      </c>
      <c r="G1424" s="62" t="s">
        <v>41</v>
      </c>
      <c r="H1424" s="61">
        <v>18223</v>
      </c>
      <c r="N1424" s="67" t="s">
        <v>479</v>
      </c>
    </row>
    <row r="1425" spans="2:14" ht="17" x14ac:dyDescent="0.2">
      <c r="B1425" s="144" t="s">
        <v>96</v>
      </c>
      <c r="C1425" s="19" t="s">
        <v>40</v>
      </c>
      <c r="E1425" s="34" t="s">
        <v>0</v>
      </c>
      <c r="G1425" s="62" t="s">
        <v>41</v>
      </c>
      <c r="H1425" s="61">
        <v>18223</v>
      </c>
      <c r="N1425" s="67" t="s">
        <v>479</v>
      </c>
    </row>
    <row r="1426" spans="2:14" ht="32" x14ac:dyDescent="0.2">
      <c r="B1426" s="143" t="s">
        <v>104</v>
      </c>
      <c r="C1426" s="19" t="s">
        <v>40</v>
      </c>
      <c r="E1426" s="34" t="s">
        <v>0</v>
      </c>
      <c r="G1426" s="62" t="s">
        <v>41</v>
      </c>
      <c r="H1426" s="61">
        <v>18223</v>
      </c>
      <c r="N1426" s="67" t="s">
        <v>479</v>
      </c>
    </row>
    <row r="1427" spans="2:14" ht="32" x14ac:dyDescent="0.2">
      <c r="B1427" s="142" t="s">
        <v>105</v>
      </c>
      <c r="C1427" s="19" t="s">
        <v>40</v>
      </c>
      <c r="E1427" s="34" t="s">
        <v>0</v>
      </c>
      <c r="G1427" s="62" t="s">
        <v>41</v>
      </c>
      <c r="H1427" s="61">
        <v>18223</v>
      </c>
      <c r="N1427" s="67" t="s">
        <v>479</v>
      </c>
    </row>
    <row r="1428" spans="2:14" ht="17" x14ac:dyDescent="0.2">
      <c r="B1428" s="144" t="s">
        <v>99</v>
      </c>
      <c r="C1428" s="19" t="s">
        <v>40</v>
      </c>
      <c r="E1428" s="34" t="s">
        <v>0</v>
      </c>
      <c r="G1428" s="62" t="s">
        <v>41</v>
      </c>
      <c r="H1428" s="61">
        <v>18223</v>
      </c>
      <c r="N1428" s="67" t="s">
        <v>479</v>
      </c>
    </row>
    <row r="1429" spans="2:14" ht="17" x14ac:dyDescent="0.2">
      <c r="B1429" s="143" t="s">
        <v>106</v>
      </c>
      <c r="C1429" s="19" t="s">
        <v>40</v>
      </c>
      <c r="E1429" s="34" t="s">
        <v>0</v>
      </c>
      <c r="G1429" s="62" t="s">
        <v>41</v>
      </c>
      <c r="H1429" s="61">
        <v>18223</v>
      </c>
      <c r="N1429" s="67" t="s">
        <v>479</v>
      </c>
    </row>
    <row r="1430" spans="2:14" x14ac:dyDescent="0.2">
      <c r="B1430" s="140" t="s">
        <v>101</v>
      </c>
    </row>
    <row r="1431" spans="2:14" ht="17" x14ac:dyDescent="0.2">
      <c r="B1431" s="141" t="s">
        <v>87</v>
      </c>
      <c r="C1431" s="19" t="s">
        <v>40</v>
      </c>
      <c r="E1431" s="34" t="s">
        <v>0</v>
      </c>
      <c r="G1431" s="62" t="s">
        <v>41</v>
      </c>
      <c r="H1431" s="61">
        <v>18223</v>
      </c>
      <c r="N1431" s="67" t="s">
        <v>479</v>
      </c>
    </row>
    <row r="1432" spans="2:14" ht="32" x14ac:dyDescent="0.2">
      <c r="B1432" s="142" t="s">
        <v>102</v>
      </c>
      <c r="C1432" s="19" t="s">
        <v>40</v>
      </c>
      <c r="E1432" s="34" t="s">
        <v>0</v>
      </c>
      <c r="G1432" s="62" t="s">
        <v>41</v>
      </c>
      <c r="H1432" s="61">
        <v>18223</v>
      </c>
      <c r="N1432" s="67" t="s">
        <v>479</v>
      </c>
    </row>
    <row r="1433" spans="2:14" ht="48" x14ac:dyDescent="0.2">
      <c r="B1433" s="143" t="s">
        <v>108</v>
      </c>
      <c r="C1433" s="19" t="s">
        <v>40</v>
      </c>
      <c r="E1433" s="34" t="s">
        <v>0</v>
      </c>
      <c r="G1433" s="62" t="s">
        <v>41</v>
      </c>
      <c r="H1433" s="61">
        <v>18223</v>
      </c>
      <c r="N1433" s="67" t="s">
        <v>479</v>
      </c>
    </row>
    <row r="1434" spans="2:14" ht="17" x14ac:dyDescent="0.2">
      <c r="B1434" s="144" t="s">
        <v>96</v>
      </c>
      <c r="C1434" s="19" t="s">
        <v>40</v>
      </c>
      <c r="E1434" s="34" t="s">
        <v>0</v>
      </c>
      <c r="G1434" s="62" t="s">
        <v>41</v>
      </c>
      <c r="H1434" s="61">
        <v>18223</v>
      </c>
      <c r="N1434" s="67" t="s">
        <v>479</v>
      </c>
    </row>
    <row r="1435" spans="2:14" ht="32" x14ac:dyDescent="0.2">
      <c r="B1435" s="143" t="s">
        <v>109</v>
      </c>
      <c r="C1435" s="19" t="s">
        <v>40</v>
      </c>
      <c r="E1435" s="34" t="s">
        <v>0</v>
      </c>
      <c r="G1435" s="62" t="s">
        <v>41</v>
      </c>
      <c r="H1435" s="61">
        <v>18223</v>
      </c>
      <c r="N1435" s="67" t="s">
        <v>479</v>
      </c>
    </row>
    <row r="1436" spans="2:14" ht="32" x14ac:dyDescent="0.2">
      <c r="B1436" s="142" t="s">
        <v>110</v>
      </c>
      <c r="C1436" s="19" t="s">
        <v>40</v>
      </c>
      <c r="E1436" s="34" t="s">
        <v>0</v>
      </c>
      <c r="G1436" s="62" t="s">
        <v>41</v>
      </c>
      <c r="H1436" s="61">
        <v>18223</v>
      </c>
      <c r="N1436" s="67" t="s">
        <v>479</v>
      </c>
    </row>
    <row r="1437" spans="2:14" ht="17" x14ac:dyDescent="0.2">
      <c r="B1437" s="144" t="s">
        <v>99</v>
      </c>
      <c r="C1437" s="19" t="s">
        <v>40</v>
      </c>
      <c r="E1437" s="34" t="s">
        <v>0</v>
      </c>
      <c r="G1437" s="62" t="s">
        <v>41</v>
      </c>
      <c r="H1437" s="61">
        <v>18223</v>
      </c>
      <c r="N1437" s="67" t="s">
        <v>479</v>
      </c>
    </row>
    <row r="1438" spans="2:14" ht="17" x14ac:dyDescent="0.2">
      <c r="B1438" s="143" t="s">
        <v>111</v>
      </c>
      <c r="C1438" s="19" t="s">
        <v>40</v>
      </c>
      <c r="E1438" s="34" t="s">
        <v>0</v>
      </c>
      <c r="G1438" s="62" t="s">
        <v>41</v>
      </c>
      <c r="H1438" s="61">
        <v>18223</v>
      </c>
      <c r="N1438" s="67" t="s">
        <v>479</v>
      </c>
    </row>
    <row r="1439" spans="2:14" x14ac:dyDescent="0.2">
      <c r="B1439" s="140" t="s">
        <v>107</v>
      </c>
    </row>
    <row r="1440" spans="2:14" ht="17" x14ac:dyDescent="0.2">
      <c r="B1440" s="141" t="s">
        <v>87</v>
      </c>
      <c r="C1440" s="19" t="s">
        <v>40</v>
      </c>
      <c r="E1440" s="34" t="s">
        <v>0</v>
      </c>
      <c r="G1440" s="62" t="s">
        <v>41</v>
      </c>
      <c r="H1440" s="61">
        <v>18223</v>
      </c>
      <c r="N1440" s="67" t="s">
        <v>479</v>
      </c>
    </row>
    <row r="1441" spans="2:14" ht="32" x14ac:dyDescent="0.2">
      <c r="B1441" s="142" t="s">
        <v>102</v>
      </c>
      <c r="C1441" s="19" t="s">
        <v>40</v>
      </c>
      <c r="E1441" s="34" t="s">
        <v>0</v>
      </c>
      <c r="G1441" s="62" t="s">
        <v>41</v>
      </c>
      <c r="H1441" s="61">
        <v>18223</v>
      </c>
      <c r="N1441" s="67" t="s">
        <v>479</v>
      </c>
    </row>
    <row r="1442" spans="2:14" ht="48" x14ac:dyDescent="0.2">
      <c r="B1442" s="143" t="s">
        <v>113</v>
      </c>
      <c r="C1442" s="19" t="s">
        <v>40</v>
      </c>
      <c r="E1442" s="34" t="s">
        <v>0</v>
      </c>
      <c r="G1442" s="62" t="s">
        <v>41</v>
      </c>
      <c r="H1442" s="61">
        <v>18223</v>
      </c>
      <c r="N1442" s="67" t="s">
        <v>479</v>
      </c>
    </row>
    <row r="1443" spans="2:14" ht="17" x14ac:dyDescent="0.2">
      <c r="B1443" s="144" t="s">
        <v>96</v>
      </c>
      <c r="C1443" s="19" t="s">
        <v>40</v>
      </c>
      <c r="E1443" s="34" t="s">
        <v>0</v>
      </c>
      <c r="G1443" s="62" t="s">
        <v>41</v>
      </c>
      <c r="H1443" s="61">
        <v>18223</v>
      </c>
      <c r="N1443" s="67" t="s">
        <v>479</v>
      </c>
    </row>
    <row r="1444" spans="2:14" ht="32" x14ac:dyDescent="0.2">
      <c r="B1444" s="143" t="s">
        <v>97</v>
      </c>
      <c r="C1444" s="19" t="s">
        <v>40</v>
      </c>
      <c r="E1444" s="34" t="s">
        <v>0</v>
      </c>
      <c r="G1444" s="62" t="s">
        <v>41</v>
      </c>
      <c r="H1444" s="61">
        <v>18223</v>
      </c>
      <c r="N1444" s="67" t="s">
        <v>479</v>
      </c>
    </row>
    <row r="1445" spans="2:14" ht="32" x14ac:dyDescent="0.2">
      <c r="B1445" s="142" t="s">
        <v>114</v>
      </c>
      <c r="C1445" s="19" t="s">
        <v>40</v>
      </c>
      <c r="E1445" s="34" t="s">
        <v>0</v>
      </c>
      <c r="G1445" s="62" t="s">
        <v>41</v>
      </c>
      <c r="H1445" s="61">
        <v>18223</v>
      </c>
      <c r="N1445" s="67" t="s">
        <v>479</v>
      </c>
    </row>
    <row r="1446" spans="2:14" ht="17" x14ac:dyDescent="0.2">
      <c r="B1446" s="144" t="s">
        <v>99</v>
      </c>
      <c r="C1446" s="19" t="s">
        <v>40</v>
      </c>
      <c r="E1446" s="34" t="s">
        <v>0</v>
      </c>
      <c r="G1446" s="62" t="s">
        <v>41</v>
      </c>
      <c r="H1446" s="61">
        <v>18223</v>
      </c>
      <c r="N1446" s="67" t="s">
        <v>479</v>
      </c>
    </row>
    <row r="1447" spans="2:14" ht="17" x14ac:dyDescent="0.2">
      <c r="B1447" s="143" t="s">
        <v>115</v>
      </c>
      <c r="C1447" s="19" t="s">
        <v>40</v>
      </c>
      <c r="E1447" s="34" t="s">
        <v>0</v>
      </c>
      <c r="G1447" s="62" t="s">
        <v>41</v>
      </c>
      <c r="H1447" s="61">
        <v>18223</v>
      </c>
      <c r="N1447" s="67" t="s">
        <v>479</v>
      </c>
    </row>
    <row r="1448" spans="2:14" x14ac:dyDescent="0.2">
      <c r="B1448" s="251" t="s">
        <v>112</v>
      </c>
      <c r="C1448" s="252"/>
    </row>
    <row r="1449" spans="2:14" ht="17" x14ac:dyDescent="0.2">
      <c r="B1449" s="213" t="s">
        <v>87</v>
      </c>
      <c r="C1449" s="252" t="s">
        <v>40</v>
      </c>
      <c r="E1449" s="34" t="s">
        <v>0</v>
      </c>
      <c r="G1449" s="62" t="s">
        <v>41</v>
      </c>
      <c r="H1449" s="61">
        <v>18223</v>
      </c>
      <c r="N1449" s="67" t="s">
        <v>479</v>
      </c>
    </row>
    <row r="1450" spans="2:14" ht="32" x14ac:dyDescent="0.2">
      <c r="B1450" s="253" t="s">
        <v>102</v>
      </c>
      <c r="C1450" s="252" t="s">
        <v>40</v>
      </c>
      <c r="E1450" s="34" t="s">
        <v>0</v>
      </c>
      <c r="G1450" s="62" t="s">
        <v>41</v>
      </c>
      <c r="H1450" s="61">
        <v>18223</v>
      </c>
      <c r="N1450" s="67" t="s">
        <v>479</v>
      </c>
    </row>
    <row r="1451" spans="2:14" ht="48" x14ac:dyDescent="0.2">
      <c r="B1451" s="238" t="s">
        <v>280</v>
      </c>
      <c r="C1451" s="252" t="s">
        <v>40</v>
      </c>
      <c r="E1451" s="34" t="s">
        <v>0</v>
      </c>
      <c r="G1451" s="62" t="s">
        <v>41</v>
      </c>
      <c r="H1451" s="61">
        <v>18223</v>
      </c>
      <c r="N1451" s="67" t="s">
        <v>479</v>
      </c>
    </row>
    <row r="1452" spans="2:14" ht="17" x14ac:dyDescent="0.2">
      <c r="B1452" s="216" t="s">
        <v>96</v>
      </c>
      <c r="C1452" s="252" t="s">
        <v>40</v>
      </c>
      <c r="E1452" s="34" t="s">
        <v>0</v>
      </c>
      <c r="G1452" s="62" t="s">
        <v>41</v>
      </c>
      <c r="H1452" s="61">
        <v>18223</v>
      </c>
      <c r="N1452" s="67" t="s">
        <v>479</v>
      </c>
    </row>
    <row r="1453" spans="2:14" ht="32" x14ac:dyDescent="0.2">
      <c r="B1453" s="238" t="s">
        <v>281</v>
      </c>
      <c r="C1453" s="252" t="s">
        <v>40</v>
      </c>
      <c r="E1453" s="34" t="s">
        <v>0</v>
      </c>
      <c r="G1453" s="62" t="s">
        <v>41</v>
      </c>
      <c r="H1453" s="61">
        <v>18223</v>
      </c>
      <c r="N1453" s="67" t="s">
        <v>479</v>
      </c>
    </row>
    <row r="1454" spans="2:14" ht="32" x14ac:dyDescent="0.2">
      <c r="B1454" s="253" t="s">
        <v>282</v>
      </c>
      <c r="C1454" s="252" t="s">
        <v>40</v>
      </c>
      <c r="E1454" s="34" t="s">
        <v>0</v>
      </c>
      <c r="G1454" s="62" t="s">
        <v>41</v>
      </c>
      <c r="H1454" s="61">
        <v>18223</v>
      </c>
      <c r="N1454" s="67" t="s">
        <v>479</v>
      </c>
    </row>
    <row r="1455" spans="2:14" ht="17" x14ac:dyDescent="0.2">
      <c r="B1455" s="215" t="s">
        <v>99</v>
      </c>
      <c r="C1455" s="252" t="s">
        <v>40</v>
      </c>
      <c r="E1455" s="34" t="s">
        <v>0</v>
      </c>
      <c r="G1455" s="62" t="s">
        <v>41</v>
      </c>
      <c r="H1455" s="61">
        <v>18223</v>
      </c>
      <c r="N1455" s="67" t="s">
        <v>479</v>
      </c>
    </row>
    <row r="1456" spans="2:14" ht="32" x14ac:dyDescent="0.2">
      <c r="B1456" s="238" t="s">
        <v>358</v>
      </c>
      <c r="C1456" s="252" t="s">
        <v>40</v>
      </c>
      <c r="E1456" s="34" t="s">
        <v>0</v>
      </c>
      <c r="G1456" s="62" t="s">
        <v>41</v>
      </c>
      <c r="H1456" s="61">
        <v>18223</v>
      </c>
      <c r="N1456" s="67" t="s">
        <v>479</v>
      </c>
    </row>
    <row r="1457" spans="2:14" x14ac:dyDescent="0.2">
      <c r="B1457" s="251" t="s">
        <v>279</v>
      </c>
      <c r="C1457" s="252"/>
    </row>
    <row r="1458" spans="2:14" ht="17" x14ac:dyDescent="0.2">
      <c r="B1458" s="213" t="s">
        <v>87</v>
      </c>
      <c r="C1458" s="252" t="s">
        <v>40</v>
      </c>
      <c r="E1458" s="34" t="s">
        <v>0</v>
      </c>
      <c r="G1458" s="62" t="s">
        <v>41</v>
      </c>
      <c r="H1458" s="61">
        <v>18223</v>
      </c>
      <c r="N1458" s="67" t="s">
        <v>479</v>
      </c>
    </row>
    <row r="1459" spans="2:14" ht="32" x14ac:dyDescent="0.2">
      <c r="B1459" s="253" t="s">
        <v>102</v>
      </c>
      <c r="C1459" s="252" t="s">
        <v>40</v>
      </c>
      <c r="E1459" s="34" t="s">
        <v>0</v>
      </c>
      <c r="G1459" s="62" t="s">
        <v>41</v>
      </c>
      <c r="H1459" s="61">
        <v>18223</v>
      </c>
      <c r="N1459" s="67" t="s">
        <v>479</v>
      </c>
    </row>
    <row r="1460" spans="2:14" ht="48" x14ac:dyDescent="0.2">
      <c r="B1460" s="238" t="s">
        <v>323</v>
      </c>
      <c r="C1460" s="252" t="s">
        <v>40</v>
      </c>
      <c r="E1460" s="34" t="s">
        <v>0</v>
      </c>
      <c r="G1460" s="62" t="s">
        <v>41</v>
      </c>
      <c r="H1460" s="61">
        <v>18223</v>
      </c>
      <c r="N1460" s="67" t="s">
        <v>479</v>
      </c>
    </row>
    <row r="1461" spans="2:14" ht="17" x14ac:dyDescent="0.2">
      <c r="B1461" s="216" t="s">
        <v>96</v>
      </c>
      <c r="C1461" s="252" t="s">
        <v>40</v>
      </c>
      <c r="E1461" s="34" t="s">
        <v>0</v>
      </c>
      <c r="G1461" s="62" t="s">
        <v>41</v>
      </c>
      <c r="H1461" s="61">
        <v>18223</v>
      </c>
      <c r="N1461" s="67" t="s">
        <v>479</v>
      </c>
    </row>
    <row r="1462" spans="2:14" ht="32" x14ac:dyDescent="0.2">
      <c r="B1462" s="238" t="s">
        <v>97</v>
      </c>
      <c r="C1462" s="252" t="s">
        <v>40</v>
      </c>
      <c r="E1462" s="34" t="s">
        <v>0</v>
      </c>
      <c r="G1462" s="62" t="s">
        <v>41</v>
      </c>
      <c r="H1462" s="61">
        <v>18223</v>
      </c>
      <c r="N1462" s="67" t="s">
        <v>479</v>
      </c>
    </row>
    <row r="1463" spans="2:14" ht="32" x14ac:dyDescent="0.2">
      <c r="B1463" s="253" t="s">
        <v>324</v>
      </c>
      <c r="C1463" s="252" t="s">
        <v>40</v>
      </c>
      <c r="E1463" s="34" t="s">
        <v>0</v>
      </c>
      <c r="G1463" s="62" t="s">
        <v>41</v>
      </c>
      <c r="H1463" s="61">
        <v>18223</v>
      </c>
      <c r="N1463" s="67" t="s">
        <v>479</v>
      </c>
    </row>
    <row r="1464" spans="2:14" ht="17" x14ac:dyDescent="0.2">
      <c r="B1464" s="215" t="s">
        <v>99</v>
      </c>
      <c r="C1464" s="252" t="s">
        <v>40</v>
      </c>
      <c r="E1464" s="34" t="s">
        <v>0</v>
      </c>
      <c r="G1464" s="62" t="s">
        <v>41</v>
      </c>
      <c r="H1464" s="61">
        <v>18223</v>
      </c>
      <c r="N1464" s="67" t="s">
        <v>479</v>
      </c>
    </row>
    <row r="1465" spans="2:14" ht="17" x14ac:dyDescent="0.2">
      <c r="B1465" s="217" t="s">
        <v>452</v>
      </c>
      <c r="C1465" s="252" t="s">
        <v>40</v>
      </c>
      <c r="E1465" s="34" t="s">
        <v>0</v>
      </c>
      <c r="G1465" s="62" t="s">
        <v>41</v>
      </c>
      <c r="H1465" s="61">
        <v>18223</v>
      </c>
      <c r="N1465" s="67" t="s">
        <v>479</v>
      </c>
    </row>
    <row r="1466" spans="2:14" ht="17" x14ac:dyDescent="0.2">
      <c r="B1466" s="128" t="s">
        <v>121</v>
      </c>
      <c r="C1466" s="19"/>
    </row>
    <row r="1467" spans="2:14" ht="17" x14ac:dyDescent="0.2">
      <c r="B1467" s="145" t="s">
        <v>122</v>
      </c>
      <c r="C1467" s="19" t="s">
        <v>40</v>
      </c>
      <c r="E1467" s="34" t="s">
        <v>0</v>
      </c>
      <c r="G1467" s="62" t="s">
        <v>41</v>
      </c>
      <c r="H1467" s="61">
        <v>18223</v>
      </c>
      <c r="N1467" s="67" t="s">
        <v>479</v>
      </c>
    </row>
    <row r="1468" spans="2:14" ht="17" x14ac:dyDescent="0.2">
      <c r="B1468" s="167" t="s">
        <v>123</v>
      </c>
      <c r="C1468" s="19" t="s">
        <v>40</v>
      </c>
      <c r="E1468" s="34" t="s">
        <v>0</v>
      </c>
      <c r="G1468" s="62" t="s">
        <v>41</v>
      </c>
      <c r="H1468" s="61">
        <v>18223</v>
      </c>
      <c r="N1468" s="67" t="s">
        <v>479</v>
      </c>
    </row>
    <row r="1469" spans="2:14" ht="34" x14ac:dyDescent="0.2">
      <c r="B1469" s="167" t="s">
        <v>590</v>
      </c>
      <c r="C1469" s="19" t="s">
        <v>40</v>
      </c>
      <c r="E1469" s="34" t="s">
        <v>0</v>
      </c>
      <c r="G1469" s="62" t="s">
        <v>41</v>
      </c>
      <c r="H1469" s="61">
        <v>18223</v>
      </c>
      <c r="N1469" s="67" t="s">
        <v>479</v>
      </c>
    </row>
    <row r="1470" spans="2:14" ht="17" x14ac:dyDescent="0.2">
      <c r="B1470" s="248" t="s">
        <v>125</v>
      </c>
      <c r="C1470" s="19" t="s">
        <v>40</v>
      </c>
      <c r="E1470" s="34" t="s">
        <v>0</v>
      </c>
      <c r="G1470" s="62" t="s">
        <v>41</v>
      </c>
      <c r="H1470" s="61">
        <v>18223</v>
      </c>
      <c r="N1470" s="67" t="s">
        <v>479</v>
      </c>
    </row>
    <row r="1471" spans="2:14" ht="17" x14ac:dyDescent="0.2">
      <c r="B1471" s="145" t="s">
        <v>126</v>
      </c>
      <c r="C1471" s="19" t="s">
        <v>40</v>
      </c>
      <c r="E1471" s="34" t="s">
        <v>0</v>
      </c>
      <c r="G1471" s="62" t="s">
        <v>41</v>
      </c>
      <c r="H1471" s="61">
        <v>18223</v>
      </c>
      <c r="N1471" s="67" t="s">
        <v>479</v>
      </c>
    </row>
    <row r="1472" spans="2:14" ht="17" x14ac:dyDescent="0.2">
      <c r="B1472" s="166" t="s">
        <v>591</v>
      </c>
      <c r="C1472" s="19" t="s">
        <v>40</v>
      </c>
      <c r="E1472" s="34" t="s">
        <v>0</v>
      </c>
      <c r="G1472" s="62" t="s">
        <v>41</v>
      </c>
      <c r="H1472" s="61">
        <v>18223</v>
      </c>
      <c r="N1472" s="67" t="s">
        <v>479</v>
      </c>
    </row>
    <row r="1473" spans="2:14" ht="17" x14ac:dyDescent="0.2">
      <c r="B1473" s="166" t="s">
        <v>362</v>
      </c>
      <c r="C1473" s="19" t="s">
        <v>40</v>
      </c>
      <c r="E1473" s="34" t="s">
        <v>0</v>
      </c>
      <c r="G1473" s="62" t="s">
        <v>41</v>
      </c>
      <c r="H1473" s="61">
        <v>18223</v>
      </c>
      <c r="N1473" s="67" t="s">
        <v>479</v>
      </c>
    </row>
    <row r="1474" spans="2:14" ht="17" x14ac:dyDescent="0.2">
      <c r="B1474" s="220" t="s">
        <v>129</v>
      </c>
      <c r="C1474" s="19" t="s">
        <v>40</v>
      </c>
      <c r="E1474" s="34" t="s">
        <v>0</v>
      </c>
      <c r="G1474" s="62" t="s">
        <v>41</v>
      </c>
      <c r="H1474" s="61">
        <v>18223</v>
      </c>
      <c r="N1474" s="67" t="s">
        <v>479</v>
      </c>
    </row>
    <row r="1475" spans="2:14" ht="17" x14ac:dyDescent="0.2">
      <c r="B1475" s="166" t="s">
        <v>400</v>
      </c>
      <c r="C1475" s="19" t="s">
        <v>40</v>
      </c>
      <c r="E1475" s="34" t="s">
        <v>0</v>
      </c>
      <c r="G1475" s="62" t="s">
        <v>41</v>
      </c>
      <c r="H1475" s="61">
        <v>18223</v>
      </c>
      <c r="N1475" s="67" t="s">
        <v>479</v>
      </c>
    </row>
    <row r="1476" spans="2:14" ht="17" x14ac:dyDescent="0.2">
      <c r="B1476" s="168" t="s">
        <v>571</v>
      </c>
      <c r="C1476" s="19" t="s">
        <v>40</v>
      </c>
      <c r="E1476" s="34" t="s">
        <v>0</v>
      </c>
      <c r="G1476" s="62" t="s">
        <v>41</v>
      </c>
      <c r="H1476" s="61">
        <v>18223</v>
      </c>
      <c r="N1476" s="67" t="s">
        <v>479</v>
      </c>
    </row>
    <row r="1477" spans="2:14" ht="17" x14ac:dyDescent="0.2">
      <c r="B1477" s="247" t="s">
        <v>132</v>
      </c>
      <c r="C1477" s="19" t="s">
        <v>40</v>
      </c>
      <c r="E1477" s="34" t="s">
        <v>0</v>
      </c>
      <c r="G1477" s="62" t="s">
        <v>41</v>
      </c>
      <c r="H1477" s="61">
        <v>18223</v>
      </c>
      <c r="N1477" s="67" t="s">
        <v>479</v>
      </c>
    </row>
    <row r="1478" spans="2:14" ht="17" x14ac:dyDescent="0.2">
      <c r="B1478" s="247" t="s">
        <v>134</v>
      </c>
      <c r="C1478" s="19" t="s">
        <v>40</v>
      </c>
      <c r="E1478" s="34" t="s">
        <v>0</v>
      </c>
      <c r="G1478" s="62" t="s">
        <v>41</v>
      </c>
      <c r="H1478" s="61">
        <v>18223</v>
      </c>
      <c r="N1478" s="67" t="s">
        <v>479</v>
      </c>
    </row>
    <row r="1479" spans="2:14" ht="17" x14ac:dyDescent="0.2">
      <c r="B1479" s="247" t="s">
        <v>136</v>
      </c>
      <c r="C1479" s="19" t="s">
        <v>40</v>
      </c>
      <c r="E1479" s="34" t="s">
        <v>0</v>
      </c>
      <c r="G1479" s="62" t="s">
        <v>41</v>
      </c>
      <c r="H1479" s="61">
        <v>18223</v>
      </c>
      <c r="N1479" s="67" t="s">
        <v>479</v>
      </c>
    </row>
    <row r="1480" spans="2:14" ht="23" x14ac:dyDescent="0.3">
      <c r="B1480" s="148" t="s">
        <v>137</v>
      </c>
      <c r="C1480" s="19"/>
    </row>
    <row r="1481" spans="2:14" ht="23" x14ac:dyDescent="0.3">
      <c r="B1481" s="148" t="s">
        <v>138</v>
      </c>
      <c r="C1481" s="19"/>
    </row>
    <row r="1482" spans="2:14" ht="17" x14ac:dyDescent="0.2">
      <c r="B1482" s="168" t="s">
        <v>546</v>
      </c>
      <c r="C1482" s="19" t="s">
        <v>40</v>
      </c>
      <c r="E1482" s="34" t="s">
        <v>0</v>
      </c>
      <c r="G1482" s="62" t="s">
        <v>41</v>
      </c>
      <c r="H1482" s="61">
        <v>18223</v>
      </c>
      <c r="N1482" s="67" t="s">
        <v>479</v>
      </c>
    </row>
    <row r="1483" spans="2:14" ht="34" x14ac:dyDescent="0.2">
      <c r="B1483" s="168" t="s">
        <v>538</v>
      </c>
      <c r="C1483" s="19" t="s">
        <v>40</v>
      </c>
      <c r="E1483" s="34" t="s">
        <v>0</v>
      </c>
      <c r="G1483" s="62" t="s">
        <v>41</v>
      </c>
      <c r="H1483" s="61">
        <v>18223</v>
      </c>
      <c r="N1483" s="67" t="s">
        <v>479</v>
      </c>
    </row>
    <row r="1484" spans="2:14" ht="17" x14ac:dyDescent="0.2">
      <c r="B1484" s="168" t="s">
        <v>547</v>
      </c>
      <c r="C1484" s="19" t="s">
        <v>40</v>
      </c>
      <c r="E1484" s="34" t="s">
        <v>0</v>
      </c>
      <c r="G1484" s="62" t="s">
        <v>41</v>
      </c>
      <c r="H1484" s="61">
        <v>18223</v>
      </c>
      <c r="N1484" s="67" t="s">
        <v>479</v>
      </c>
    </row>
    <row r="1485" spans="2:14" ht="17" x14ac:dyDescent="0.2">
      <c r="B1485" s="168" t="s">
        <v>539</v>
      </c>
      <c r="C1485" s="19" t="s">
        <v>40</v>
      </c>
      <c r="E1485" s="34" t="s">
        <v>0</v>
      </c>
      <c r="G1485" s="62" t="s">
        <v>41</v>
      </c>
      <c r="H1485" s="61">
        <v>18223</v>
      </c>
      <c r="N1485" s="67" t="s">
        <v>479</v>
      </c>
    </row>
    <row r="1486" spans="2:14" ht="17" x14ac:dyDescent="0.2">
      <c r="B1486" s="147" t="s">
        <v>143</v>
      </c>
      <c r="C1486" s="19" t="s">
        <v>40</v>
      </c>
      <c r="E1486" s="34" t="s">
        <v>0</v>
      </c>
      <c r="G1486" s="62" t="s">
        <v>41</v>
      </c>
      <c r="H1486" s="61">
        <v>18223</v>
      </c>
      <c r="N1486" s="67" t="s">
        <v>479</v>
      </c>
    </row>
    <row r="1487" spans="2:14" ht="23" x14ac:dyDescent="0.3">
      <c r="B1487" s="148" t="s">
        <v>144</v>
      </c>
      <c r="C1487" s="19"/>
    </row>
    <row r="1488" spans="2:14" ht="17" x14ac:dyDescent="0.2">
      <c r="B1488" s="147" t="s">
        <v>145</v>
      </c>
      <c r="C1488" s="19" t="s">
        <v>40</v>
      </c>
      <c r="E1488" s="34" t="s">
        <v>0</v>
      </c>
      <c r="G1488" s="62" t="s">
        <v>41</v>
      </c>
      <c r="H1488" s="61">
        <v>18223</v>
      </c>
      <c r="N1488" s="67" t="s">
        <v>479</v>
      </c>
    </row>
    <row r="1489" spans="2:14" ht="17" x14ac:dyDescent="0.2">
      <c r="B1489" s="147" t="s">
        <v>592</v>
      </c>
      <c r="C1489" s="19" t="s">
        <v>40</v>
      </c>
      <c r="E1489" s="34" t="s">
        <v>0</v>
      </c>
      <c r="G1489" s="62" t="s">
        <v>41</v>
      </c>
      <c r="H1489" s="61">
        <v>18223</v>
      </c>
      <c r="N1489" s="67" t="s">
        <v>479</v>
      </c>
    </row>
    <row r="1490" spans="2:14" ht="34" x14ac:dyDescent="0.2">
      <c r="B1490" s="147" t="s">
        <v>593</v>
      </c>
      <c r="C1490" s="19" t="s">
        <v>40</v>
      </c>
      <c r="E1490" s="34" t="s">
        <v>0</v>
      </c>
      <c r="G1490" s="62" t="s">
        <v>41</v>
      </c>
      <c r="H1490" s="61">
        <v>18223</v>
      </c>
      <c r="N1490" s="67" t="s">
        <v>479</v>
      </c>
    </row>
    <row r="1491" spans="2:14" ht="17" x14ac:dyDescent="0.2">
      <c r="B1491" s="168" t="s">
        <v>241</v>
      </c>
      <c r="C1491" s="19" t="s">
        <v>40</v>
      </c>
      <c r="E1491" s="34" t="s">
        <v>0</v>
      </c>
      <c r="G1491" s="62" t="s">
        <v>41</v>
      </c>
      <c r="H1491" s="61">
        <v>18223</v>
      </c>
      <c r="N1491" s="67" t="s">
        <v>479</v>
      </c>
    </row>
    <row r="1492" spans="2:14" ht="17" x14ac:dyDescent="0.2">
      <c r="B1492" s="147" t="s">
        <v>149</v>
      </c>
      <c r="C1492" s="19" t="s">
        <v>40</v>
      </c>
      <c r="E1492" s="34" t="s">
        <v>0</v>
      </c>
      <c r="G1492" s="62" t="s">
        <v>41</v>
      </c>
      <c r="H1492" s="61">
        <v>18223</v>
      </c>
      <c r="N1492" s="67" t="s">
        <v>479</v>
      </c>
    </row>
    <row r="1493" spans="2:14" ht="20" x14ac:dyDescent="0.2">
      <c r="B1493" s="177" t="s">
        <v>51</v>
      </c>
      <c r="C1493" s="19"/>
    </row>
    <row r="1494" spans="2:14" ht="17" x14ac:dyDescent="0.2">
      <c r="B1494" s="128" t="s">
        <v>342</v>
      </c>
    </row>
    <row r="1495" spans="2:14" ht="17" x14ac:dyDescent="0.2">
      <c r="B1495" s="132" t="s">
        <v>60</v>
      </c>
      <c r="C1495" s="19"/>
    </row>
    <row r="1496" spans="2:14" ht="17" x14ac:dyDescent="0.2">
      <c r="B1496" s="135" t="s">
        <v>61</v>
      </c>
      <c r="C1496" s="19" t="s">
        <v>40</v>
      </c>
      <c r="E1496" s="34" t="s">
        <v>0</v>
      </c>
      <c r="G1496" s="62" t="s">
        <v>41</v>
      </c>
      <c r="H1496" s="61">
        <v>18223</v>
      </c>
      <c r="N1496" s="67" t="s">
        <v>479</v>
      </c>
    </row>
    <row r="1497" spans="2:14" ht="17" x14ac:dyDescent="0.2">
      <c r="B1497" s="136" t="s">
        <v>62</v>
      </c>
      <c r="C1497" s="19" t="s">
        <v>40</v>
      </c>
      <c r="E1497" s="34" t="s">
        <v>0</v>
      </c>
      <c r="G1497" s="62" t="s">
        <v>41</v>
      </c>
      <c r="H1497" s="61">
        <v>18223</v>
      </c>
      <c r="N1497" s="67" t="s">
        <v>479</v>
      </c>
    </row>
    <row r="1498" spans="2:14" ht="96" x14ac:dyDescent="0.2">
      <c r="B1498" s="211" t="s">
        <v>63</v>
      </c>
      <c r="C1498" s="19" t="s">
        <v>40</v>
      </c>
      <c r="E1498" s="34" t="s">
        <v>0</v>
      </c>
      <c r="G1498" s="62" t="s">
        <v>41</v>
      </c>
      <c r="H1498" s="61">
        <v>18223</v>
      </c>
      <c r="N1498" s="67" t="s">
        <v>479</v>
      </c>
    </row>
    <row r="1499" spans="2:14" ht="17" x14ac:dyDescent="0.2">
      <c r="B1499" s="136" t="s">
        <v>64</v>
      </c>
      <c r="C1499" s="19" t="s">
        <v>40</v>
      </c>
      <c r="E1499" s="34" t="s">
        <v>0</v>
      </c>
      <c r="G1499" s="62" t="s">
        <v>41</v>
      </c>
      <c r="H1499" s="61">
        <v>18223</v>
      </c>
      <c r="N1499" s="67" t="s">
        <v>479</v>
      </c>
    </row>
    <row r="1500" spans="2:14" ht="20" x14ac:dyDescent="0.25">
      <c r="B1500" s="149" t="s">
        <v>150</v>
      </c>
      <c r="C1500" s="19"/>
    </row>
    <row r="1501" spans="2:14" x14ac:dyDescent="0.2">
      <c r="B1501" s="150" t="s">
        <v>151</v>
      </c>
      <c r="C1501" s="19"/>
    </row>
    <row r="1502" spans="2:14" ht="17" x14ac:dyDescent="0.2">
      <c r="B1502" s="151" t="s">
        <v>152</v>
      </c>
      <c r="C1502" s="19" t="s">
        <v>40</v>
      </c>
      <c r="E1502" s="34" t="s">
        <v>0</v>
      </c>
      <c r="G1502" s="62" t="s">
        <v>41</v>
      </c>
      <c r="H1502" s="61">
        <v>18223</v>
      </c>
      <c r="N1502" s="67" t="s">
        <v>479</v>
      </c>
    </row>
    <row r="1503" spans="2:14" ht="17" x14ac:dyDescent="0.2">
      <c r="B1503" s="151" t="s">
        <v>153</v>
      </c>
      <c r="C1503" s="19" t="s">
        <v>40</v>
      </c>
      <c r="E1503" s="34" t="s">
        <v>0</v>
      </c>
      <c r="G1503" s="62" t="s">
        <v>41</v>
      </c>
      <c r="H1503" s="61">
        <v>18223</v>
      </c>
      <c r="N1503" s="67" t="s">
        <v>479</v>
      </c>
    </row>
    <row r="1504" spans="2:14" ht="17" x14ac:dyDescent="0.2">
      <c r="B1504" s="152" t="s">
        <v>154</v>
      </c>
      <c r="C1504" s="19" t="s">
        <v>40</v>
      </c>
      <c r="E1504" s="34" t="s">
        <v>0</v>
      </c>
      <c r="G1504" s="62" t="s">
        <v>41</v>
      </c>
      <c r="H1504" s="61">
        <v>18223</v>
      </c>
      <c r="N1504" s="67" t="s">
        <v>479</v>
      </c>
    </row>
    <row r="1505" spans="2:14" ht="17" x14ac:dyDescent="0.2">
      <c r="B1505" s="143" t="s">
        <v>155</v>
      </c>
      <c r="C1505" s="19" t="s">
        <v>40</v>
      </c>
      <c r="E1505" s="34" t="s">
        <v>0</v>
      </c>
      <c r="G1505" s="62" t="s">
        <v>41</v>
      </c>
      <c r="H1505" s="61">
        <v>18223</v>
      </c>
      <c r="N1505" s="67" t="s">
        <v>479</v>
      </c>
    </row>
    <row r="1506" spans="2:14" x14ac:dyDescent="0.2">
      <c r="B1506" s="153" t="s">
        <v>156</v>
      </c>
    </row>
    <row r="1507" spans="2:14" x14ac:dyDescent="0.2">
      <c r="B1507" s="153" t="s">
        <v>157</v>
      </c>
      <c r="C1507" s="19"/>
    </row>
    <row r="1508" spans="2:14" ht="17" x14ac:dyDescent="0.2">
      <c r="B1508" s="154" t="s">
        <v>158</v>
      </c>
      <c r="C1508" s="19" t="s">
        <v>40</v>
      </c>
      <c r="E1508" s="34" t="s">
        <v>0</v>
      </c>
      <c r="G1508" s="62" t="s">
        <v>41</v>
      </c>
      <c r="H1508" s="61">
        <v>18223</v>
      </c>
      <c r="N1508" s="67" t="s">
        <v>479</v>
      </c>
    </row>
    <row r="1509" spans="2:14" ht="17" x14ac:dyDescent="0.2">
      <c r="B1509" s="155" t="s">
        <v>159</v>
      </c>
      <c r="C1509" s="19" t="s">
        <v>40</v>
      </c>
      <c r="E1509" s="34" t="s">
        <v>0</v>
      </c>
      <c r="G1509" s="62" t="s">
        <v>41</v>
      </c>
      <c r="H1509" s="61">
        <v>18223</v>
      </c>
      <c r="N1509" s="67" t="s">
        <v>479</v>
      </c>
    </row>
    <row r="1510" spans="2:14" ht="17" x14ac:dyDescent="0.2">
      <c r="B1510" s="151" t="s">
        <v>160</v>
      </c>
      <c r="C1510" s="19" t="s">
        <v>40</v>
      </c>
      <c r="E1510" s="34" t="s">
        <v>0</v>
      </c>
      <c r="G1510" s="62" t="s">
        <v>41</v>
      </c>
      <c r="H1510" s="61">
        <v>18223</v>
      </c>
      <c r="N1510" s="67" t="s">
        <v>479</v>
      </c>
    </row>
    <row r="1511" spans="2:14" x14ac:dyDescent="0.2">
      <c r="B1511" s="153" t="s">
        <v>161</v>
      </c>
      <c r="C1511" s="19"/>
    </row>
    <row r="1512" spans="2:14" x14ac:dyDescent="0.2">
      <c r="B1512" s="156" t="s">
        <v>162</v>
      </c>
      <c r="C1512" s="19"/>
    </row>
    <row r="1513" spans="2:14" ht="48" x14ac:dyDescent="0.2">
      <c r="B1513" s="151" t="s">
        <v>163</v>
      </c>
      <c r="C1513" s="19" t="s">
        <v>40</v>
      </c>
      <c r="E1513" s="34" t="s">
        <v>0</v>
      </c>
      <c r="G1513" s="62" t="s">
        <v>41</v>
      </c>
      <c r="H1513" s="61">
        <v>18223</v>
      </c>
      <c r="N1513" s="67" t="s">
        <v>479</v>
      </c>
    </row>
    <row r="1514" spans="2:14" ht="17" x14ac:dyDescent="0.2">
      <c r="B1514" s="138" t="s">
        <v>164</v>
      </c>
      <c r="C1514" s="19" t="s">
        <v>40</v>
      </c>
      <c r="E1514" s="34" t="s">
        <v>0</v>
      </c>
      <c r="G1514" s="62" t="s">
        <v>41</v>
      </c>
      <c r="H1514" s="61">
        <v>18223</v>
      </c>
      <c r="N1514" s="67" t="s">
        <v>479</v>
      </c>
    </row>
    <row r="1515" spans="2:14" x14ac:dyDescent="0.2">
      <c r="B1515" s="156" t="s">
        <v>165</v>
      </c>
      <c r="C1515" s="19"/>
    </row>
    <row r="1516" spans="2:14" ht="48" x14ac:dyDescent="0.2">
      <c r="B1516" s="151" t="s">
        <v>166</v>
      </c>
      <c r="C1516" s="19" t="s">
        <v>40</v>
      </c>
      <c r="E1516" s="34" t="s">
        <v>0</v>
      </c>
      <c r="G1516" s="62" t="s">
        <v>41</v>
      </c>
      <c r="H1516" s="61">
        <v>18223</v>
      </c>
      <c r="N1516" s="67" t="s">
        <v>479</v>
      </c>
    </row>
    <row r="1517" spans="2:14" ht="17" x14ac:dyDescent="0.2">
      <c r="B1517" s="138" t="s">
        <v>167</v>
      </c>
      <c r="C1517" s="19" t="s">
        <v>40</v>
      </c>
      <c r="E1517" s="34" t="s">
        <v>0</v>
      </c>
      <c r="G1517" s="62" t="s">
        <v>41</v>
      </c>
      <c r="H1517" s="61">
        <v>18223</v>
      </c>
      <c r="N1517" s="67" t="s">
        <v>479</v>
      </c>
    </row>
    <row r="1518" spans="2:14" x14ac:dyDescent="0.2">
      <c r="B1518" s="157" t="s">
        <v>168</v>
      </c>
    </row>
    <row r="1519" spans="2:14" ht="51" x14ac:dyDescent="0.2">
      <c r="B1519" s="158" t="s">
        <v>169</v>
      </c>
      <c r="C1519" s="19" t="s">
        <v>40</v>
      </c>
      <c r="E1519" s="34" t="s">
        <v>0</v>
      </c>
      <c r="G1519" s="62" t="s">
        <v>41</v>
      </c>
      <c r="H1519" s="61">
        <v>18223</v>
      </c>
      <c r="N1519" s="67" t="s">
        <v>479</v>
      </c>
    </row>
    <row r="1520" spans="2:14" ht="17" x14ac:dyDescent="0.2">
      <c r="B1520" s="159" t="s">
        <v>594</v>
      </c>
      <c r="C1520" s="19" t="s">
        <v>40</v>
      </c>
      <c r="E1520" s="34" t="s">
        <v>0</v>
      </c>
      <c r="G1520" s="62" t="s">
        <v>41</v>
      </c>
      <c r="H1520" s="61">
        <v>18223</v>
      </c>
      <c r="N1520" s="67" t="s">
        <v>479</v>
      </c>
    </row>
    <row r="1521" spans="2:14" x14ac:dyDescent="0.2">
      <c r="B1521" s="157" t="s">
        <v>171</v>
      </c>
      <c r="C1521" s="19"/>
    </row>
    <row r="1522" spans="2:14" ht="48" x14ac:dyDescent="0.2">
      <c r="B1522" s="144" t="s">
        <v>172</v>
      </c>
      <c r="C1522" s="19" t="s">
        <v>40</v>
      </c>
      <c r="E1522" s="34" t="s">
        <v>0</v>
      </c>
      <c r="G1522" s="62" t="s">
        <v>41</v>
      </c>
      <c r="H1522" s="61">
        <v>18223</v>
      </c>
      <c r="N1522" s="67" t="s">
        <v>479</v>
      </c>
    </row>
    <row r="1523" spans="2:14" ht="17" x14ac:dyDescent="0.2">
      <c r="B1523" s="160" t="s">
        <v>173</v>
      </c>
      <c r="C1523" s="19" t="s">
        <v>40</v>
      </c>
      <c r="E1523" s="34" t="s">
        <v>0</v>
      </c>
      <c r="G1523" s="62" t="s">
        <v>41</v>
      </c>
      <c r="H1523" s="61">
        <v>18223</v>
      </c>
      <c r="N1523" s="67" t="s">
        <v>479</v>
      </c>
    </row>
    <row r="1524" spans="2:14" ht="17" x14ac:dyDescent="0.2">
      <c r="B1524" s="161" t="s">
        <v>174</v>
      </c>
    </row>
    <row r="1525" spans="2:14" ht="51" x14ac:dyDescent="0.2">
      <c r="B1525" s="161" t="s">
        <v>175</v>
      </c>
      <c r="C1525" s="19"/>
    </row>
    <row r="1526" spans="2:14" ht="17" x14ac:dyDescent="0.2">
      <c r="B1526" s="131" t="s">
        <v>176</v>
      </c>
      <c r="C1526" s="19" t="s">
        <v>40</v>
      </c>
      <c r="E1526" s="34" t="s">
        <v>0</v>
      </c>
      <c r="G1526" s="62" t="s">
        <v>41</v>
      </c>
      <c r="H1526" s="61">
        <v>18223</v>
      </c>
      <c r="N1526" s="67" t="s">
        <v>479</v>
      </c>
    </row>
    <row r="1527" spans="2:14" ht="17" x14ac:dyDescent="0.2">
      <c r="B1527" s="160" t="s">
        <v>177</v>
      </c>
      <c r="C1527" s="19" t="s">
        <v>40</v>
      </c>
      <c r="E1527" s="34" t="s">
        <v>0</v>
      </c>
      <c r="G1527" s="62" t="s">
        <v>41</v>
      </c>
      <c r="H1527" s="61">
        <v>18223</v>
      </c>
      <c r="N1527" s="67" t="s">
        <v>479</v>
      </c>
    </row>
    <row r="1528" spans="2:14" ht="17" x14ac:dyDescent="0.2">
      <c r="B1528" s="131" t="s">
        <v>178</v>
      </c>
      <c r="C1528" s="19" t="s">
        <v>40</v>
      </c>
      <c r="E1528" s="34" t="s">
        <v>0</v>
      </c>
      <c r="G1528" s="62" t="s">
        <v>41</v>
      </c>
      <c r="H1528" s="61">
        <v>18223</v>
      </c>
      <c r="N1528" s="67" t="s">
        <v>479</v>
      </c>
    </row>
    <row r="1529" spans="2:14" ht="68" x14ac:dyDescent="0.2">
      <c r="B1529" s="165" t="s">
        <v>595</v>
      </c>
      <c r="C1529" s="19" t="s">
        <v>40</v>
      </c>
      <c r="E1529" s="34" t="s">
        <v>0</v>
      </c>
      <c r="G1529" s="62" t="s">
        <v>41</v>
      </c>
      <c r="H1529" s="61">
        <v>18223</v>
      </c>
      <c r="N1529" s="67" t="s">
        <v>479</v>
      </c>
    </row>
    <row r="1530" spans="2:14" ht="17" x14ac:dyDescent="0.2">
      <c r="B1530" s="131" t="s">
        <v>180</v>
      </c>
      <c r="C1530" s="19" t="s">
        <v>40</v>
      </c>
      <c r="E1530" s="34" t="s">
        <v>0</v>
      </c>
      <c r="G1530" s="62" t="s">
        <v>41</v>
      </c>
      <c r="H1530" s="61">
        <v>18223</v>
      </c>
      <c r="N1530" s="67" t="s">
        <v>479</v>
      </c>
    </row>
    <row r="1531" spans="2:14" ht="68" x14ac:dyDescent="0.2">
      <c r="B1531" s="165" t="s">
        <v>596</v>
      </c>
      <c r="C1531" s="19" t="s">
        <v>40</v>
      </c>
      <c r="E1531" s="34" t="s">
        <v>0</v>
      </c>
      <c r="G1531" s="62" t="s">
        <v>41</v>
      </c>
      <c r="H1531" s="61">
        <v>18223</v>
      </c>
      <c r="N1531" s="67" t="s">
        <v>479</v>
      </c>
    </row>
    <row r="1532" spans="2:14" ht="17" x14ac:dyDescent="0.2">
      <c r="B1532" s="160" t="s">
        <v>182</v>
      </c>
      <c r="C1532" s="19" t="s">
        <v>40</v>
      </c>
      <c r="E1532" s="34" t="s">
        <v>0</v>
      </c>
      <c r="G1532" s="62" t="s">
        <v>41</v>
      </c>
      <c r="H1532" s="61">
        <v>18223</v>
      </c>
      <c r="N1532" s="67" t="s">
        <v>479</v>
      </c>
    </row>
    <row r="1533" spans="2:14" ht="68" x14ac:dyDescent="0.2">
      <c r="B1533" s="160" t="s">
        <v>597</v>
      </c>
      <c r="C1533" s="19" t="s">
        <v>40</v>
      </c>
      <c r="E1533" s="34" t="s">
        <v>0</v>
      </c>
      <c r="G1533" s="62" t="s">
        <v>41</v>
      </c>
      <c r="H1533" s="61">
        <v>18223</v>
      </c>
      <c r="N1533" s="67" t="s">
        <v>479</v>
      </c>
    </row>
    <row r="1534" spans="2:14" ht="17" x14ac:dyDescent="0.2">
      <c r="B1534" s="162" t="s">
        <v>184</v>
      </c>
      <c r="C1534" s="19" t="s">
        <v>40</v>
      </c>
      <c r="E1534" s="34" t="s">
        <v>0</v>
      </c>
      <c r="G1534" s="62" t="s">
        <v>41</v>
      </c>
      <c r="H1534" s="61">
        <v>18223</v>
      </c>
      <c r="N1534" s="67" t="s">
        <v>479</v>
      </c>
    </row>
    <row r="1535" spans="2:14" ht="17" x14ac:dyDescent="0.2">
      <c r="B1535" s="162" t="s">
        <v>185</v>
      </c>
      <c r="C1535" s="19" t="s">
        <v>40</v>
      </c>
      <c r="E1535" s="34" t="s">
        <v>0</v>
      </c>
      <c r="G1535" s="62" t="s">
        <v>41</v>
      </c>
      <c r="H1535" s="61">
        <v>18223</v>
      </c>
      <c r="N1535" s="67" t="s">
        <v>479</v>
      </c>
    </row>
    <row r="1539" spans="2:14" ht="69" x14ac:dyDescent="0.2">
      <c r="B1539" s="126" t="s">
        <v>598</v>
      </c>
      <c r="C1539" s="19"/>
    </row>
    <row r="1540" spans="2:14" ht="17" x14ac:dyDescent="0.2">
      <c r="B1540" s="127" t="s">
        <v>31</v>
      </c>
      <c r="C1540" s="19"/>
    </row>
    <row r="1541" spans="2:14" ht="17" x14ac:dyDescent="0.2">
      <c r="B1541" s="127" t="s">
        <v>328</v>
      </c>
    </row>
    <row r="1542" spans="2:14" ht="17" x14ac:dyDescent="0.2">
      <c r="B1542" s="128" t="s">
        <v>33</v>
      </c>
    </row>
    <row r="1543" spans="2:14" ht="17" x14ac:dyDescent="0.2">
      <c r="B1543" s="127" t="s">
        <v>34</v>
      </c>
      <c r="C1543" s="19"/>
    </row>
    <row r="1544" spans="2:14" ht="17" x14ac:dyDescent="0.2">
      <c r="B1544" s="127" t="s">
        <v>475</v>
      </c>
      <c r="C1544" s="19"/>
    </row>
    <row r="1545" spans="2:14" ht="34" x14ac:dyDescent="0.2">
      <c r="B1545" s="127" t="s">
        <v>476</v>
      </c>
      <c r="C1545" s="19"/>
    </row>
    <row r="1546" spans="2:14" ht="17" x14ac:dyDescent="0.2">
      <c r="B1546" s="129" t="s">
        <v>36</v>
      </c>
      <c r="C1546" s="19"/>
    </row>
    <row r="1547" spans="2:14" ht="17" x14ac:dyDescent="0.2">
      <c r="B1547" s="129" t="s">
        <v>37</v>
      </c>
      <c r="C1547" s="19"/>
    </row>
    <row r="1548" spans="2:14" ht="17" x14ac:dyDescent="0.2">
      <c r="B1548" s="128" t="s">
        <v>38</v>
      </c>
      <c r="C1548" s="19"/>
    </row>
    <row r="1549" spans="2:14" ht="48" x14ac:dyDescent="0.2">
      <c r="B1549" s="130" t="s">
        <v>477</v>
      </c>
      <c r="C1549" s="19" t="s">
        <v>40</v>
      </c>
      <c r="J1549" s="74" t="s">
        <v>0</v>
      </c>
      <c r="L1549" s="271" t="s">
        <v>41</v>
      </c>
      <c r="M1549" s="74">
        <v>25292</v>
      </c>
      <c r="N1549" s="67" t="s">
        <v>479</v>
      </c>
    </row>
    <row r="1550" spans="2:14" ht="48" x14ac:dyDescent="0.2">
      <c r="B1550" s="130" t="s">
        <v>480</v>
      </c>
      <c r="C1550" s="19" t="s">
        <v>40</v>
      </c>
      <c r="J1550" s="74" t="s">
        <v>0</v>
      </c>
      <c r="L1550" s="271" t="s">
        <v>41</v>
      </c>
      <c r="M1550" s="74">
        <v>25292</v>
      </c>
      <c r="N1550" s="67" t="s">
        <v>479</v>
      </c>
    </row>
    <row r="1551" spans="2:14" ht="17" x14ac:dyDescent="0.2">
      <c r="B1551" s="128" t="s">
        <v>44</v>
      </c>
      <c r="C1551" s="19"/>
    </row>
    <row r="1552" spans="2:14" ht="17" x14ac:dyDescent="0.2">
      <c r="B1552" s="130" t="s">
        <v>46</v>
      </c>
      <c r="C1552" s="19" t="s">
        <v>40</v>
      </c>
      <c r="J1552" s="74" t="s">
        <v>0</v>
      </c>
      <c r="L1552" s="271" t="s">
        <v>41</v>
      </c>
      <c r="M1552" s="74">
        <v>25292</v>
      </c>
      <c r="N1552" s="67" t="s">
        <v>479</v>
      </c>
    </row>
    <row r="1553" spans="2:14" ht="17" x14ac:dyDescent="0.2">
      <c r="B1553" s="128" t="s">
        <v>47</v>
      </c>
    </row>
    <row r="1554" spans="2:14" ht="17" x14ac:dyDescent="0.2">
      <c r="B1554" s="131" t="s">
        <v>481</v>
      </c>
      <c r="C1554" s="19" t="s">
        <v>40</v>
      </c>
      <c r="J1554" s="74" t="s">
        <v>0</v>
      </c>
      <c r="L1554" s="271" t="s">
        <v>41</v>
      </c>
      <c r="M1554" s="74">
        <v>25292</v>
      </c>
      <c r="N1554" s="67" t="s">
        <v>479</v>
      </c>
    </row>
    <row r="1555" spans="2:14" ht="17" x14ac:dyDescent="0.2">
      <c r="B1555" s="131" t="s">
        <v>49</v>
      </c>
      <c r="C1555" s="19" t="s">
        <v>40</v>
      </c>
      <c r="J1555" s="74" t="s">
        <v>0</v>
      </c>
      <c r="L1555" s="271" t="s">
        <v>41</v>
      </c>
      <c r="M1555" s="74">
        <v>25292</v>
      </c>
      <c r="N1555" s="67" t="s">
        <v>479</v>
      </c>
    </row>
    <row r="1556" spans="2:14" ht="17" x14ac:dyDescent="0.2">
      <c r="B1556" s="128" t="s">
        <v>482</v>
      </c>
    </row>
    <row r="1557" spans="2:14" ht="17" x14ac:dyDescent="0.2">
      <c r="B1557" s="165" t="s">
        <v>66</v>
      </c>
      <c r="C1557" s="19" t="s">
        <v>40</v>
      </c>
      <c r="J1557" s="74" t="s">
        <v>0</v>
      </c>
      <c r="L1557" s="271" t="s">
        <v>41</v>
      </c>
      <c r="M1557" s="74">
        <v>25292</v>
      </c>
      <c r="N1557" s="67" t="s">
        <v>479</v>
      </c>
    </row>
    <row r="1558" spans="2:14" ht="17" x14ac:dyDescent="0.2">
      <c r="B1558" s="138" t="s">
        <v>67</v>
      </c>
      <c r="C1558" s="19" t="s">
        <v>40</v>
      </c>
      <c r="J1558" s="74" t="s">
        <v>0</v>
      </c>
      <c r="L1558" s="271" t="s">
        <v>41</v>
      </c>
      <c r="M1558" s="74">
        <v>25292</v>
      </c>
      <c r="N1558" s="67" t="s">
        <v>479</v>
      </c>
    </row>
    <row r="1559" spans="2:14" ht="17" x14ac:dyDescent="0.2">
      <c r="B1559" s="138" t="s">
        <v>68</v>
      </c>
      <c r="C1559" s="19" t="s">
        <v>40</v>
      </c>
      <c r="J1559" s="74" t="s">
        <v>0</v>
      </c>
      <c r="L1559" s="271" t="s">
        <v>41</v>
      </c>
      <c r="M1559" s="74">
        <v>25292</v>
      </c>
      <c r="N1559" s="67" t="s">
        <v>479</v>
      </c>
    </row>
    <row r="1560" spans="2:14" ht="17" x14ac:dyDescent="0.2">
      <c r="B1560" s="138" t="s">
        <v>69</v>
      </c>
      <c r="C1560" s="19" t="s">
        <v>40</v>
      </c>
      <c r="J1560" s="74" t="s">
        <v>0</v>
      </c>
      <c r="L1560" s="271" t="s">
        <v>41</v>
      </c>
      <c r="M1560" s="74">
        <v>25292</v>
      </c>
      <c r="N1560" s="67" t="s">
        <v>479</v>
      </c>
    </row>
    <row r="1561" spans="2:14" ht="17" x14ac:dyDescent="0.2">
      <c r="B1561" s="138" t="s">
        <v>70</v>
      </c>
      <c r="C1561" s="19" t="s">
        <v>40</v>
      </c>
      <c r="J1561" s="74" t="s">
        <v>0</v>
      </c>
      <c r="L1561" s="271" t="s">
        <v>41</v>
      </c>
      <c r="M1561" s="74">
        <v>25292</v>
      </c>
      <c r="N1561" s="67" t="s">
        <v>479</v>
      </c>
    </row>
    <row r="1562" spans="2:14" ht="17" x14ac:dyDescent="0.2">
      <c r="B1562" s="138" t="s">
        <v>71</v>
      </c>
      <c r="C1562" s="19" t="s">
        <v>40</v>
      </c>
      <c r="J1562" s="74" t="s">
        <v>0</v>
      </c>
      <c r="L1562" s="271" t="s">
        <v>41</v>
      </c>
      <c r="M1562" s="74">
        <v>25292</v>
      </c>
      <c r="N1562" s="67" t="s">
        <v>479</v>
      </c>
    </row>
    <row r="1563" spans="2:14" ht="17" x14ac:dyDescent="0.2">
      <c r="B1563" s="139" t="s">
        <v>72</v>
      </c>
      <c r="C1563" s="19" t="s">
        <v>40</v>
      </c>
      <c r="J1563" s="74" t="s">
        <v>0</v>
      </c>
      <c r="L1563" s="271" t="s">
        <v>41</v>
      </c>
      <c r="M1563" s="74">
        <v>25292</v>
      </c>
      <c r="N1563" s="67" t="s">
        <v>479</v>
      </c>
    </row>
    <row r="1564" spans="2:14" ht="17" x14ac:dyDescent="0.2">
      <c r="B1564" s="166" t="s">
        <v>483</v>
      </c>
      <c r="C1564" s="19" t="s">
        <v>40</v>
      </c>
      <c r="J1564" s="74" t="s">
        <v>0</v>
      </c>
      <c r="L1564" s="271" t="s">
        <v>41</v>
      </c>
      <c r="M1564" s="74">
        <v>25292</v>
      </c>
      <c r="N1564" s="67" t="s">
        <v>479</v>
      </c>
    </row>
    <row r="1565" spans="2:14" ht="17" x14ac:dyDescent="0.2">
      <c r="B1565" s="138" t="s">
        <v>484</v>
      </c>
      <c r="C1565" s="19" t="s">
        <v>40</v>
      </c>
      <c r="J1565" s="74" t="s">
        <v>0</v>
      </c>
      <c r="L1565" s="271" t="s">
        <v>41</v>
      </c>
      <c r="M1565" s="74">
        <v>25292</v>
      </c>
      <c r="N1565" s="67" t="s">
        <v>479</v>
      </c>
    </row>
    <row r="1566" spans="2:14" ht="17" x14ac:dyDescent="0.2">
      <c r="B1566" s="139" t="s">
        <v>485</v>
      </c>
      <c r="C1566" s="19" t="s">
        <v>40</v>
      </c>
      <c r="J1566" s="74" t="s">
        <v>0</v>
      </c>
      <c r="L1566" s="271" t="s">
        <v>41</v>
      </c>
      <c r="M1566" s="74">
        <v>25292</v>
      </c>
      <c r="N1566" s="67" t="s">
        <v>479</v>
      </c>
    </row>
    <row r="1567" spans="2:14" ht="17" x14ac:dyDescent="0.2">
      <c r="B1567" s="242" t="s">
        <v>486</v>
      </c>
      <c r="C1567" s="19" t="s">
        <v>40</v>
      </c>
    </row>
    <row r="1568" spans="2:14" ht="17" x14ac:dyDescent="0.2">
      <c r="B1568" s="139" t="s">
        <v>487</v>
      </c>
      <c r="C1568" s="19" t="s">
        <v>40</v>
      </c>
      <c r="J1568" s="74" t="s">
        <v>0</v>
      </c>
      <c r="L1568" s="271" t="s">
        <v>41</v>
      </c>
      <c r="M1568" s="74">
        <v>25292</v>
      </c>
      <c r="N1568" s="67" t="s">
        <v>479</v>
      </c>
    </row>
    <row r="1569" spans="2:14" ht="17" x14ac:dyDescent="0.2">
      <c r="B1569" s="139" t="s">
        <v>488</v>
      </c>
      <c r="C1569" s="19" t="s">
        <v>40</v>
      </c>
      <c r="J1569" s="74" t="s">
        <v>0</v>
      </c>
      <c r="L1569" s="271" t="s">
        <v>41</v>
      </c>
      <c r="M1569" s="74">
        <v>25292</v>
      </c>
      <c r="N1569" s="67" t="s">
        <v>479</v>
      </c>
    </row>
    <row r="1570" spans="2:14" ht="17" x14ac:dyDescent="0.2">
      <c r="B1570" s="139" t="s">
        <v>489</v>
      </c>
      <c r="C1570" s="19" t="s">
        <v>40</v>
      </c>
      <c r="J1570" s="74" t="s">
        <v>0</v>
      </c>
      <c r="L1570" s="271" t="s">
        <v>41</v>
      </c>
      <c r="M1570" s="74">
        <v>25292</v>
      </c>
      <c r="N1570" s="67" t="s">
        <v>479</v>
      </c>
    </row>
    <row r="1571" spans="2:14" ht="17" x14ac:dyDescent="0.2">
      <c r="B1571" s="167" t="s">
        <v>490</v>
      </c>
      <c r="C1571" s="19" t="s">
        <v>40</v>
      </c>
      <c r="J1571" s="74" t="s">
        <v>0</v>
      </c>
      <c r="L1571" s="271" t="s">
        <v>41</v>
      </c>
      <c r="M1571" s="74">
        <v>25292</v>
      </c>
      <c r="N1571" s="67" t="s">
        <v>479</v>
      </c>
    </row>
    <row r="1572" spans="2:14" ht="17" x14ac:dyDescent="0.2">
      <c r="B1572" s="147" t="s">
        <v>134</v>
      </c>
      <c r="C1572" s="19" t="s">
        <v>40</v>
      </c>
      <c r="J1572" s="74" t="s">
        <v>0</v>
      </c>
      <c r="L1572" s="271" t="s">
        <v>41</v>
      </c>
      <c r="M1572" s="74">
        <v>25292</v>
      </c>
      <c r="N1572" s="67" t="s">
        <v>479</v>
      </c>
    </row>
    <row r="1573" spans="2:14" ht="17" x14ac:dyDescent="0.2">
      <c r="B1573" s="139" t="s">
        <v>491</v>
      </c>
      <c r="C1573" s="19" t="s">
        <v>40</v>
      </c>
      <c r="J1573" s="74" t="s">
        <v>0</v>
      </c>
      <c r="L1573" s="271" t="s">
        <v>41</v>
      </c>
      <c r="M1573" s="74">
        <v>25292</v>
      </c>
      <c r="N1573" s="67" t="s">
        <v>479</v>
      </c>
    </row>
    <row r="1574" spans="2:14" ht="17" x14ac:dyDescent="0.2">
      <c r="B1574" s="167" t="s">
        <v>492</v>
      </c>
      <c r="C1574" s="19" t="s">
        <v>40</v>
      </c>
      <c r="J1574" s="74" t="s">
        <v>0</v>
      </c>
      <c r="L1574" s="271" t="s">
        <v>41</v>
      </c>
      <c r="M1574" s="74">
        <v>25292</v>
      </c>
      <c r="N1574" s="67" t="s">
        <v>479</v>
      </c>
    </row>
    <row r="1575" spans="2:14" ht="17" x14ac:dyDescent="0.2">
      <c r="B1575" s="139" t="s">
        <v>493</v>
      </c>
      <c r="C1575" s="19" t="s">
        <v>40</v>
      </c>
      <c r="J1575" s="74" t="s">
        <v>0</v>
      </c>
      <c r="L1575" s="271" t="s">
        <v>41</v>
      </c>
      <c r="M1575" s="74">
        <v>25292</v>
      </c>
      <c r="N1575" s="67" t="s">
        <v>479</v>
      </c>
    </row>
    <row r="1576" spans="2:14" ht="17" x14ac:dyDescent="0.2">
      <c r="B1576" s="166" t="s">
        <v>78</v>
      </c>
      <c r="C1576" s="19" t="s">
        <v>40</v>
      </c>
      <c r="J1576" s="74" t="s">
        <v>0</v>
      </c>
      <c r="L1576" s="271" t="s">
        <v>41</v>
      </c>
      <c r="M1576" s="74">
        <v>25292</v>
      </c>
      <c r="N1576" s="67" t="s">
        <v>479</v>
      </c>
    </row>
    <row r="1577" spans="2:14" ht="17" x14ac:dyDescent="0.2">
      <c r="B1577" s="166" t="s">
        <v>79</v>
      </c>
      <c r="C1577" s="19" t="s">
        <v>40</v>
      </c>
      <c r="J1577" s="74" t="s">
        <v>0</v>
      </c>
      <c r="L1577" s="271" t="s">
        <v>41</v>
      </c>
      <c r="M1577" s="74">
        <v>25292</v>
      </c>
      <c r="N1577" s="67" t="s">
        <v>479</v>
      </c>
    </row>
    <row r="1578" spans="2:14" ht="17" x14ac:dyDescent="0.2">
      <c r="B1578" s="166" t="s">
        <v>80</v>
      </c>
      <c r="C1578" s="19" t="s">
        <v>40</v>
      </c>
      <c r="J1578" s="74" t="s">
        <v>0</v>
      </c>
      <c r="L1578" s="271" t="s">
        <v>41</v>
      </c>
      <c r="M1578" s="74">
        <v>25292</v>
      </c>
      <c r="N1578" s="67" t="s">
        <v>479</v>
      </c>
    </row>
    <row r="1579" spans="2:14" ht="17" x14ac:dyDescent="0.2">
      <c r="B1579" s="138" t="s">
        <v>81</v>
      </c>
      <c r="C1579" s="19" t="s">
        <v>40</v>
      </c>
      <c r="J1579" s="74" t="s">
        <v>0</v>
      </c>
      <c r="L1579" s="271" t="s">
        <v>41</v>
      </c>
      <c r="M1579" s="74">
        <v>25292</v>
      </c>
      <c r="N1579" s="67" t="s">
        <v>479</v>
      </c>
    </row>
    <row r="1580" spans="2:14" ht="17" x14ac:dyDescent="0.2">
      <c r="B1580" s="166" t="s">
        <v>82</v>
      </c>
      <c r="C1580" s="19" t="s">
        <v>40</v>
      </c>
      <c r="J1580" s="74" t="s">
        <v>0</v>
      </c>
      <c r="L1580" s="271" t="s">
        <v>41</v>
      </c>
      <c r="M1580" s="74">
        <v>25292</v>
      </c>
      <c r="N1580" s="67" t="s">
        <v>479</v>
      </c>
    </row>
    <row r="1581" spans="2:14" ht="17" x14ac:dyDescent="0.2">
      <c r="B1581" s="166" t="s">
        <v>494</v>
      </c>
      <c r="C1581" s="19" t="s">
        <v>40</v>
      </c>
      <c r="J1581" s="74" t="s">
        <v>0</v>
      </c>
      <c r="L1581" s="271" t="s">
        <v>41</v>
      </c>
      <c r="M1581" s="74">
        <v>25292</v>
      </c>
      <c r="N1581" s="67" t="s">
        <v>479</v>
      </c>
    </row>
    <row r="1582" spans="2:14" ht="17" x14ac:dyDescent="0.2">
      <c r="B1582" s="138" t="s">
        <v>495</v>
      </c>
      <c r="C1582" s="19" t="s">
        <v>40</v>
      </c>
      <c r="J1582" s="74" t="s">
        <v>0</v>
      </c>
      <c r="L1582" s="271" t="s">
        <v>41</v>
      </c>
      <c r="M1582" s="74">
        <v>25292</v>
      </c>
      <c r="N1582" s="67" t="s">
        <v>479</v>
      </c>
    </row>
    <row r="1583" spans="2:14" ht="17" x14ac:dyDescent="0.2">
      <c r="B1583" s="242" t="s">
        <v>496</v>
      </c>
      <c r="C1583" s="19"/>
    </row>
    <row r="1584" spans="2:14" ht="17" x14ac:dyDescent="0.2">
      <c r="B1584" s="147" t="s">
        <v>134</v>
      </c>
      <c r="C1584" s="19" t="s">
        <v>40</v>
      </c>
      <c r="J1584" s="74" t="s">
        <v>0</v>
      </c>
      <c r="L1584" s="271" t="s">
        <v>41</v>
      </c>
      <c r="M1584" s="74">
        <v>25292</v>
      </c>
      <c r="N1584" s="67" t="s">
        <v>479</v>
      </c>
    </row>
    <row r="1585" spans="2:14" ht="17" x14ac:dyDescent="0.2">
      <c r="B1585" s="167" t="s">
        <v>497</v>
      </c>
      <c r="C1585" s="19" t="s">
        <v>40</v>
      </c>
      <c r="J1585" s="74" t="s">
        <v>0</v>
      </c>
      <c r="L1585" s="271" t="s">
        <v>41</v>
      </c>
      <c r="M1585" s="74">
        <v>25292</v>
      </c>
      <c r="N1585" s="67" t="s">
        <v>479</v>
      </c>
    </row>
    <row r="1586" spans="2:14" ht="17" x14ac:dyDescent="0.2">
      <c r="B1586" s="166" t="s">
        <v>498</v>
      </c>
      <c r="C1586" s="19" t="s">
        <v>40</v>
      </c>
      <c r="J1586" s="74" t="s">
        <v>0</v>
      </c>
      <c r="L1586" s="271" t="s">
        <v>41</v>
      </c>
      <c r="M1586" s="74">
        <v>25292</v>
      </c>
      <c r="N1586" s="67" t="s">
        <v>479</v>
      </c>
    </row>
    <row r="1587" spans="2:14" ht="17" x14ac:dyDescent="0.2">
      <c r="B1587" s="167" t="s">
        <v>499</v>
      </c>
      <c r="C1587" s="19" t="s">
        <v>40</v>
      </c>
      <c r="J1587" s="74" t="s">
        <v>0</v>
      </c>
      <c r="L1587" s="271" t="s">
        <v>41</v>
      </c>
      <c r="M1587" s="74">
        <v>25292</v>
      </c>
      <c r="N1587" s="67" t="s">
        <v>479</v>
      </c>
    </row>
    <row r="1588" spans="2:14" x14ac:dyDescent="0.2">
      <c r="B1588" s="140" t="s">
        <v>86</v>
      </c>
    </row>
    <row r="1589" spans="2:14" x14ac:dyDescent="0.2">
      <c r="B1589" s="140" t="s">
        <v>500</v>
      </c>
    </row>
    <row r="1590" spans="2:14" ht="17" x14ac:dyDescent="0.2">
      <c r="B1590" s="141" t="s">
        <v>87</v>
      </c>
      <c r="C1590" s="19" t="s">
        <v>40</v>
      </c>
      <c r="J1590" s="74" t="s">
        <v>0</v>
      </c>
      <c r="L1590" s="271" t="s">
        <v>41</v>
      </c>
      <c r="M1590" s="74">
        <v>25292</v>
      </c>
      <c r="N1590" s="67" t="s">
        <v>479</v>
      </c>
    </row>
    <row r="1591" spans="2:14" ht="32" x14ac:dyDescent="0.2">
      <c r="B1591" s="142" t="s">
        <v>102</v>
      </c>
      <c r="C1591" s="19" t="s">
        <v>40</v>
      </c>
      <c r="J1591" s="74" t="s">
        <v>0</v>
      </c>
      <c r="L1591" s="271" t="s">
        <v>41</v>
      </c>
      <c r="M1591" s="74">
        <v>25292</v>
      </c>
      <c r="N1591" s="67" t="s">
        <v>479</v>
      </c>
    </row>
    <row r="1592" spans="2:14" ht="48" x14ac:dyDescent="0.2">
      <c r="B1592" s="143" t="s">
        <v>103</v>
      </c>
      <c r="C1592" s="19" t="s">
        <v>40</v>
      </c>
      <c r="J1592" s="74" t="s">
        <v>0</v>
      </c>
      <c r="L1592" s="271" t="s">
        <v>41</v>
      </c>
      <c r="M1592" s="74">
        <v>25292</v>
      </c>
      <c r="N1592" s="67" t="s">
        <v>479</v>
      </c>
    </row>
    <row r="1593" spans="2:14" ht="17" x14ac:dyDescent="0.2">
      <c r="B1593" s="144" t="s">
        <v>96</v>
      </c>
      <c r="C1593" s="19" t="s">
        <v>40</v>
      </c>
      <c r="J1593" s="74" t="s">
        <v>0</v>
      </c>
      <c r="L1593" s="271" t="s">
        <v>41</v>
      </c>
      <c r="M1593" s="74">
        <v>25292</v>
      </c>
      <c r="N1593" s="67" t="s">
        <v>479</v>
      </c>
    </row>
    <row r="1594" spans="2:14" ht="32" x14ac:dyDescent="0.2">
      <c r="B1594" s="143" t="s">
        <v>104</v>
      </c>
      <c r="C1594" s="19" t="s">
        <v>40</v>
      </c>
      <c r="J1594" s="74" t="s">
        <v>0</v>
      </c>
      <c r="L1594" s="271" t="s">
        <v>41</v>
      </c>
      <c r="M1594" s="74">
        <v>25292</v>
      </c>
      <c r="N1594" s="67" t="s">
        <v>479</v>
      </c>
    </row>
    <row r="1595" spans="2:14" ht="32" x14ac:dyDescent="0.2">
      <c r="B1595" s="142" t="s">
        <v>105</v>
      </c>
      <c r="C1595" s="19" t="s">
        <v>40</v>
      </c>
      <c r="J1595" s="74" t="s">
        <v>0</v>
      </c>
      <c r="L1595" s="271" t="s">
        <v>41</v>
      </c>
      <c r="M1595" s="74">
        <v>25292</v>
      </c>
      <c r="N1595" s="67" t="s">
        <v>479</v>
      </c>
    </row>
    <row r="1596" spans="2:14" ht="17" x14ac:dyDescent="0.2">
      <c r="B1596" s="144" t="s">
        <v>99</v>
      </c>
      <c r="C1596" s="19" t="s">
        <v>40</v>
      </c>
      <c r="J1596" s="74" t="s">
        <v>0</v>
      </c>
      <c r="L1596" s="271" t="s">
        <v>41</v>
      </c>
      <c r="M1596" s="74">
        <v>25292</v>
      </c>
      <c r="N1596" s="67" t="s">
        <v>479</v>
      </c>
    </row>
    <row r="1597" spans="2:14" ht="17" x14ac:dyDescent="0.2">
      <c r="B1597" s="143" t="s">
        <v>106</v>
      </c>
      <c r="C1597" s="19" t="s">
        <v>40</v>
      </c>
      <c r="J1597" s="74" t="s">
        <v>0</v>
      </c>
      <c r="L1597" s="271" t="s">
        <v>41</v>
      </c>
      <c r="M1597" s="74">
        <v>25292</v>
      </c>
      <c r="N1597" s="67" t="s">
        <v>479</v>
      </c>
    </row>
    <row r="1598" spans="2:14" x14ac:dyDescent="0.2">
      <c r="B1598" s="140" t="s">
        <v>101</v>
      </c>
    </row>
    <row r="1599" spans="2:14" ht="17" x14ac:dyDescent="0.2">
      <c r="B1599" s="141" t="s">
        <v>87</v>
      </c>
      <c r="C1599" s="19" t="s">
        <v>40</v>
      </c>
      <c r="J1599" s="74" t="s">
        <v>0</v>
      </c>
      <c r="L1599" s="271" t="s">
        <v>41</v>
      </c>
      <c r="M1599" s="74">
        <v>25292</v>
      </c>
      <c r="N1599" s="67" t="s">
        <v>479</v>
      </c>
    </row>
    <row r="1600" spans="2:14" ht="32" x14ac:dyDescent="0.2">
      <c r="B1600" s="142" t="s">
        <v>102</v>
      </c>
      <c r="C1600" s="19" t="s">
        <v>40</v>
      </c>
      <c r="J1600" s="74" t="s">
        <v>0</v>
      </c>
      <c r="L1600" s="271" t="s">
        <v>41</v>
      </c>
      <c r="M1600" s="74">
        <v>25292</v>
      </c>
      <c r="N1600" s="67" t="s">
        <v>479</v>
      </c>
    </row>
    <row r="1601" spans="2:14" ht="48" x14ac:dyDescent="0.2">
      <c r="B1601" s="143" t="s">
        <v>108</v>
      </c>
      <c r="C1601" s="19" t="s">
        <v>40</v>
      </c>
      <c r="J1601" s="74" t="s">
        <v>0</v>
      </c>
      <c r="L1601" s="271" t="s">
        <v>41</v>
      </c>
      <c r="M1601" s="74">
        <v>25292</v>
      </c>
      <c r="N1601" s="67" t="s">
        <v>479</v>
      </c>
    </row>
    <row r="1602" spans="2:14" ht="17" x14ac:dyDescent="0.2">
      <c r="B1602" s="144" t="s">
        <v>96</v>
      </c>
      <c r="C1602" s="19" t="s">
        <v>40</v>
      </c>
      <c r="J1602" s="74" t="s">
        <v>0</v>
      </c>
      <c r="L1602" s="271" t="s">
        <v>41</v>
      </c>
      <c r="M1602" s="74">
        <v>25292</v>
      </c>
      <c r="N1602" s="67" t="s">
        <v>479</v>
      </c>
    </row>
    <row r="1603" spans="2:14" ht="32" x14ac:dyDescent="0.2">
      <c r="B1603" s="143" t="s">
        <v>109</v>
      </c>
      <c r="C1603" s="19" t="s">
        <v>40</v>
      </c>
      <c r="J1603" s="74" t="s">
        <v>0</v>
      </c>
      <c r="L1603" s="271" t="s">
        <v>41</v>
      </c>
      <c r="M1603" s="74">
        <v>25292</v>
      </c>
      <c r="N1603" s="67" t="s">
        <v>479</v>
      </c>
    </row>
    <row r="1604" spans="2:14" ht="32" x14ac:dyDescent="0.2">
      <c r="B1604" s="142" t="s">
        <v>110</v>
      </c>
      <c r="C1604" s="19" t="s">
        <v>40</v>
      </c>
      <c r="J1604" s="74" t="s">
        <v>0</v>
      </c>
      <c r="L1604" s="271" t="s">
        <v>41</v>
      </c>
      <c r="M1604" s="74">
        <v>25292</v>
      </c>
      <c r="N1604" s="67" t="s">
        <v>479</v>
      </c>
    </row>
    <row r="1605" spans="2:14" ht="17" x14ac:dyDescent="0.2">
      <c r="B1605" s="144" t="s">
        <v>99</v>
      </c>
      <c r="C1605" s="19" t="s">
        <v>40</v>
      </c>
      <c r="J1605" s="74" t="s">
        <v>0</v>
      </c>
      <c r="L1605" s="271" t="s">
        <v>41</v>
      </c>
      <c r="M1605" s="74">
        <v>25292</v>
      </c>
      <c r="N1605" s="67" t="s">
        <v>479</v>
      </c>
    </row>
    <row r="1606" spans="2:14" ht="17" x14ac:dyDescent="0.2">
      <c r="B1606" s="143" t="s">
        <v>111</v>
      </c>
      <c r="C1606" s="19" t="s">
        <v>40</v>
      </c>
      <c r="J1606" s="74" t="s">
        <v>0</v>
      </c>
      <c r="L1606" s="271" t="s">
        <v>41</v>
      </c>
      <c r="M1606" s="74">
        <v>25292</v>
      </c>
      <c r="N1606" s="67" t="s">
        <v>479</v>
      </c>
    </row>
    <row r="1607" spans="2:14" x14ac:dyDescent="0.2">
      <c r="B1607" s="140" t="s">
        <v>107</v>
      </c>
    </row>
    <row r="1608" spans="2:14" ht="17" x14ac:dyDescent="0.2">
      <c r="B1608" s="141" t="s">
        <v>87</v>
      </c>
      <c r="C1608" s="19" t="s">
        <v>40</v>
      </c>
      <c r="J1608" s="74" t="s">
        <v>0</v>
      </c>
      <c r="L1608" s="271" t="s">
        <v>41</v>
      </c>
      <c r="M1608" s="74">
        <v>25292</v>
      </c>
      <c r="N1608" s="67" t="s">
        <v>479</v>
      </c>
    </row>
    <row r="1609" spans="2:14" ht="32" x14ac:dyDescent="0.2">
      <c r="B1609" s="142" t="s">
        <v>102</v>
      </c>
      <c r="C1609" s="19" t="s">
        <v>40</v>
      </c>
      <c r="J1609" s="74" t="s">
        <v>0</v>
      </c>
      <c r="L1609" s="271" t="s">
        <v>41</v>
      </c>
      <c r="M1609" s="74">
        <v>25292</v>
      </c>
      <c r="N1609" s="67" t="s">
        <v>479</v>
      </c>
    </row>
    <row r="1610" spans="2:14" ht="48" x14ac:dyDescent="0.2">
      <c r="B1610" s="143" t="s">
        <v>113</v>
      </c>
      <c r="C1610" s="19" t="s">
        <v>40</v>
      </c>
      <c r="J1610" s="74" t="s">
        <v>0</v>
      </c>
      <c r="L1610" s="271" t="s">
        <v>41</v>
      </c>
      <c r="M1610" s="74">
        <v>25292</v>
      </c>
      <c r="N1610" s="67" t="s">
        <v>479</v>
      </c>
    </row>
    <row r="1611" spans="2:14" ht="17" x14ac:dyDescent="0.2">
      <c r="B1611" s="144" t="s">
        <v>96</v>
      </c>
      <c r="C1611" s="19" t="s">
        <v>40</v>
      </c>
      <c r="J1611" s="74" t="s">
        <v>0</v>
      </c>
      <c r="L1611" s="271" t="s">
        <v>41</v>
      </c>
      <c r="M1611" s="74">
        <v>25292</v>
      </c>
      <c r="N1611" s="67" t="s">
        <v>479</v>
      </c>
    </row>
    <row r="1612" spans="2:14" ht="32" x14ac:dyDescent="0.2">
      <c r="B1612" s="143" t="s">
        <v>97</v>
      </c>
      <c r="C1612" s="19" t="s">
        <v>40</v>
      </c>
      <c r="J1612" s="74" t="s">
        <v>0</v>
      </c>
      <c r="L1612" s="271" t="s">
        <v>41</v>
      </c>
      <c r="M1612" s="74">
        <v>25292</v>
      </c>
      <c r="N1612" s="67" t="s">
        <v>479</v>
      </c>
    </row>
    <row r="1613" spans="2:14" ht="32" x14ac:dyDescent="0.2">
      <c r="B1613" s="142" t="s">
        <v>114</v>
      </c>
      <c r="C1613" s="19" t="s">
        <v>40</v>
      </c>
      <c r="J1613" s="74" t="s">
        <v>0</v>
      </c>
      <c r="L1613" s="271" t="s">
        <v>41</v>
      </c>
      <c r="M1613" s="74">
        <v>25292</v>
      </c>
      <c r="N1613" s="67" t="s">
        <v>479</v>
      </c>
    </row>
    <row r="1614" spans="2:14" ht="17" x14ac:dyDescent="0.2">
      <c r="B1614" s="144" t="s">
        <v>99</v>
      </c>
      <c r="C1614" s="19" t="s">
        <v>40</v>
      </c>
      <c r="J1614" s="74" t="s">
        <v>0</v>
      </c>
      <c r="L1614" s="271" t="s">
        <v>41</v>
      </c>
      <c r="M1614" s="74">
        <v>25292</v>
      </c>
      <c r="N1614" s="67" t="s">
        <v>479</v>
      </c>
    </row>
    <row r="1615" spans="2:14" ht="17" x14ac:dyDescent="0.2">
      <c r="B1615" s="143" t="s">
        <v>115</v>
      </c>
      <c r="C1615" s="19" t="s">
        <v>40</v>
      </c>
      <c r="J1615" s="74" t="s">
        <v>0</v>
      </c>
      <c r="L1615" s="271" t="s">
        <v>41</v>
      </c>
      <c r="M1615" s="74">
        <v>25292</v>
      </c>
      <c r="N1615" s="67" t="s">
        <v>479</v>
      </c>
    </row>
    <row r="1616" spans="2:14" ht="17" x14ac:dyDescent="0.2">
      <c r="B1616" s="128" t="s">
        <v>121</v>
      </c>
      <c r="C1616" s="19"/>
    </row>
    <row r="1617" spans="2:14" ht="17" x14ac:dyDescent="0.2">
      <c r="B1617" s="145" t="s">
        <v>122</v>
      </c>
      <c r="C1617" s="19" t="s">
        <v>40</v>
      </c>
      <c r="L1617" s="271" t="s">
        <v>41</v>
      </c>
      <c r="M1617" s="74">
        <v>25292</v>
      </c>
      <c r="N1617" s="67" t="s">
        <v>479</v>
      </c>
    </row>
    <row r="1618" spans="2:14" ht="17" x14ac:dyDescent="0.2">
      <c r="B1618" s="139" t="s">
        <v>123</v>
      </c>
      <c r="C1618" s="19" t="s">
        <v>40</v>
      </c>
      <c r="J1618" s="74" t="s">
        <v>0</v>
      </c>
      <c r="L1618" s="271" t="s">
        <v>41</v>
      </c>
      <c r="M1618" s="74">
        <v>25292</v>
      </c>
      <c r="N1618" s="67" t="s">
        <v>479</v>
      </c>
    </row>
    <row r="1619" spans="2:14" ht="34" x14ac:dyDescent="0.2">
      <c r="B1619" s="139" t="s">
        <v>329</v>
      </c>
      <c r="C1619" s="19" t="s">
        <v>40</v>
      </c>
      <c r="J1619" s="74" t="s">
        <v>0</v>
      </c>
      <c r="L1619" s="271" t="s">
        <v>41</v>
      </c>
      <c r="M1619" s="74">
        <v>25292</v>
      </c>
      <c r="N1619" s="67" t="s">
        <v>479</v>
      </c>
    </row>
    <row r="1620" spans="2:14" ht="17" x14ac:dyDescent="0.2">
      <c r="B1620" s="248" t="s">
        <v>125</v>
      </c>
      <c r="C1620" s="19" t="s">
        <v>40</v>
      </c>
      <c r="J1620" s="74" t="s">
        <v>0</v>
      </c>
      <c r="L1620" s="271" t="s">
        <v>41</v>
      </c>
      <c r="M1620" s="74">
        <v>25292</v>
      </c>
      <c r="N1620" s="67" t="s">
        <v>479</v>
      </c>
    </row>
    <row r="1621" spans="2:14" ht="17" x14ac:dyDescent="0.2">
      <c r="B1621" s="243" t="s">
        <v>126</v>
      </c>
      <c r="C1621" s="19" t="s">
        <v>40</v>
      </c>
      <c r="J1621" s="74" t="s">
        <v>0</v>
      </c>
      <c r="L1621" s="271" t="s">
        <v>41</v>
      </c>
      <c r="M1621" s="74">
        <v>25292</v>
      </c>
      <c r="N1621" s="67" t="s">
        <v>479</v>
      </c>
    </row>
    <row r="1622" spans="2:14" ht="17" x14ac:dyDescent="0.2">
      <c r="B1622" s="244" t="s">
        <v>127</v>
      </c>
      <c r="C1622" s="19" t="s">
        <v>40</v>
      </c>
      <c r="J1622" s="74" t="s">
        <v>0</v>
      </c>
      <c r="L1622" s="271" t="s">
        <v>41</v>
      </c>
      <c r="M1622" s="74">
        <v>25292</v>
      </c>
      <c r="N1622" s="67" t="s">
        <v>479</v>
      </c>
    </row>
    <row r="1623" spans="2:14" ht="17" x14ac:dyDescent="0.2">
      <c r="B1623" s="244" t="s">
        <v>128</v>
      </c>
      <c r="C1623" s="19" t="s">
        <v>40</v>
      </c>
      <c r="J1623" s="74" t="s">
        <v>0</v>
      </c>
      <c r="L1623" s="271" t="s">
        <v>41</v>
      </c>
      <c r="M1623" s="74">
        <v>25292</v>
      </c>
      <c r="N1623" s="67" t="s">
        <v>479</v>
      </c>
    </row>
    <row r="1624" spans="2:14" ht="17" x14ac:dyDescent="0.2">
      <c r="B1624" s="245" t="s">
        <v>129</v>
      </c>
      <c r="C1624" s="19" t="s">
        <v>40</v>
      </c>
      <c r="J1624" s="74" t="s">
        <v>0</v>
      </c>
      <c r="L1624" s="271" t="s">
        <v>41</v>
      </c>
      <c r="M1624" s="74">
        <v>25292</v>
      </c>
      <c r="N1624" s="67" t="s">
        <v>479</v>
      </c>
    </row>
    <row r="1625" spans="2:14" ht="17" x14ac:dyDescent="0.2">
      <c r="B1625" s="227" t="s">
        <v>130</v>
      </c>
      <c r="C1625" s="19" t="s">
        <v>40</v>
      </c>
      <c r="J1625" s="74" t="s">
        <v>0</v>
      </c>
      <c r="L1625" s="271" t="s">
        <v>41</v>
      </c>
      <c r="M1625" s="74">
        <v>25292</v>
      </c>
      <c r="N1625" s="67" t="s">
        <v>479</v>
      </c>
    </row>
    <row r="1626" spans="2:14" ht="17" x14ac:dyDescent="0.2">
      <c r="B1626" s="246" t="s">
        <v>501</v>
      </c>
      <c r="C1626" s="19" t="s">
        <v>40</v>
      </c>
      <c r="J1626" s="74" t="s">
        <v>0</v>
      </c>
      <c r="L1626" s="271" t="s">
        <v>41</v>
      </c>
      <c r="M1626" s="74">
        <v>25292</v>
      </c>
      <c r="N1626" s="67" t="s">
        <v>479</v>
      </c>
    </row>
    <row r="1627" spans="2:14" ht="17" x14ac:dyDescent="0.2">
      <c r="B1627" s="247" t="s">
        <v>132</v>
      </c>
      <c r="C1627" s="19" t="s">
        <v>40</v>
      </c>
      <c r="J1627" s="74" t="s">
        <v>0</v>
      </c>
      <c r="L1627" s="271" t="s">
        <v>41</v>
      </c>
      <c r="M1627" s="74">
        <v>25292</v>
      </c>
      <c r="N1627" s="67" t="s">
        <v>479</v>
      </c>
    </row>
    <row r="1628" spans="2:14" ht="17" x14ac:dyDescent="0.2">
      <c r="B1628" s="247" t="s">
        <v>134</v>
      </c>
      <c r="C1628" s="19" t="s">
        <v>40</v>
      </c>
      <c r="J1628" s="74" t="s">
        <v>0</v>
      </c>
      <c r="L1628" s="271" t="s">
        <v>41</v>
      </c>
      <c r="M1628" s="74">
        <v>25292</v>
      </c>
      <c r="N1628" s="67" t="s">
        <v>479</v>
      </c>
    </row>
    <row r="1629" spans="2:14" ht="17" x14ac:dyDescent="0.2">
      <c r="B1629" s="247" t="s">
        <v>136</v>
      </c>
      <c r="C1629" s="19" t="s">
        <v>40</v>
      </c>
      <c r="J1629" s="74" t="s">
        <v>0</v>
      </c>
      <c r="L1629" s="271" t="s">
        <v>41</v>
      </c>
      <c r="M1629" s="74">
        <v>25292</v>
      </c>
      <c r="N1629" s="67" t="s">
        <v>479</v>
      </c>
    </row>
    <row r="1630" spans="2:14" ht="23" x14ac:dyDescent="0.3">
      <c r="B1630" s="148" t="s">
        <v>137</v>
      </c>
      <c r="C1630" s="19"/>
    </row>
    <row r="1631" spans="2:14" ht="23" x14ac:dyDescent="0.3">
      <c r="B1631" s="148" t="s">
        <v>138</v>
      </c>
      <c r="C1631" s="19"/>
    </row>
    <row r="1632" spans="2:14" ht="17" x14ac:dyDescent="0.2">
      <c r="B1632" s="147" t="s">
        <v>330</v>
      </c>
      <c r="C1632" s="19" t="s">
        <v>40</v>
      </c>
      <c r="J1632" s="74" t="s">
        <v>0</v>
      </c>
      <c r="L1632" s="271" t="s">
        <v>41</v>
      </c>
      <c r="M1632" s="74">
        <v>25292</v>
      </c>
      <c r="N1632" s="67" t="s">
        <v>479</v>
      </c>
    </row>
    <row r="1633" spans="2:14" ht="34" x14ac:dyDescent="0.2">
      <c r="B1633" s="147" t="s">
        <v>538</v>
      </c>
      <c r="C1633" s="19" t="s">
        <v>40</v>
      </c>
      <c r="J1633" s="74" t="s">
        <v>0</v>
      </c>
      <c r="L1633" s="271" t="s">
        <v>41</v>
      </c>
      <c r="M1633" s="74">
        <v>25292</v>
      </c>
      <c r="N1633" s="67" t="s">
        <v>479</v>
      </c>
    </row>
    <row r="1634" spans="2:14" ht="17" x14ac:dyDescent="0.2">
      <c r="B1634" s="147" t="s">
        <v>332</v>
      </c>
      <c r="C1634" s="19" t="s">
        <v>40</v>
      </c>
      <c r="J1634" s="74" t="s">
        <v>0</v>
      </c>
      <c r="L1634" s="271" t="s">
        <v>41</v>
      </c>
      <c r="M1634" s="74">
        <v>25292</v>
      </c>
      <c r="N1634" s="67" t="s">
        <v>479</v>
      </c>
    </row>
    <row r="1635" spans="2:14" ht="17" x14ac:dyDescent="0.2">
      <c r="B1635" s="147" t="s">
        <v>539</v>
      </c>
      <c r="C1635" s="19" t="s">
        <v>40</v>
      </c>
      <c r="J1635" s="74" t="s">
        <v>0</v>
      </c>
      <c r="L1635" s="271" t="s">
        <v>41</v>
      </c>
      <c r="M1635" s="74">
        <v>25292</v>
      </c>
      <c r="N1635" s="67" t="s">
        <v>479</v>
      </c>
    </row>
    <row r="1636" spans="2:14" ht="17" x14ac:dyDescent="0.2">
      <c r="B1636" s="147" t="s">
        <v>143</v>
      </c>
      <c r="C1636" s="19" t="s">
        <v>40</v>
      </c>
      <c r="J1636" s="74" t="s">
        <v>0</v>
      </c>
      <c r="L1636" s="271" t="s">
        <v>41</v>
      </c>
      <c r="M1636" s="74">
        <v>25292</v>
      </c>
      <c r="N1636" s="67" t="s">
        <v>479</v>
      </c>
    </row>
    <row r="1637" spans="2:14" ht="23" x14ac:dyDescent="0.3">
      <c r="B1637" s="148" t="s">
        <v>144</v>
      </c>
      <c r="C1637" s="19"/>
    </row>
    <row r="1638" spans="2:14" ht="17" x14ac:dyDescent="0.2">
      <c r="B1638" s="147" t="s">
        <v>145</v>
      </c>
      <c r="C1638" s="19" t="s">
        <v>40</v>
      </c>
      <c r="J1638" s="74" t="s">
        <v>0</v>
      </c>
      <c r="L1638" s="271" t="s">
        <v>41</v>
      </c>
      <c r="M1638" s="74">
        <v>25292</v>
      </c>
      <c r="N1638" s="67" t="s">
        <v>479</v>
      </c>
    </row>
    <row r="1639" spans="2:14" ht="17" x14ac:dyDescent="0.2">
      <c r="B1639" s="147" t="s">
        <v>146</v>
      </c>
      <c r="C1639" s="19" t="s">
        <v>40</v>
      </c>
      <c r="J1639" s="74" t="s">
        <v>0</v>
      </c>
      <c r="L1639" s="271" t="s">
        <v>41</v>
      </c>
      <c r="M1639" s="74">
        <v>25292</v>
      </c>
      <c r="N1639" s="67" t="s">
        <v>479</v>
      </c>
    </row>
    <row r="1640" spans="2:14" ht="17" x14ac:dyDescent="0.2">
      <c r="B1640" s="147" t="s">
        <v>147</v>
      </c>
      <c r="C1640" s="19" t="s">
        <v>40</v>
      </c>
      <c r="J1640" s="74" t="s">
        <v>0</v>
      </c>
      <c r="L1640" s="271" t="s">
        <v>41</v>
      </c>
      <c r="M1640" s="74">
        <v>25292</v>
      </c>
      <c r="N1640" s="67" t="s">
        <v>479</v>
      </c>
    </row>
    <row r="1641" spans="2:14" ht="17" x14ac:dyDescent="0.2">
      <c r="B1641" s="147" t="s">
        <v>148</v>
      </c>
      <c r="C1641" s="19" t="s">
        <v>40</v>
      </c>
      <c r="J1641" s="74" t="s">
        <v>0</v>
      </c>
      <c r="L1641" s="271" t="s">
        <v>41</v>
      </c>
      <c r="M1641" s="74">
        <v>25292</v>
      </c>
      <c r="N1641" s="67" t="s">
        <v>479</v>
      </c>
    </row>
    <row r="1642" spans="2:14" ht="17" x14ac:dyDescent="0.2">
      <c r="B1642" s="147" t="s">
        <v>149</v>
      </c>
      <c r="C1642" s="19" t="s">
        <v>40</v>
      </c>
      <c r="J1642" s="74" t="s">
        <v>0</v>
      </c>
      <c r="L1642" s="271" t="s">
        <v>41</v>
      </c>
      <c r="M1642" s="74">
        <v>25292</v>
      </c>
      <c r="N1642" s="67" t="s">
        <v>479</v>
      </c>
    </row>
    <row r="1643" spans="2:14" ht="20" x14ac:dyDescent="0.2">
      <c r="B1643" s="177" t="s">
        <v>51</v>
      </c>
      <c r="C1643" s="19"/>
    </row>
    <row r="1644" spans="2:14" ht="17" x14ac:dyDescent="0.2">
      <c r="B1644" s="128" t="s">
        <v>502</v>
      </c>
    </row>
    <row r="1645" spans="2:14" ht="17" x14ac:dyDescent="0.2">
      <c r="B1645" s="132" t="s">
        <v>60</v>
      </c>
      <c r="C1645" s="19"/>
    </row>
    <row r="1646" spans="2:14" ht="17" x14ac:dyDescent="0.2">
      <c r="B1646" s="135" t="s">
        <v>61</v>
      </c>
      <c r="C1646" s="19" t="s">
        <v>40</v>
      </c>
      <c r="J1646" s="74" t="s">
        <v>0</v>
      </c>
      <c r="L1646" s="271" t="s">
        <v>41</v>
      </c>
      <c r="M1646" s="74">
        <v>25292</v>
      </c>
      <c r="N1646" s="67" t="s">
        <v>479</v>
      </c>
    </row>
    <row r="1647" spans="2:14" ht="17" x14ac:dyDescent="0.2">
      <c r="B1647" s="136" t="s">
        <v>62</v>
      </c>
      <c r="C1647" s="19" t="s">
        <v>40</v>
      </c>
      <c r="J1647" s="74" t="s">
        <v>0</v>
      </c>
      <c r="L1647" s="271" t="s">
        <v>41</v>
      </c>
      <c r="M1647" s="74">
        <v>25292</v>
      </c>
      <c r="N1647" s="67" t="s">
        <v>479</v>
      </c>
    </row>
    <row r="1648" spans="2:14" ht="96" x14ac:dyDescent="0.2">
      <c r="B1648" s="137" t="s">
        <v>63</v>
      </c>
      <c r="C1648" s="19" t="s">
        <v>40</v>
      </c>
      <c r="J1648" s="74" t="s">
        <v>0</v>
      </c>
      <c r="L1648" s="271" t="s">
        <v>41</v>
      </c>
      <c r="M1648" s="74">
        <v>25292</v>
      </c>
      <c r="N1648" s="67" t="s">
        <v>479</v>
      </c>
    </row>
    <row r="1649" spans="2:14" ht="17" x14ac:dyDescent="0.2">
      <c r="B1649" s="136" t="s">
        <v>64</v>
      </c>
      <c r="C1649" s="19" t="s">
        <v>40</v>
      </c>
      <c r="J1649" s="74" t="s">
        <v>0</v>
      </c>
      <c r="L1649" s="271" t="s">
        <v>41</v>
      </c>
      <c r="M1649" s="74">
        <v>25292</v>
      </c>
      <c r="N1649" s="67" t="s">
        <v>479</v>
      </c>
    </row>
    <row r="1650" spans="2:14" ht="20" x14ac:dyDescent="0.25">
      <c r="B1650" s="149" t="s">
        <v>150</v>
      </c>
      <c r="C1650" s="19"/>
    </row>
    <row r="1651" spans="2:14" x14ac:dyDescent="0.2">
      <c r="B1651" s="150" t="s">
        <v>151</v>
      </c>
      <c r="C1651" s="19"/>
    </row>
    <row r="1652" spans="2:14" ht="17" x14ac:dyDescent="0.2">
      <c r="B1652" s="151" t="s">
        <v>152</v>
      </c>
      <c r="C1652" s="19" t="s">
        <v>40</v>
      </c>
      <c r="J1652" s="74" t="s">
        <v>0</v>
      </c>
      <c r="L1652" s="271" t="s">
        <v>41</v>
      </c>
      <c r="M1652" s="74">
        <v>25292</v>
      </c>
      <c r="N1652" s="67" t="s">
        <v>479</v>
      </c>
    </row>
    <row r="1653" spans="2:14" ht="17" x14ac:dyDescent="0.2">
      <c r="B1653" s="151" t="s">
        <v>153</v>
      </c>
      <c r="C1653" s="19" t="s">
        <v>40</v>
      </c>
      <c r="J1653" s="74" t="s">
        <v>0</v>
      </c>
      <c r="L1653" s="271" t="s">
        <v>41</v>
      </c>
      <c r="M1653" s="74">
        <v>25292</v>
      </c>
      <c r="N1653" s="67" t="s">
        <v>479</v>
      </c>
    </row>
    <row r="1654" spans="2:14" ht="17" x14ac:dyDescent="0.2">
      <c r="B1654" s="152" t="s">
        <v>154</v>
      </c>
      <c r="C1654" s="19" t="s">
        <v>40</v>
      </c>
      <c r="J1654" s="74" t="s">
        <v>0</v>
      </c>
      <c r="L1654" s="271" t="s">
        <v>41</v>
      </c>
      <c r="M1654" s="74">
        <v>25292</v>
      </c>
      <c r="N1654" s="67" t="s">
        <v>479</v>
      </c>
    </row>
    <row r="1655" spans="2:14" ht="17" x14ac:dyDescent="0.2">
      <c r="B1655" s="143" t="s">
        <v>155</v>
      </c>
      <c r="C1655" s="19" t="s">
        <v>40</v>
      </c>
      <c r="J1655" s="74" t="s">
        <v>0</v>
      </c>
      <c r="L1655" s="271" t="s">
        <v>41</v>
      </c>
      <c r="M1655" s="74">
        <v>25292</v>
      </c>
      <c r="N1655" s="67" t="s">
        <v>479</v>
      </c>
    </row>
    <row r="1656" spans="2:14" x14ac:dyDescent="0.2">
      <c r="B1656" s="153" t="s">
        <v>156</v>
      </c>
    </row>
    <row r="1657" spans="2:14" x14ac:dyDescent="0.2">
      <c r="B1657" s="153" t="s">
        <v>157</v>
      </c>
      <c r="C1657" s="19"/>
    </row>
    <row r="1658" spans="2:14" ht="17" x14ac:dyDescent="0.2">
      <c r="B1658" s="154" t="s">
        <v>158</v>
      </c>
      <c r="C1658" s="19" t="s">
        <v>40</v>
      </c>
      <c r="J1658" s="74" t="s">
        <v>0</v>
      </c>
      <c r="L1658" s="271" t="s">
        <v>41</v>
      </c>
      <c r="M1658" s="74">
        <v>25292</v>
      </c>
      <c r="N1658" s="67" t="s">
        <v>479</v>
      </c>
    </row>
    <row r="1659" spans="2:14" ht="17" x14ac:dyDescent="0.2">
      <c r="B1659" s="155" t="s">
        <v>159</v>
      </c>
      <c r="C1659" s="19" t="s">
        <v>40</v>
      </c>
      <c r="J1659" s="74" t="s">
        <v>0</v>
      </c>
      <c r="L1659" s="271" t="s">
        <v>41</v>
      </c>
      <c r="M1659" s="74">
        <v>25292</v>
      </c>
      <c r="N1659" s="67" t="s">
        <v>479</v>
      </c>
    </row>
    <row r="1660" spans="2:14" ht="17" x14ac:dyDescent="0.2">
      <c r="B1660" s="151" t="s">
        <v>160</v>
      </c>
      <c r="C1660" s="19" t="s">
        <v>40</v>
      </c>
      <c r="J1660" s="74" t="s">
        <v>0</v>
      </c>
      <c r="L1660" s="271" t="s">
        <v>41</v>
      </c>
      <c r="M1660" s="74">
        <v>25292</v>
      </c>
      <c r="N1660" s="67" t="s">
        <v>479</v>
      </c>
    </row>
    <row r="1661" spans="2:14" x14ac:dyDescent="0.2">
      <c r="B1661" s="153" t="s">
        <v>161</v>
      </c>
      <c r="C1661" s="19"/>
    </row>
    <row r="1662" spans="2:14" x14ac:dyDescent="0.2">
      <c r="B1662" s="156" t="s">
        <v>162</v>
      </c>
      <c r="C1662" s="19"/>
    </row>
    <row r="1663" spans="2:14" ht="48" x14ac:dyDescent="0.2">
      <c r="B1663" s="151" t="s">
        <v>163</v>
      </c>
      <c r="C1663" s="19" t="s">
        <v>40</v>
      </c>
      <c r="J1663" s="74" t="s">
        <v>0</v>
      </c>
      <c r="L1663" s="271" t="s">
        <v>41</v>
      </c>
      <c r="M1663" s="74">
        <v>25292</v>
      </c>
      <c r="N1663" s="67" t="s">
        <v>479</v>
      </c>
    </row>
    <row r="1664" spans="2:14" ht="17" x14ac:dyDescent="0.2">
      <c r="B1664" s="138" t="s">
        <v>164</v>
      </c>
      <c r="C1664" s="19" t="s">
        <v>40</v>
      </c>
      <c r="J1664" s="74" t="s">
        <v>0</v>
      </c>
      <c r="L1664" s="271" t="s">
        <v>41</v>
      </c>
      <c r="M1664" s="74">
        <v>25292</v>
      </c>
      <c r="N1664" s="67" t="s">
        <v>479</v>
      </c>
    </row>
    <row r="1665" spans="2:14" x14ac:dyDescent="0.2">
      <c r="B1665" s="156" t="s">
        <v>165</v>
      </c>
      <c r="C1665" s="19"/>
    </row>
    <row r="1666" spans="2:14" ht="48" x14ac:dyDescent="0.2">
      <c r="B1666" s="151" t="s">
        <v>166</v>
      </c>
      <c r="C1666" s="19" t="s">
        <v>40</v>
      </c>
      <c r="J1666" s="74" t="s">
        <v>0</v>
      </c>
      <c r="L1666" s="271" t="s">
        <v>41</v>
      </c>
      <c r="M1666" s="74">
        <v>25292</v>
      </c>
      <c r="N1666" s="67" t="s">
        <v>479</v>
      </c>
    </row>
    <row r="1667" spans="2:14" ht="17" x14ac:dyDescent="0.2">
      <c r="B1667" s="138" t="s">
        <v>167</v>
      </c>
      <c r="C1667" s="19" t="s">
        <v>40</v>
      </c>
      <c r="J1667" s="74" t="s">
        <v>0</v>
      </c>
      <c r="L1667" s="271" t="s">
        <v>41</v>
      </c>
      <c r="M1667" s="74">
        <v>25292</v>
      </c>
      <c r="N1667" s="67" t="s">
        <v>479</v>
      </c>
    </row>
    <row r="1668" spans="2:14" x14ac:dyDescent="0.2">
      <c r="B1668" s="157" t="s">
        <v>168</v>
      </c>
    </row>
    <row r="1669" spans="2:14" ht="51" x14ac:dyDescent="0.2">
      <c r="B1669" s="158" t="s">
        <v>169</v>
      </c>
      <c r="C1669" s="19" t="s">
        <v>40</v>
      </c>
      <c r="J1669" s="74" t="s">
        <v>0</v>
      </c>
      <c r="L1669" s="271" t="s">
        <v>41</v>
      </c>
      <c r="M1669" s="74">
        <v>25292</v>
      </c>
      <c r="N1669" s="67" t="s">
        <v>479</v>
      </c>
    </row>
    <row r="1670" spans="2:14" ht="17" x14ac:dyDescent="0.2">
      <c r="B1670" s="159" t="s">
        <v>170</v>
      </c>
      <c r="C1670" s="19" t="s">
        <v>40</v>
      </c>
      <c r="J1670" s="74" t="s">
        <v>0</v>
      </c>
      <c r="L1670" s="271" t="s">
        <v>41</v>
      </c>
      <c r="M1670" s="74">
        <v>25292</v>
      </c>
      <c r="N1670" s="67" t="s">
        <v>479</v>
      </c>
    </row>
    <row r="1671" spans="2:14" x14ac:dyDescent="0.2">
      <c r="B1671" s="157" t="s">
        <v>171</v>
      </c>
      <c r="C1671" s="19"/>
    </row>
    <row r="1672" spans="2:14" ht="48" x14ac:dyDescent="0.2">
      <c r="B1672" s="144" t="s">
        <v>172</v>
      </c>
      <c r="C1672" s="19" t="s">
        <v>40</v>
      </c>
      <c r="J1672" s="74" t="s">
        <v>0</v>
      </c>
      <c r="L1672" s="271" t="s">
        <v>41</v>
      </c>
      <c r="M1672" s="74">
        <v>25292</v>
      </c>
      <c r="N1672" s="67" t="s">
        <v>479</v>
      </c>
    </row>
    <row r="1673" spans="2:14" ht="17" x14ac:dyDescent="0.2">
      <c r="B1673" s="160" t="s">
        <v>173</v>
      </c>
      <c r="C1673" s="19" t="s">
        <v>40</v>
      </c>
      <c r="J1673" s="74" t="s">
        <v>0</v>
      </c>
      <c r="L1673" s="271" t="s">
        <v>41</v>
      </c>
      <c r="M1673" s="74">
        <v>25292</v>
      </c>
      <c r="N1673" s="67" t="s">
        <v>479</v>
      </c>
    </row>
    <row r="1674" spans="2:14" ht="17" x14ac:dyDescent="0.2">
      <c r="B1674" s="161" t="s">
        <v>174</v>
      </c>
    </row>
    <row r="1675" spans="2:14" ht="51" x14ac:dyDescent="0.2">
      <c r="B1675" s="161" t="s">
        <v>175</v>
      </c>
      <c r="C1675" s="19"/>
    </row>
    <row r="1676" spans="2:14" ht="17" x14ac:dyDescent="0.2">
      <c r="B1676" s="131" t="s">
        <v>176</v>
      </c>
      <c r="C1676" s="19" t="s">
        <v>40</v>
      </c>
      <c r="J1676" s="74" t="s">
        <v>0</v>
      </c>
      <c r="L1676" s="271" t="s">
        <v>41</v>
      </c>
      <c r="M1676" s="74">
        <v>25292</v>
      </c>
      <c r="N1676" s="67" t="s">
        <v>479</v>
      </c>
    </row>
    <row r="1677" spans="2:14" ht="17" x14ac:dyDescent="0.2">
      <c r="B1677" s="160" t="s">
        <v>177</v>
      </c>
      <c r="C1677" s="19" t="s">
        <v>40</v>
      </c>
      <c r="J1677" s="74" t="s">
        <v>0</v>
      </c>
      <c r="L1677" s="271" t="s">
        <v>41</v>
      </c>
      <c r="M1677" s="74">
        <v>25292</v>
      </c>
      <c r="N1677" s="67" t="s">
        <v>479</v>
      </c>
    </row>
    <row r="1678" spans="2:14" ht="17" x14ac:dyDescent="0.2">
      <c r="B1678" s="131" t="s">
        <v>178</v>
      </c>
      <c r="C1678" s="19" t="s">
        <v>40</v>
      </c>
      <c r="J1678" s="74" t="s">
        <v>0</v>
      </c>
      <c r="L1678" s="271" t="s">
        <v>41</v>
      </c>
      <c r="M1678" s="74">
        <v>25292</v>
      </c>
      <c r="N1678" s="67" t="s">
        <v>479</v>
      </c>
    </row>
    <row r="1679" spans="2:14" ht="68" x14ac:dyDescent="0.2">
      <c r="B1679" s="131" t="s">
        <v>289</v>
      </c>
      <c r="C1679" s="19" t="s">
        <v>40</v>
      </c>
      <c r="J1679" s="74" t="s">
        <v>0</v>
      </c>
      <c r="L1679" s="271" t="s">
        <v>41</v>
      </c>
      <c r="M1679" s="74">
        <v>25292</v>
      </c>
      <c r="N1679" s="67" t="s">
        <v>479</v>
      </c>
    </row>
    <row r="1680" spans="2:14" ht="17" x14ac:dyDescent="0.2">
      <c r="B1680" s="131" t="s">
        <v>180</v>
      </c>
      <c r="C1680" s="19" t="s">
        <v>40</v>
      </c>
      <c r="J1680" s="74" t="s">
        <v>0</v>
      </c>
      <c r="L1680" s="271" t="s">
        <v>41</v>
      </c>
      <c r="M1680" s="74">
        <v>25292</v>
      </c>
      <c r="N1680" s="67" t="s">
        <v>479</v>
      </c>
    </row>
    <row r="1681" spans="2:14" ht="68" x14ac:dyDescent="0.2">
      <c r="B1681" s="131" t="s">
        <v>503</v>
      </c>
      <c r="C1681" s="19" t="s">
        <v>40</v>
      </c>
      <c r="J1681" s="74" t="s">
        <v>0</v>
      </c>
      <c r="L1681" s="271" t="s">
        <v>41</v>
      </c>
      <c r="M1681" s="74">
        <v>25292</v>
      </c>
      <c r="N1681" s="67" t="s">
        <v>479</v>
      </c>
    </row>
    <row r="1682" spans="2:14" ht="17" x14ac:dyDescent="0.2">
      <c r="B1682" s="160" t="s">
        <v>182</v>
      </c>
      <c r="C1682" s="19" t="s">
        <v>40</v>
      </c>
      <c r="J1682" s="74" t="s">
        <v>0</v>
      </c>
      <c r="L1682" s="271" t="s">
        <v>41</v>
      </c>
      <c r="M1682" s="74">
        <v>25292</v>
      </c>
      <c r="N1682" s="67" t="s">
        <v>479</v>
      </c>
    </row>
    <row r="1683" spans="2:14" ht="68" x14ac:dyDescent="0.2">
      <c r="B1683" s="160" t="s">
        <v>504</v>
      </c>
      <c r="C1683" s="19" t="s">
        <v>40</v>
      </c>
      <c r="J1683" s="74" t="s">
        <v>0</v>
      </c>
      <c r="L1683" s="271" t="s">
        <v>41</v>
      </c>
      <c r="M1683" s="74">
        <v>25292</v>
      </c>
      <c r="N1683" s="67" t="s">
        <v>479</v>
      </c>
    </row>
    <row r="1684" spans="2:14" ht="17" x14ac:dyDescent="0.2">
      <c r="B1684" s="162" t="s">
        <v>184</v>
      </c>
      <c r="C1684" s="19" t="s">
        <v>40</v>
      </c>
      <c r="J1684" s="74" t="s">
        <v>0</v>
      </c>
      <c r="L1684" s="271" t="s">
        <v>41</v>
      </c>
      <c r="M1684" s="74">
        <v>25292</v>
      </c>
      <c r="N1684" s="67" t="s">
        <v>479</v>
      </c>
    </row>
    <row r="1685" spans="2:14" ht="17" x14ac:dyDescent="0.2">
      <c r="B1685" s="162" t="s">
        <v>185</v>
      </c>
      <c r="C1685" s="19" t="s">
        <v>40</v>
      </c>
      <c r="J1685" s="74" t="s">
        <v>0</v>
      </c>
      <c r="L1685" s="271" t="s">
        <v>41</v>
      </c>
      <c r="M1685" s="74">
        <v>25292</v>
      </c>
      <c r="N1685" s="67" t="s">
        <v>479</v>
      </c>
    </row>
    <row r="1688" spans="2:14" ht="92" x14ac:dyDescent="0.2">
      <c r="B1688" s="170" t="s">
        <v>599</v>
      </c>
      <c r="C1688" s="19"/>
    </row>
    <row r="1689" spans="2:14" ht="17" x14ac:dyDescent="0.2">
      <c r="B1689" s="127" t="s">
        <v>31</v>
      </c>
      <c r="C1689" s="19"/>
    </row>
    <row r="1690" spans="2:14" ht="17" x14ac:dyDescent="0.2">
      <c r="B1690" s="127" t="s">
        <v>328</v>
      </c>
    </row>
    <row r="1691" spans="2:14" ht="17" x14ac:dyDescent="0.2">
      <c r="B1691" s="128" t="s">
        <v>33</v>
      </c>
    </row>
    <row r="1692" spans="2:14" ht="17" x14ac:dyDescent="0.2">
      <c r="B1692" s="127" t="s">
        <v>34</v>
      </c>
      <c r="C1692" s="19"/>
    </row>
    <row r="1693" spans="2:14" ht="17" x14ac:dyDescent="0.2">
      <c r="B1693" s="163" t="s">
        <v>475</v>
      </c>
      <c r="C1693" s="19"/>
    </row>
    <row r="1694" spans="2:14" ht="34" x14ac:dyDescent="0.2">
      <c r="B1694" s="127" t="s">
        <v>476</v>
      </c>
      <c r="C1694" s="19"/>
    </row>
    <row r="1695" spans="2:14" ht="17" x14ac:dyDescent="0.2">
      <c r="B1695" s="129" t="s">
        <v>36</v>
      </c>
      <c r="C1695" s="19"/>
    </row>
    <row r="1696" spans="2:14" ht="17" x14ac:dyDescent="0.2">
      <c r="B1696" s="129" t="s">
        <v>37</v>
      </c>
      <c r="C1696" s="19"/>
    </row>
    <row r="1697" spans="2:14" ht="17" x14ac:dyDescent="0.2">
      <c r="B1697" s="128" t="s">
        <v>38</v>
      </c>
      <c r="C1697" s="19"/>
    </row>
    <row r="1698" spans="2:14" ht="48" x14ac:dyDescent="0.2">
      <c r="B1698" s="130" t="s">
        <v>477</v>
      </c>
      <c r="C1698" s="19" t="s">
        <v>40</v>
      </c>
      <c r="E1698" s="34" t="s">
        <v>0</v>
      </c>
      <c r="G1698" s="62" t="s">
        <v>41</v>
      </c>
      <c r="H1698" s="61">
        <v>18223</v>
      </c>
      <c r="N1698" s="67" t="s">
        <v>479</v>
      </c>
    </row>
    <row r="1699" spans="2:14" ht="48" x14ac:dyDescent="0.2">
      <c r="B1699" s="130" t="s">
        <v>480</v>
      </c>
      <c r="C1699" s="19" t="s">
        <v>40</v>
      </c>
      <c r="E1699" s="34" t="s">
        <v>0</v>
      </c>
      <c r="G1699" s="62" t="s">
        <v>41</v>
      </c>
      <c r="H1699" s="61">
        <v>18223</v>
      </c>
      <c r="N1699" s="67" t="s">
        <v>479</v>
      </c>
    </row>
    <row r="1700" spans="2:14" ht="17" x14ac:dyDescent="0.2">
      <c r="B1700" s="128" t="s">
        <v>44</v>
      </c>
      <c r="C1700" s="19"/>
    </row>
    <row r="1701" spans="2:14" ht="17" x14ac:dyDescent="0.2">
      <c r="B1701" s="130" t="s">
        <v>46</v>
      </c>
      <c r="C1701" s="19" t="s">
        <v>40</v>
      </c>
      <c r="E1701" s="34" t="s">
        <v>0</v>
      </c>
      <c r="G1701" s="62" t="s">
        <v>41</v>
      </c>
      <c r="H1701" s="61">
        <v>18223</v>
      </c>
      <c r="N1701" s="67" t="s">
        <v>479</v>
      </c>
    </row>
    <row r="1702" spans="2:14" ht="17" x14ac:dyDescent="0.2">
      <c r="B1702" s="128" t="s">
        <v>47</v>
      </c>
    </row>
    <row r="1703" spans="2:14" ht="17" x14ac:dyDescent="0.2">
      <c r="B1703" s="131" t="s">
        <v>481</v>
      </c>
      <c r="C1703" s="19" t="s">
        <v>40</v>
      </c>
      <c r="E1703" s="34" t="s">
        <v>0</v>
      </c>
      <c r="G1703" s="62" t="s">
        <v>41</v>
      </c>
      <c r="H1703" s="61">
        <v>18223</v>
      </c>
      <c r="N1703" s="67" t="s">
        <v>479</v>
      </c>
    </row>
    <row r="1704" spans="2:14" ht="17" x14ac:dyDescent="0.2">
      <c r="B1704" s="131" t="s">
        <v>49</v>
      </c>
      <c r="C1704" s="19" t="s">
        <v>40</v>
      </c>
      <c r="E1704" s="34" t="s">
        <v>0</v>
      </c>
      <c r="G1704" s="62" t="s">
        <v>41</v>
      </c>
      <c r="H1704" s="61">
        <v>18223</v>
      </c>
      <c r="N1704" s="67" t="s">
        <v>479</v>
      </c>
    </row>
    <row r="1705" spans="2:14" ht="17" x14ac:dyDescent="0.2">
      <c r="B1705" s="128" t="s">
        <v>482</v>
      </c>
    </row>
    <row r="1706" spans="2:14" ht="17" x14ac:dyDescent="0.2">
      <c r="B1706" s="165" t="s">
        <v>66</v>
      </c>
      <c r="C1706" s="19" t="s">
        <v>40</v>
      </c>
      <c r="E1706" s="34" t="s">
        <v>0</v>
      </c>
      <c r="G1706" s="62" t="s">
        <v>41</v>
      </c>
      <c r="H1706" s="61">
        <v>18223</v>
      </c>
      <c r="N1706" s="67" t="s">
        <v>479</v>
      </c>
    </row>
    <row r="1707" spans="2:14" ht="17" x14ac:dyDescent="0.2">
      <c r="B1707" s="138" t="s">
        <v>67</v>
      </c>
      <c r="C1707" s="19" t="s">
        <v>40</v>
      </c>
      <c r="E1707" s="34" t="s">
        <v>0</v>
      </c>
      <c r="G1707" s="62" t="s">
        <v>41</v>
      </c>
      <c r="H1707" s="61">
        <v>18223</v>
      </c>
      <c r="N1707" s="67" t="s">
        <v>479</v>
      </c>
    </row>
    <row r="1708" spans="2:14" ht="17" x14ac:dyDescent="0.2">
      <c r="B1708" s="138" t="s">
        <v>68</v>
      </c>
      <c r="C1708" s="19" t="s">
        <v>40</v>
      </c>
      <c r="E1708" s="34" t="s">
        <v>0</v>
      </c>
      <c r="G1708" s="62" t="s">
        <v>41</v>
      </c>
      <c r="H1708" s="61">
        <v>18223</v>
      </c>
      <c r="N1708" s="67" t="s">
        <v>479</v>
      </c>
    </row>
    <row r="1709" spans="2:14" ht="17" x14ac:dyDescent="0.2">
      <c r="B1709" s="138" t="s">
        <v>69</v>
      </c>
      <c r="C1709" s="19" t="s">
        <v>40</v>
      </c>
      <c r="E1709" s="34" t="s">
        <v>0</v>
      </c>
      <c r="G1709" s="62" t="s">
        <v>41</v>
      </c>
      <c r="H1709" s="61">
        <v>18223</v>
      </c>
      <c r="N1709" s="67" t="s">
        <v>479</v>
      </c>
    </row>
    <row r="1710" spans="2:14" ht="17" x14ac:dyDescent="0.2">
      <c r="B1710" s="138" t="s">
        <v>70</v>
      </c>
      <c r="C1710" s="19" t="s">
        <v>40</v>
      </c>
      <c r="E1710" s="34" t="s">
        <v>0</v>
      </c>
      <c r="G1710" s="62" t="s">
        <v>41</v>
      </c>
      <c r="H1710" s="61">
        <v>18223</v>
      </c>
      <c r="N1710" s="67" t="s">
        <v>479</v>
      </c>
    </row>
    <row r="1711" spans="2:14" ht="17" x14ac:dyDescent="0.2">
      <c r="B1711" s="138" t="s">
        <v>71</v>
      </c>
      <c r="C1711" s="19" t="s">
        <v>40</v>
      </c>
      <c r="E1711" s="34" t="s">
        <v>0</v>
      </c>
      <c r="G1711" s="62" t="s">
        <v>41</v>
      </c>
      <c r="H1711" s="61">
        <v>18223</v>
      </c>
      <c r="N1711" s="67" t="s">
        <v>479</v>
      </c>
    </row>
    <row r="1712" spans="2:14" ht="17" x14ac:dyDescent="0.2">
      <c r="B1712" s="139" t="s">
        <v>72</v>
      </c>
      <c r="C1712" s="19" t="s">
        <v>40</v>
      </c>
      <c r="E1712" s="34" t="s">
        <v>0</v>
      </c>
      <c r="G1712" s="62" t="s">
        <v>41</v>
      </c>
      <c r="H1712" s="61">
        <v>18223</v>
      </c>
      <c r="N1712" s="67" t="s">
        <v>479</v>
      </c>
    </row>
    <row r="1713" spans="2:14" ht="17" x14ac:dyDescent="0.2">
      <c r="B1713" s="166" t="s">
        <v>483</v>
      </c>
      <c r="C1713" s="19" t="s">
        <v>40</v>
      </c>
      <c r="E1713" s="34" t="s">
        <v>0</v>
      </c>
      <c r="G1713" s="62" t="s">
        <v>41</v>
      </c>
      <c r="H1713" s="61">
        <v>18223</v>
      </c>
      <c r="N1713" s="67" t="s">
        <v>479</v>
      </c>
    </row>
    <row r="1714" spans="2:14" ht="17" x14ac:dyDescent="0.2">
      <c r="B1714" s="138" t="s">
        <v>484</v>
      </c>
      <c r="C1714" s="19" t="s">
        <v>40</v>
      </c>
      <c r="E1714" s="34" t="s">
        <v>0</v>
      </c>
      <c r="G1714" s="62" t="s">
        <v>41</v>
      </c>
      <c r="H1714" s="61">
        <v>18223</v>
      </c>
      <c r="N1714" s="67" t="s">
        <v>479</v>
      </c>
    </row>
    <row r="1715" spans="2:14" ht="17" x14ac:dyDescent="0.2">
      <c r="B1715" s="139" t="s">
        <v>485</v>
      </c>
      <c r="C1715" s="19" t="s">
        <v>40</v>
      </c>
      <c r="E1715" s="34" t="s">
        <v>0</v>
      </c>
      <c r="G1715" s="62" t="s">
        <v>41</v>
      </c>
      <c r="H1715" s="61">
        <v>18223</v>
      </c>
      <c r="N1715" s="67" t="s">
        <v>479</v>
      </c>
    </row>
    <row r="1716" spans="2:14" ht="17" x14ac:dyDescent="0.2">
      <c r="B1716" s="242" t="s">
        <v>486</v>
      </c>
      <c r="C1716" s="19" t="s">
        <v>40</v>
      </c>
    </row>
    <row r="1717" spans="2:14" ht="17" x14ac:dyDescent="0.2">
      <c r="B1717" s="139" t="s">
        <v>487</v>
      </c>
      <c r="C1717" s="19" t="s">
        <v>40</v>
      </c>
      <c r="E1717" s="34" t="s">
        <v>0</v>
      </c>
      <c r="G1717" s="62" t="s">
        <v>41</v>
      </c>
      <c r="H1717" s="61">
        <v>18223</v>
      </c>
      <c r="N1717" s="67" t="s">
        <v>479</v>
      </c>
    </row>
    <row r="1718" spans="2:14" ht="17" x14ac:dyDescent="0.2">
      <c r="B1718" s="139" t="s">
        <v>488</v>
      </c>
      <c r="C1718" s="19" t="s">
        <v>40</v>
      </c>
      <c r="E1718" s="34" t="s">
        <v>0</v>
      </c>
      <c r="G1718" s="62" t="s">
        <v>41</v>
      </c>
      <c r="H1718" s="61">
        <v>18223</v>
      </c>
      <c r="N1718" s="67" t="s">
        <v>479</v>
      </c>
    </row>
    <row r="1719" spans="2:14" ht="17" x14ac:dyDescent="0.2">
      <c r="B1719" s="139" t="s">
        <v>489</v>
      </c>
      <c r="C1719" s="19" t="s">
        <v>40</v>
      </c>
      <c r="E1719" s="34" t="s">
        <v>0</v>
      </c>
      <c r="G1719" s="62" t="s">
        <v>41</v>
      </c>
      <c r="H1719" s="61">
        <v>18223</v>
      </c>
      <c r="N1719" s="67" t="s">
        <v>479</v>
      </c>
    </row>
    <row r="1720" spans="2:14" ht="17" x14ac:dyDescent="0.2">
      <c r="B1720" s="167" t="s">
        <v>490</v>
      </c>
      <c r="C1720" s="19" t="s">
        <v>40</v>
      </c>
      <c r="E1720" s="34" t="s">
        <v>0</v>
      </c>
      <c r="G1720" s="62" t="s">
        <v>41</v>
      </c>
      <c r="H1720" s="61">
        <v>18223</v>
      </c>
      <c r="N1720" s="67" t="s">
        <v>479</v>
      </c>
    </row>
    <row r="1721" spans="2:14" ht="17" x14ac:dyDescent="0.2">
      <c r="B1721" s="147" t="s">
        <v>134</v>
      </c>
      <c r="C1721" s="19" t="s">
        <v>40</v>
      </c>
      <c r="E1721" s="34" t="s">
        <v>0</v>
      </c>
      <c r="G1721" s="62" t="s">
        <v>41</v>
      </c>
      <c r="H1721" s="61">
        <v>18223</v>
      </c>
      <c r="N1721" s="67" t="s">
        <v>479</v>
      </c>
    </row>
    <row r="1722" spans="2:14" ht="17" x14ac:dyDescent="0.2">
      <c r="B1722" s="139" t="s">
        <v>491</v>
      </c>
      <c r="C1722" s="19" t="s">
        <v>40</v>
      </c>
      <c r="E1722" s="34" t="s">
        <v>0</v>
      </c>
      <c r="G1722" s="62" t="s">
        <v>41</v>
      </c>
      <c r="H1722" s="61">
        <v>18223</v>
      </c>
      <c r="N1722" s="67" t="s">
        <v>479</v>
      </c>
    </row>
    <row r="1723" spans="2:14" ht="17" x14ac:dyDescent="0.2">
      <c r="B1723" s="167" t="s">
        <v>492</v>
      </c>
      <c r="C1723" s="19" t="s">
        <v>40</v>
      </c>
      <c r="E1723" s="34" t="s">
        <v>0</v>
      </c>
      <c r="G1723" s="62" t="s">
        <v>41</v>
      </c>
      <c r="H1723" s="61">
        <v>18223</v>
      </c>
      <c r="N1723" s="67" t="s">
        <v>479</v>
      </c>
    </row>
    <row r="1724" spans="2:14" ht="17" x14ac:dyDescent="0.2">
      <c r="B1724" s="139" t="s">
        <v>493</v>
      </c>
      <c r="C1724" s="19" t="s">
        <v>40</v>
      </c>
      <c r="E1724" s="34" t="s">
        <v>0</v>
      </c>
      <c r="G1724" s="62" t="s">
        <v>41</v>
      </c>
      <c r="H1724" s="61">
        <v>18223</v>
      </c>
      <c r="N1724" s="67" t="s">
        <v>479</v>
      </c>
    </row>
    <row r="1725" spans="2:14" ht="17" x14ac:dyDescent="0.2">
      <c r="B1725" s="166" t="s">
        <v>78</v>
      </c>
      <c r="C1725" s="19" t="s">
        <v>40</v>
      </c>
      <c r="E1725" s="34" t="s">
        <v>0</v>
      </c>
      <c r="G1725" s="62" t="s">
        <v>41</v>
      </c>
      <c r="H1725" s="61">
        <v>18223</v>
      </c>
      <c r="N1725" s="67" t="s">
        <v>479</v>
      </c>
    </row>
    <row r="1726" spans="2:14" ht="17" x14ac:dyDescent="0.2">
      <c r="B1726" s="166" t="s">
        <v>79</v>
      </c>
      <c r="C1726" s="19" t="s">
        <v>40</v>
      </c>
      <c r="E1726" s="34" t="s">
        <v>0</v>
      </c>
      <c r="G1726" s="62" t="s">
        <v>41</v>
      </c>
      <c r="H1726" s="61">
        <v>18223</v>
      </c>
      <c r="N1726" s="67" t="s">
        <v>479</v>
      </c>
    </row>
    <row r="1727" spans="2:14" ht="17" x14ac:dyDescent="0.2">
      <c r="B1727" s="166" t="s">
        <v>80</v>
      </c>
      <c r="C1727" s="19" t="s">
        <v>40</v>
      </c>
      <c r="E1727" s="34" t="s">
        <v>0</v>
      </c>
      <c r="G1727" s="62" t="s">
        <v>41</v>
      </c>
      <c r="H1727" s="61">
        <v>18223</v>
      </c>
      <c r="N1727" s="67" t="s">
        <v>479</v>
      </c>
    </row>
    <row r="1728" spans="2:14" ht="17" x14ac:dyDescent="0.2">
      <c r="B1728" s="138" t="s">
        <v>81</v>
      </c>
      <c r="C1728" s="19" t="s">
        <v>40</v>
      </c>
      <c r="E1728" s="34" t="s">
        <v>0</v>
      </c>
      <c r="G1728" s="62" t="s">
        <v>41</v>
      </c>
      <c r="H1728" s="61">
        <v>18223</v>
      </c>
      <c r="N1728" s="67" t="s">
        <v>479</v>
      </c>
    </row>
    <row r="1729" spans="2:14" ht="17" x14ac:dyDescent="0.2">
      <c r="B1729" s="166" t="s">
        <v>82</v>
      </c>
      <c r="C1729" s="19" t="s">
        <v>40</v>
      </c>
      <c r="E1729" s="34" t="s">
        <v>0</v>
      </c>
      <c r="G1729" s="62" t="s">
        <v>41</v>
      </c>
      <c r="H1729" s="61">
        <v>18223</v>
      </c>
      <c r="N1729" s="67" t="s">
        <v>479</v>
      </c>
    </row>
    <row r="1730" spans="2:14" ht="17" x14ac:dyDescent="0.2">
      <c r="B1730" s="166" t="s">
        <v>494</v>
      </c>
      <c r="C1730" s="19" t="s">
        <v>40</v>
      </c>
      <c r="E1730" s="34" t="s">
        <v>0</v>
      </c>
      <c r="G1730" s="62" t="s">
        <v>41</v>
      </c>
      <c r="H1730" s="61">
        <v>18223</v>
      </c>
      <c r="N1730" s="67" t="s">
        <v>479</v>
      </c>
    </row>
    <row r="1731" spans="2:14" ht="17" x14ac:dyDescent="0.2">
      <c r="B1731" s="138" t="s">
        <v>495</v>
      </c>
      <c r="C1731" s="19" t="s">
        <v>40</v>
      </c>
      <c r="E1731" s="34" t="s">
        <v>0</v>
      </c>
      <c r="G1731" s="62" t="s">
        <v>41</v>
      </c>
      <c r="H1731" s="61">
        <v>18223</v>
      </c>
      <c r="N1731" s="67" t="s">
        <v>479</v>
      </c>
    </row>
    <row r="1732" spans="2:14" ht="17" x14ac:dyDescent="0.2">
      <c r="B1732" s="242" t="s">
        <v>496</v>
      </c>
      <c r="C1732" s="19"/>
    </row>
    <row r="1733" spans="2:14" ht="17" x14ac:dyDescent="0.2">
      <c r="B1733" s="147" t="s">
        <v>134</v>
      </c>
      <c r="C1733" s="19" t="s">
        <v>40</v>
      </c>
      <c r="E1733" s="34" t="s">
        <v>0</v>
      </c>
      <c r="G1733" s="62" t="s">
        <v>41</v>
      </c>
      <c r="H1733" s="61">
        <v>18223</v>
      </c>
      <c r="N1733" s="67" t="s">
        <v>479</v>
      </c>
    </row>
    <row r="1734" spans="2:14" ht="17" x14ac:dyDescent="0.2">
      <c r="B1734" s="167" t="s">
        <v>497</v>
      </c>
      <c r="C1734" s="19" t="s">
        <v>40</v>
      </c>
      <c r="E1734" s="34" t="s">
        <v>0</v>
      </c>
      <c r="G1734" s="62" t="s">
        <v>41</v>
      </c>
      <c r="H1734" s="61">
        <v>18223</v>
      </c>
      <c r="N1734" s="67" t="s">
        <v>479</v>
      </c>
    </row>
    <row r="1735" spans="2:14" ht="17" x14ac:dyDescent="0.2">
      <c r="B1735" s="166" t="s">
        <v>498</v>
      </c>
      <c r="C1735" s="19" t="s">
        <v>40</v>
      </c>
      <c r="E1735" s="34" t="s">
        <v>0</v>
      </c>
      <c r="G1735" s="62" t="s">
        <v>41</v>
      </c>
      <c r="H1735" s="61">
        <v>18223</v>
      </c>
      <c r="N1735" s="67" t="s">
        <v>479</v>
      </c>
    </row>
    <row r="1736" spans="2:14" ht="17" x14ac:dyDescent="0.2">
      <c r="B1736" s="167" t="s">
        <v>499</v>
      </c>
      <c r="C1736" s="19" t="s">
        <v>40</v>
      </c>
      <c r="E1736" s="34" t="s">
        <v>0</v>
      </c>
      <c r="G1736" s="62" t="s">
        <v>41</v>
      </c>
      <c r="H1736" s="61">
        <v>18223</v>
      </c>
      <c r="N1736" s="67" t="s">
        <v>479</v>
      </c>
    </row>
    <row r="1737" spans="2:14" x14ac:dyDescent="0.2">
      <c r="B1737" s="140" t="s">
        <v>86</v>
      </c>
    </row>
    <row r="1738" spans="2:14" x14ac:dyDescent="0.2">
      <c r="B1738" s="140" t="s">
        <v>500</v>
      </c>
    </row>
    <row r="1739" spans="2:14" ht="17" x14ac:dyDescent="0.2">
      <c r="B1739" s="141" t="s">
        <v>87</v>
      </c>
      <c r="C1739" s="19" t="s">
        <v>40</v>
      </c>
      <c r="E1739" s="34" t="s">
        <v>0</v>
      </c>
      <c r="G1739" s="62" t="s">
        <v>41</v>
      </c>
      <c r="H1739" s="61">
        <v>18223</v>
      </c>
      <c r="N1739" s="67" t="s">
        <v>479</v>
      </c>
    </row>
    <row r="1740" spans="2:14" ht="32" x14ac:dyDescent="0.2">
      <c r="B1740" s="142" t="s">
        <v>102</v>
      </c>
      <c r="C1740" s="19" t="s">
        <v>40</v>
      </c>
      <c r="E1740" s="34" t="s">
        <v>0</v>
      </c>
      <c r="G1740" s="62" t="s">
        <v>41</v>
      </c>
      <c r="H1740" s="61">
        <v>18223</v>
      </c>
      <c r="N1740" s="67" t="s">
        <v>479</v>
      </c>
    </row>
    <row r="1741" spans="2:14" ht="48" x14ac:dyDescent="0.2">
      <c r="B1741" s="143" t="s">
        <v>103</v>
      </c>
      <c r="C1741" s="19" t="s">
        <v>40</v>
      </c>
      <c r="E1741" s="34" t="s">
        <v>0</v>
      </c>
      <c r="G1741" s="62" t="s">
        <v>41</v>
      </c>
      <c r="H1741" s="61">
        <v>18223</v>
      </c>
      <c r="N1741" s="67" t="s">
        <v>479</v>
      </c>
    </row>
    <row r="1742" spans="2:14" ht="17" x14ac:dyDescent="0.2">
      <c r="B1742" s="144" t="s">
        <v>96</v>
      </c>
      <c r="C1742" s="19" t="s">
        <v>40</v>
      </c>
      <c r="E1742" s="34" t="s">
        <v>0</v>
      </c>
      <c r="G1742" s="62" t="s">
        <v>41</v>
      </c>
      <c r="H1742" s="61">
        <v>18223</v>
      </c>
      <c r="N1742" s="67" t="s">
        <v>479</v>
      </c>
    </row>
    <row r="1743" spans="2:14" ht="32" x14ac:dyDescent="0.2">
      <c r="B1743" s="143" t="s">
        <v>104</v>
      </c>
      <c r="C1743" s="19" t="s">
        <v>40</v>
      </c>
      <c r="E1743" s="34" t="s">
        <v>0</v>
      </c>
      <c r="G1743" s="62" t="s">
        <v>41</v>
      </c>
      <c r="H1743" s="61">
        <v>18223</v>
      </c>
      <c r="N1743" s="67" t="s">
        <v>479</v>
      </c>
    </row>
    <row r="1744" spans="2:14" ht="32" x14ac:dyDescent="0.2">
      <c r="B1744" s="142" t="s">
        <v>105</v>
      </c>
      <c r="C1744" s="19" t="s">
        <v>40</v>
      </c>
      <c r="E1744" s="34" t="s">
        <v>0</v>
      </c>
      <c r="G1744" s="62" t="s">
        <v>41</v>
      </c>
      <c r="H1744" s="61">
        <v>18223</v>
      </c>
      <c r="N1744" s="67" t="s">
        <v>479</v>
      </c>
    </row>
    <row r="1745" spans="2:14" ht="17" x14ac:dyDescent="0.2">
      <c r="B1745" s="144" t="s">
        <v>99</v>
      </c>
      <c r="C1745" s="19" t="s">
        <v>40</v>
      </c>
      <c r="E1745" s="34" t="s">
        <v>0</v>
      </c>
      <c r="G1745" s="62" t="s">
        <v>41</v>
      </c>
      <c r="H1745" s="61">
        <v>18223</v>
      </c>
      <c r="N1745" s="67" t="s">
        <v>479</v>
      </c>
    </row>
    <row r="1746" spans="2:14" ht="17" x14ac:dyDescent="0.2">
      <c r="B1746" s="143" t="s">
        <v>106</v>
      </c>
      <c r="C1746" s="19" t="s">
        <v>40</v>
      </c>
      <c r="E1746" s="34" t="s">
        <v>0</v>
      </c>
      <c r="G1746" s="62" t="s">
        <v>41</v>
      </c>
      <c r="H1746" s="61">
        <v>18223</v>
      </c>
      <c r="N1746" s="67" t="s">
        <v>479</v>
      </c>
    </row>
    <row r="1747" spans="2:14" x14ac:dyDescent="0.2">
      <c r="B1747" s="140" t="s">
        <v>101</v>
      </c>
    </row>
    <row r="1748" spans="2:14" ht="17" x14ac:dyDescent="0.2">
      <c r="B1748" s="141" t="s">
        <v>87</v>
      </c>
      <c r="C1748" s="19" t="s">
        <v>40</v>
      </c>
      <c r="E1748" s="34" t="s">
        <v>0</v>
      </c>
      <c r="G1748" s="62" t="s">
        <v>41</v>
      </c>
      <c r="H1748" s="61">
        <v>18223</v>
      </c>
      <c r="N1748" s="67" t="s">
        <v>479</v>
      </c>
    </row>
    <row r="1749" spans="2:14" ht="32" x14ac:dyDescent="0.2">
      <c r="B1749" s="142" t="s">
        <v>102</v>
      </c>
      <c r="C1749" s="19" t="s">
        <v>40</v>
      </c>
      <c r="E1749" s="34" t="s">
        <v>0</v>
      </c>
      <c r="G1749" s="62" t="s">
        <v>41</v>
      </c>
      <c r="H1749" s="61">
        <v>18223</v>
      </c>
      <c r="N1749" s="67" t="s">
        <v>479</v>
      </c>
    </row>
    <row r="1750" spans="2:14" ht="48" x14ac:dyDescent="0.2">
      <c r="B1750" s="143" t="s">
        <v>108</v>
      </c>
      <c r="C1750" s="19" t="s">
        <v>40</v>
      </c>
      <c r="E1750" s="34" t="s">
        <v>0</v>
      </c>
      <c r="G1750" s="62" t="s">
        <v>41</v>
      </c>
      <c r="H1750" s="61">
        <v>18223</v>
      </c>
      <c r="N1750" s="67" t="s">
        <v>479</v>
      </c>
    </row>
    <row r="1751" spans="2:14" ht="17" x14ac:dyDescent="0.2">
      <c r="B1751" s="144" t="s">
        <v>96</v>
      </c>
      <c r="C1751" s="19" t="s">
        <v>40</v>
      </c>
      <c r="E1751" s="34" t="s">
        <v>0</v>
      </c>
      <c r="G1751" s="62" t="s">
        <v>41</v>
      </c>
      <c r="H1751" s="61">
        <v>18223</v>
      </c>
      <c r="N1751" s="67" t="s">
        <v>479</v>
      </c>
    </row>
    <row r="1752" spans="2:14" ht="32" x14ac:dyDescent="0.2">
      <c r="B1752" s="143" t="s">
        <v>109</v>
      </c>
      <c r="C1752" s="19" t="s">
        <v>40</v>
      </c>
      <c r="E1752" s="34" t="s">
        <v>0</v>
      </c>
      <c r="G1752" s="62" t="s">
        <v>41</v>
      </c>
      <c r="H1752" s="61">
        <v>18223</v>
      </c>
      <c r="N1752" s="67" t="s">
        <v>479</v>
      </c>
    </row>
    <row r="1753" spans="2:14" ht="32" x14ac:dyDescent="0.2">
      <c r="B1753" s="142" t="s">
        <v>110</v>
      </c>
      <c r="C1753" s="19" t="s">
        <v>40</v>
      </c>
      <c r="E1753" s="34" t="s">
        <v>0</v>
      </c>
      <c r="G1753" s="62" t="s">
        <v>41</v>
      </c>
      <c r="H1753" s="61">
        <v>18223</v>
      </c>
      <c r="N1753" s="67" t="s">
        <v>479</v>
      </c>
    </row>
    <row r="1754" spans="2:14" ht="17" x14ac:dyDescent="0.2">
      <c r="B1754" s="144" t="s">
        <v>99</v>
      </c>
      <c r="C1754" s="19" t="s">
        <v>40</v>
      </c>
      <c r="E1754" s="34" t="s">
        <v>0</v>
      </c>
      <c r="G1754" s="62" t="s">
        <v>41</v>
      </c>
      <c r="H1754" s="61">
        <v>18223</v>
      </c>
      <c r="N1754" s="67" t="s">
        <v>479</v>
      </c>
    </row>
    <row r="1755" spans="2:14" ht="17" x14ac:dyDescent="0.2">
      <c r="B1755" s="143" t="s">
        <v>111</v>
      </c>
      <c r="C1755" s="19" t="s">
        <v>40</v>
      </c>
      <c r="E1755" s="34" t="s">
        <v>0</v>
      </c>
      <c r="G1755" s="62" t="s">
        <v>41</v>
      </c>
      <c r="H1755" s="61">
        <v>18223</v>
      </c>
      <c r="N1755" s="67" t="s">
        <v>479</v>
      </c>
    </row>
    <row r="1756" spans="2:14" x14ac:dyDescent="0.2">
      <c r="B1756" s="140" t="s">
        <v>107</v>
      </c>
    </row>
    <row r="1757" spans="2:14" ht="17" x14ac:dyDescent="0.2">
      <c r="B1757" s="141" t="s">
        <v>87</v>
      </c>
      <c r="C1757" s="19" t="s">
        <v>40</v>
      </c>
      <c r="E1757" s="34" t="s">
        <v>0</v>
      </c>
      <c r="G1757" s="62" t="s">
        <v>41</v>
      </c>
      <c r="H1757" s="61">
        <v>18223</v>
      </c>
      <c r="N1757" s="67" t="s">
        <v>479</v>
      </c>
    </row>
    <row r="1758" spans="2:14" ht="32" x14ac:dyDescent="0.2">
      <c r="B1758" s="142" t="s">
        <v>102</v>
      </c>
      <c r="C1758" s="19" t="s">
        <v>40</v>
      </c>
      <c r="E1758" s="34" t="s">
        <v>0</v>
      </c>
      <c r="G1758" s="62" t="s">
        <v>41</v>
      </c>
      <c r="H1758" s="61">
        <v>18223</v>
      </c>
      <c r="N1758" s="67" t="s">
        <v>479</v>
      </c>
    </row>
    <row r="1759" spans="2:14" ht="48" x14ac:dyDescent="0.2">
      <c r="B1759" s="143" t="s">
        <v>113</v>
      </c>
      <c r="C1759" s="19" t="s">
        <v>40</v>
      </c>
      <c r="E1759" s="34" t="s">
        <v>0</v>
      </c>
      <c r="G1759" s="62" t="s">
        <v>41</v>
      </c>
      <c r="H1759" s="61">
        <v>18223</v>
      </c>
      <c r="N1759" s="67" t="s">
        <v>479</v>
      </c>
    </row>
    <row r="1760" spans="2:14" ht="17" x14ac:dyDescent="0.2">
      <c r="B1760" s="144" t="s">
        <v>96</v>
      </c>
      <c r="C1760" s="19" t="s">
        <v>40</v>
      </c>
      <c r="E1760" s="34" t="s">
        <v>0</v>
      </c>
      <c r="G1760" s="62" t="s">
        <v>41</v>
      </c>
      <c r="H1760" s="61">
        <v>18223</v>
      </c>
      <c r="N1760" s="67" t="s">
        <v>479</v>
      </c>
    </row>
    <row r="1761" spans="2:14" ht="32" x14ac:dyDescent="0.2">
      <c r="B1761" s="143" t="s">
        <v>97</v>
      </c>
      <c r="C1761" s="19" t="s">
        <v>40</v>
      </c>
      <c r="E1761" s="34" t="s">
        <v>0</v>
      </c>
      <c r="G1761" s="62" t="s">
        <v>41</v>
      </c>
      <c r="H1761" s="61">
        <v>18223</v>
      </c>
      <c r="N1761" s="67" t="s">
        <v>479</v>
      </c>
    </row>
    <row r="1762" spans="2:14" ht="32" x14ac:dyDescent="0.2">
      <c r="B1762" s="142" t="s">
        <v>114</v>
      </c>
      <c r="C1762" s="19" t="s">
        <v>40</v>
      </c>
      <c r="E1762" s="34" t="s">
        <v>0</v>
      </c>
      <c r="G1762" s="62" t="s">
        <v>41</v>
      </c>
      <c r="H1762" s="61">
        <v>18223</v>
      </c>
      <c r="N1762" s="67" t="s">
        <v>479</v>
      </c>
    </row>
    <row r="1763" spans="2:14" ht="17" x14ac:dyDescent="0.2">
      <c r="B1763" s="144" t="s">
        <v>99</v>
      </c>
      <c r="C1763" s="19" t="s">
        <v>40</v>
      </c>
      <c r="E1763" s="34" t="s">
        <v>0</v>
      </c>
      <c r="G1763" s="62" t="s">
        <v>41</v>
      </c>
      <c r="H1763" s="61">
        <v>18223</v>
      </c>
      <c r="N1763" s="67" t="s">
        <v>479</v>
      </c>
    </row>
    <row r="1764" spans="2:14" ht="17" x14ac:dyDescent="0.2">
      <c r="B1764" s="143" t="s">
        <v>115</v>
      </c>
      <c r="C1764" s="19" t="s">
        <v>40</v>
      </c>
      <c r="E1764" s="34" t="s">
        <v>0</v>
      </c>
      <c r="G1764" s="62" t="s">
        <v>41</v>
      </c>
      <c r="H1764" s="61">
        <v>18223</v>
      </c>
      <c r="N1764" s="67" t="s">
        <v>479</v>
      </c>
    </row>
    <row r="1765" spans="2:14" ht="17" x14ac:dyDescent="0.2">
      <c r="B1765" s="128" t="s">
        <v>121</v>
      </c>
      <c r="C1765" s="19"/>
    </row>
    <row r="1766" spans="2:14" ht="17" x14ac:dyDescent="0.2">
      <c r="B1766" s="145" t="s">
        <v>122</v>
      </c>
      <c r="C1766" s="19" t="s">
        <v>40</v>
      </c>
      <c r="E1766" s="34" t="s">
        <v>0</v>
      </c>
      <c r="G1766" s="62" t="s">
        <v>41</v>
      </c>
      <c r="H1766" s="61">
        <v>18223</v>
      </c>
      <c r="N1766" s="67" t="s">
        <v>479</v>
      </c>
    </row>
    <row r="1767" spans="2:14" ht="17" x14ac:dyDescent="0.2">
      <c r="B1767" s="139" t="s">
        <v>123</v>
      </c>
      <c r="C1767" s="19" t="s">
        <v>40</v>
      </c>
      <c r="E1767" s="34" t="s">
        <v>0</v>
      </c>
      <c r="G1767" s="62" t="s">
        <v>41</v>
      </c>
      <c r="H1767" s="61">
        <v>18223</v>
      </c>
      <c r="N1767" s="67" t="s">
        <v>479</v>
      </c>
    </row>
    <row r="1768" spans="2:14" ht="34" x14ac:dyDescent="0.2">
      <c r="B1768" s="139" t="s">
        <v>329</v>
      </c>
      <c r="C1768" s="19" t="s">
        <v>40</v>
      </c>
      <c r="E1768" s="34" t="s">
        <v>0</v>
      </c>
      <c r="G1768" s="62" t="s">
        <v>41</v>
      </c>
      <c r="H1768" s="61">
        <v>18223</v>
      </c>
      <c r="N1768" s="67" t="s">
        <v>479</v>
      </c>
    </row>
    <row r="1769" spans="2:14" ht="17" x14ac:dyDescent="0.2">
      <c r="B1769" s="248" t="s">
        <v>125</v>
      </c>
      <c r="C1769" s="19" t="s">
        <v>40</v>
      </c>
      <c r="E1769" s="34" t="s">
        <v>0</v>
      </c>
      <c r="G1769" s="62" t="s">
        <v>41</v>
      </c>
      <c r="H1769" s="61">
        <v>18223</v>
      </c>
      <c r="N1769" s="67" t="s">
        <v>479</v>
      </c>
    </row>
    <row r="1770" spans="2:14" ht="17" x14ac:dyDescent="0.2">
      <c r="B1770" s="243" t="s">
        <v>126</v>
      </c>
      <c r="C1770" s="19" t="s">
        <v>40</v>
      </c>
      <c r="E1770" s="34" t="s">
        <v>0</v>
      </c>
      <c r="G1770" s="62" t="s">
        <v>41</v>
      </c>
      <c r="H1770" s="61">
        <v>18223</v>
      </c>
      <c r="N1770" s="67" t="s">
        <v>479</v>
      </c>
    </row>
    <row r="1771" spans="2:14" ht="17" x14ac:dyDescent="0.2">
      <c r="B1771" s="244" t="s">
        <v>127</v>
      </c>
      <c r="C1771" s="19" t="s">
        <v>40</v>
      </c>
      <c r="E1771" s="34" t="s">
        <v>0</v>
      </c>
      <c r="G1771" s="62" t="s">
        <v>41</v>
      </c>
      <c r="H1771" s="61">
        <v>18223</v>
      </c>
      <c r="N1771" s="67" t="s">
        <v>479</v>
      </c>
    </row>
    <row r="1772" spans="2:14" ht="17" x14ac:dyDescent="0.2">
      <c r="B1772" s="244" t="s">
        <v>128</v>
      </c>
      <c r="C1772" s="19" t="s">
        <v>40</v>
      </c>
      <c r="E1772" s="34" t="s">
        <v>0</v>
      </c>
      <c r="G1772" s="62" t="s">
        <v>41</v>
      </c>
      <c r="H1772" s="61">
        <v>18223</v>
      </c>
      <c r="N1772" s="67" t="s">
        <v>479</v>
      </c>
    </row>
    <row r="1773" spans="2:14" ht="17" x14ac:dyDescent="0.2">
      <c r="B1773" s="245" t="s">
        <v>129</v>
      </c>
      <c r="C1773" s="19" t="s">
        <v>40</v>
      </c>
      <c r="E1773" s="34" t="s">
        <v>0</v>
      </c>
      <c r="G1773" s="62" t="s">
        <v>41</v>
      </c>
      <c r="H1773" s="61">
        <v>18223</v>
      </c>
      <c r="N1773" s="67" t="s">
        <v>479</v>
      </c>
    </row>
    <row r="1774" spans="2:14" ht="17" x14ac:dyDescent="0.2">
      <c r="B1774" s="227" t="s">
        <v>130</v>
      </c>
      <c r="C1774" s="19" t="s">
        <v>40</v>
      </c>
      <c r="E1774" s="34" t="s">
        <v>0</v>
      </c>
      <c r="G1774" s="62" t="s">
        <v>41</v>
      </c>
      <c r="H1774" s="61">
        <v>18223</v>
      </c>
      <c r="N1774" s="67" t="s">
        <v>479</v>
      </c>
    </row>
    <row r="1775" spans="2:14" ht="17" x14ac:dyDescent="0.2">
      <c r="B1775" s="246" t="s">
        <v>501</v>
      </c>
      <c r="C1775" s="19" t="s">
        <v>40</v>
      </c>
      <c r="E1775" s="34" t="s">
        <v>0</v>
      </c>
      <c r="G1775" s="62" t="s">
        <v>41</v>
      </c>
      <c r="H1775" s="61">
        <v>18223</v>
      </c>
      <c r="N1775" s="67" t="s">
        <v>479</v>
      </c>
    </row>
    <row r="1776" spans="2:14" ht="17" x14ac:dyDescent="0.2">
      <c r="B1776" s="247" t="s">
        <v>132</v>
      </c>
      <c r="C1776" s="19" t="s">
        <v>40</v>
      </c>
      <c r="E1776" s="34" t="s">
        <v>0</v>
      </c>
      <c r="G1776" s="62" t="s">
        <v>41</v>
      </c>
      <c r="H1776" s="61">
        <v>18223</v>
      </c>
      <c r="N1776" s="67" t="s">
        <v>479</v>
      </c>
    </row>
    <row r="1777" spans="2:14" ht="17" x14ac:dyDescent="0.2">
      <c r="B1777" s="247" t="s">
        <v>134</v>
      </c>
      <c r="C1777" s="19" t="s">
        <v>40</v>
      </c>
      <c r="E1777" s="34" t="s">
        <v>0</v>
      </c>
      <c r="G1777" s="62" t="s">
        <v>41</v>
      </c>
      <c r="H1777" s="61">
        <v>18223</v>
      </c>
      <c r="N1777" s="67" t="s">
        <v>479</v>
      </c>
    </row>
    <row r="1778" spans="2:14" ht="17" x14ac:dyDescent="0.2">
      <c r="B1778" s="247" t="s">
        <v>136</v>
      </c>
      <c r="C1778" s="19" t="s">
        <v>40</v>
      </c>
      <c r="E1778" s="34" t="s">
        <v>0</v>
      </c>
      <c r="G1778" s="62" t="s">
        <v>41</v>
      </c>
      <c r="H1778" s="61">
        <v>18223</v>
      </c>
      <c r="N1778" s="67" t="s">
        <v>479</v>
      </c>
    </row>
    <row r="1779" spans="2:14" ht="23" x14ac:dyDescent="0.3">
      <c r="B1779" s="148" t="s">
        <v>137</v>
      </c>
      <c r="C1779" s="19"/>
    </row>
    <row r="1780" spans="2:14" ht="23" x14ac:dyDescent="0.3">
      <c r="B1780" s="148" t="s">
        <v>138</v>
      </c>
      <c r="C1780" s="19"/>
    </row>
    <row r="1781" spans="2:14" ht="17" x14ac:dyDescent="0.2">
      <c r="B1781" s="147" t="s">
        <v>330</v>
      </c>
      <c r="C1781" s="19" t="s">
        <v>40</v>
      </c>
      <c r="E1781" s="34" t="s">
        <v>0</v>
      </c>
      <c r="G1781" s="62" t="s">
        <v>41</v>
      </c>
      <c r="H1781" s="61">
        <v>18223</v>
      </c>
      <c r="N1781" s="67" t="s">
        <v>479</v>
      </c>
    </row>
    <row r="1782" spans="2:14" ht="34" x14ac:dyDescent="0.2">
      <c r="B1782" s="147" t="s">
        <v>538</v>
      </c>
      <c r="C1782" s="19" t="s">
        <v>40</v>
      </c>
      <c r="E1782" s="34" t="s">
        <v>0</v>
      </c>
      <c r="G1782" s="62" t="s">
        <v>41</v>
      </c>
      <c r="H1782" s="61">
        <v>18223</v>
      </c>
      <c r="N1782" s="67" t="s">
        <v>479</v>
      </c>
    </row>
    <row r="1783" spans="2:14" ht="17" x14ac:dyDescent="0.2">
      <c r="B1783" s="147" t="s">
        <v>332</v>
      </c>
      <c r="C1783" s="19" t="s">
        <v>40</v>
      </c>
      <c r="E1783" s="34" t="s">
        <v>0</v>
      </c>
      <c r="G1783" s="62" t="s">
        <v>41</v>
      </c>
      <c r="H1783" s="61">
        <v>18223</v>
      </c>
      <c r="N1783" s="67" t="s">
        <v>479</v>
      </c>
    </row>
    <row r="1784" spans="2:14" ht="17" x14ac:dyDescent="0.2">
      <c r="B1784" s="147" t="s">
        <v>539</v>
      </c>
      <c r="C1784" s="19" t="s">
        <v>40</v>
      </c>
      <c r="E1784" s="34" t="s">
        <v>0</v>
      </c>
      <c r="G1784" s="62" t="s">
        <v>41</v>
      </c>
      <c r="H1784" s="61">
        <v>18223</v>
      </c>
      <c r="N1784" s="67" t="s">
        <v>479</v>
      </c>
    </row>
    <row r="1785" spans="2:14" ht="17" x14ac:dyDescent="0.2">
      <c r="B1785" s="147" t="s">
        <v>143</v>
      </c>
      <c r="C1785" s="19" t="s">
        <v>40</v>
      </c>
      <c r="E1785" s="34" t="s">
        <v>0</v>
      </c>
      <c r="G1785" s="62" t="s">
        <v>41</v>
      </c>
      <c r="H1785" s="61">
        <v>18223</v>
      </c>
      <c r="N1785" s="67" t="s">
        <v>479</v>
      </c>
    </row>
    <row r="1786" spans="2:14" ht="23" x14ac:dyDescent="0.3">
      <c r="B1786" s="148" t="s">
        <v>144</v>
      </c>
      <c r="C1786" s="19"/>
    </row>
    <row r="1787" spans="2:14" ht="17" x14ac:dyDescent="0.2">
      <c r="B1787" s="147" t="s">
        <v>145</v>
      </c>
      <c r="C1787" s="19" t="s">
        <v>40</v>
      </c>
      <c r="E1787" s="34" t="s">
        <v>0</v>
      </c>
      <c r="G1787" s="62" t="s">
        <v>41</v>
      </c>
      <c r="H1787" s="61">
        <v>18223</v>
      </c>
      <c r="N1787" s="67" t="s">
        <v>479</v>
      </c>
    </row>
    <row r="1788" spans="2:14" ht="17" x14ac:dyDescent="0.2">
      <c r="B1788" s="147" t="s">
        <v>146</v>
      </c>
      <c r="C1788" s="19" t="s">
        <v>40</v>
      </c>
      <c r="E1788" s="34" t="s">
        <v>0</v>
      </c>
      <c r="G1788" s="62" t="s">
        <v>41</v>
      </c>
      <c r="H1788" s="61">
        <v>18223</v>
      </c>
      <c r="N1788" s="67" t="s">
        <v>479</v>
      </c>
    </row>
    <row r="1789" spans="2:14" ht="17" x14ac:dyDescent="0.2">
      <c r="B1789" s="147" t="s">
        <v>147</v>
      </c>
      <c r="C1789" s="19" t="s">
        <v>40</v>
      </c>
      <c r="E1789" s="34" t="s">
        <v>0</v>
      </c>
      <c r="G1789" s="62" t="s">
        <v>41</v>
      </c>
      <c r="H1789" s="61">
        <v>18223</v>
      </c>
      <c r="N1789" s="67" t="s">
        <v>479</v>
      </c>
    </row>
    <row r="1790" spans="2:14" ht="17" x14ac:dyDescent="0.2">
      <c r="B1790" s="147" t="s">
        <v>148</v>
      </c>
      <c r="C1790" s="19" t="s">
        <v>40</v>
      </c>
      <c r="E1790" s="34" t="s">
        <v>0</v>
      </c>
      <c r="G1790" s="62" t="s">
        <v>41</v>
      </c>
      <c r="H1790" s="61">
        <v>18223</v>
      </c>
      <c r="N1790" s="67" t="s">
        <v>479</v>
      </c>
    </row>
    <row r="1791" spans="2:14" ht="17" x14ac:dyDescent="0.2">
      <c r="B1791" s="147" t="s">
        <v>149</v>
      </c>
      <c r="C1791" s="19" t="s">
        <v>40</v>
      </c>
      <c r="E1791" s="34" t="s">
        <v>0</v>
      </c>
      <c r="G1791" s="62" t="s">
        <v>41</v>
      </c>
      <c r="H1791" s="61">
        <v>18223</v>
      </c>
      <c r="N1791" s="67" t="s">
        <v>479</v>
      </c>
    </row>
    <row r="1792" spans="2:14" ht="20" x14ac:dyDescent="0.2">
      <c r="B1792" s="177" t="s">
        <v>51</v>
      </c>
      <c r="C1792" s="19"/>
    </row>
    <row r="1793" spans="2:14" ht="17" x14ac:dyDescent="0.2">
      <c r="B1793" s="128" t="s">
        <v>502</v>
      </c>
    </row>
    <row r="1794" spans="2:14" ht="17" x14ac:dyDescent="0.2">
      <c r="B1794" s="132" t="s">
        <v>60</v>
      </c>
      <c r="C1794" s="19"/>
    </row>
    <row r="1795" spans="2:14" ht="17" x14ac:dyDescent="0.2">
      <c r="B1795" s="135" t="s">
        <v>61</v>
      </c>
      <c r="C1795" s="19" t="s">
        <v>40</v>
      </c>
      <c r="E1795" s="34" t="s">
        <v>0</v>
      </c>
      <c r="G1795" s="62" t="s">
        <v>41</v>
      </c>
      <c r="H1795" s="61">
        <v>18223</v>
      </c>
      <c r="N1795" s="67" t="s">
        <v>479</v>
      </c>
    </row>
    <row r="1796" spans="2:14" ht="17" x14ac:dyDescent="0.2">
      <c r="B1796" s="136" t="s">
        <v>62</v>
      </c>
      <c r="C1796" s="19" t="s">
        <v>40</v>
      </c>
      <c r="E1796" s="34" t="s">
        <v>0</v>
      </c>
      <c r="G1796" s="62" t="s">
        <v>41</v>
      </c>
      <c r="H1796" s="61">
        <v>18223</v>
      </c>
      <c r="N1796" s="67" t="s">
        <v>479</v>
      </c>
    </row>
    <row r="1797" spans="2:14" ht="96" x14ac:dyDescent="0.2">
      <c r="B1797" s="137" t="s">
        <v>63</v>
      </c>
      <c r="C1797" s="19" t="s">
        <v>40</v>
      </c>
      <c r="E1797" s="34" t="s">
        <v>0</v>
      </c>
      <c r="G1797" s="62" t="s">
        <v>41</v>
      </c>
      <c r="H1797" s="61">
        <v>18223</v>
      </c>
      <c r="N1797" s="67" t="s">
        <v>479</v>
      </c>
    </row>
    <row r="1798" spans="2:14" ht="17" x14ac:dyDescent="0.2">
      <c r="B1798" s="136" t="s">
        <v>64</v>
      </c>
      <c r="C1798" s="19" t="s">
        <v>40</v>
      </c>
      <c r="E1798" s="34" t="s">
        <v>0</v>
      </c>
      <c r="G1798" s="62" t="s">
        <v>41</v>
      </c>
      <c r="H1798" s="61">
        <v>18223</v>
      </c>
      <c r="N1798" s="67" t="s">
        <v>479</v>
      </c>
    </row>
    <row r="1799" spans="2:14" ht="20" x14ac:dyDescent="0.25">
      <c r="B1799" s="149" t="s">
        <v>150</v>
      </c>
      <c r="C1799" s="19"/>
    </row>
    <row r="1800" spans="2:14" x14ac:dyDescent="0.2">
      <c r="B1800" s="150" t="s">
        <v>151</v>
      </c>
      <c r="C1800" s="19"/>
    </row>
    <row r="1801" spans="2:14" ht="17" x14ac:dyDescent="0.2">
      <c r="B1801" s="151" t="s">
        <v>152</v>
      </c>
      <c r="C1801" s="19" t="s">
        <v>40</v>
      </c>
      <c r="E1801" s="34" t="s">
        <v>0</v>
      </c>
      <c r="G1801" s="62" t="s">
        <v>41</v>
      </c>
      <c r="H1801" s="61">
        <v>18223</v>
      </c>
      <c r="N1801" s="67" t="s">
        <v>479</v>
      </c>
    </row>
    <row r="1802" spans="2:14" ht="17" x14ac:dyDescent="0.2">
      <c r="B1802" s="151" t="s">
        <v>153</v>
      </c>
      <c r="C1802" s="19" t="s">
        <v>40</v>
      </c>
      <c r="E1802" s="34" t="s">
        <v>0</v>
      </c>
      <c r="G1802" s="62" t="s">
        <v>41</v>
      </c>
      <c r="H1802" s="61">
        <v>18223</v>
      </c>
      <c r="N1802" s="67" t="s">
        <v>479</v>
      </c>
    </row>
    <row r="1803" spans="2:14" ht="17" x14ac:dyDescent="0.2">
      <c r="B1803" s="152" t="s">
        <v>154</v>
      </c>
      <c r="C1803" s="19" t="s">
        <v>40</v>
      </c>
      <c r="E1803" s="34" t="s">
        <v>0</v>
      </c>
      <c r="G1803" s="62" t="s">
        <v>41</v>
      </c>
      <c r="H1803" s="61">
        <v>18223</v>
      </c>
      <c r="N1803" s="67" t="s">
        <v>479</v>
      </c>
    </row>
    <row r="1804" spans="2:14" ht="17" x14ac:dyDescent="0.2">
      <c r="B1804" s="143" t="s">
        <v>155</v>
      </c>
      <c r="C1804" s="19" t="s">
        <v>40</v>
      </c>
      <c r="E1804" s="34" t="s">
        <v>0</v>
      </c>
      <c r="G1804" s="62" t="s">
        <v>41</v>
      </c>
      <c r="H1804" s="61">
        <v>18223</v>
      </c>
      <c r="N1804" s="67" t="s">
        <v>479</v>
      </c>
    </row>
    <row r="1805" spans="2:14" x14ac:dyDescent="0.2">
      <c r="B1805" s="153" t="s">
        <v>156</v>
      </c>
    </row>
    <row r="1806" spans="2:14" x14ac:dyDescent="0.2">
      <c r="B1806" s="153" t="s">
        <v>157</v>
      </c>
      <c r="C1806" s="19"/>
    </row>
    <row r="1807" spans="2:14" ht="17" x14ac:dyDescent="0.2">
      <c r="B1807" s="154" t="s">
        <v>158</v>
      </c>
      <c r="C1807" s="19" t="s">
        <v>40</v>
      </c>
      <c r="E1807" s="34" t="s">
        <v>0</v>
      </c>
      <c r="G1807" s="62" t="s">
        <v>41</v>
      </c>
      <c r="H1807" s="61">
        <v>18223</v>
      </c>
      <c r="N1807" s="67" t="s">
        <v>479</v>
      </c>
    </row>
    <row r="1808" spans="2:14" ht="17" x14ac:dyDescent="0.2">
      <c r="B1808" s="155" t="s">
        <v>159</v>
      </c>
      <c r="C1808" s="19" t="s">
        <v>40</v>
      </c>
      <c r="E1808" s="34" t="s">
        <v>0</v>
      </c>
      <c r="G1808" s="62" t="s">
        <v>41</v>
      </c>
      <c r="H1808" s="61">
        <v>18223</v>
      </c>
      <c r="N1808" s="67" t="s">
        <v>479</v>
      </c>
    </row>
    <row r="1809" spans="2:14" ht="17" x14ac:dyDescent="0.2">
      <c r="B1809" s="151" t="s">
        <v>160</v>
      </c>
      <c r="C1809" s="19" t="s">
        <v>40</v>
      </c>
      <c r="E1809" s="34" t="s">
        <v>0</v>
      </c>
      <c r="G1809" s="62" t="s">
        <v>41</v>
      </c>
      <c r="H1809" s="61">
        <v>18223</v>
      </c>
      <c r="N1809" s="67" t="s">
        <v>479</v>
      </c>
    </row>
    <row r="1810" spans="2:14" x14ac:dyDescent="0.2">
      <c r="B1810" s="153" t="s">
        <v>161</v>
      </c>
      <c r="C1810" s="19"/>
    </row>
    <row r="1811" spans="2:14" x14ac:dyDescent="0.2">
      <c r="B1811" s="156" t="s">
        <v>162</v>
      </c>
      <c r="C1811" s="19"/>
    </row>
    <row r="1812" spans="2:14" ht="48" x14ac:dyDescent="0.2">
      <c r="B1812" s="151" t="s">
        <v>163</v>
      </c>
      <c r="C1812" s="19" t="s">
        <v>40</v>
      </c>
      <c r="E1812" s="34" t="s">
        <v>0</v>
      </c>
      <c r="G1812" s="62" t="s">
        <v>41</v>
      </c>
      <c r="H1812" s="61">
        <v>18223</v>
      </c>
      <c r="N1812" s="67" t="s">
        <v>479</v>
      </c>
    </row>
    <row r="1813" spans="2:14" ht="17" x14ac:dyDescent="0.2">
      <c r="B1813" s="138" t="s">
        <v>164</v>
      </c>
      <c r="C1813" s="19" t="s">
        <v>40</v>
      </c>
      <c r="E1813" s="34" t="s">
        <v>0</v>
      </c>
      <c r="G1813" s="62" t="s">
        <v>41</v>
      </c>
      <c r="H1813" s="61">
        <v>18223</v>
      </c>
      <c r="N1813" s="67" t="s">
        <v>479</v>
      </c>
    </row>
    <row r="1814" spans="2:14" x14ac:dyDescent="0.2">
      <c r="B1814" s="156" t="s">
        <v>165</v>
      </c>
      <c r="C1814" s="19"/>
    </row>
    <row r="1815" spans="2:14" ht="48" x14ac:dyDescent="0.2">
      <c r="B1815" s="151" t="s">
        <v>166</v>
      </c>
      <c r="C1815" s="19" t="s">
        <v>40</v>
      </c>
      <c r="E1815" s="34" t="s">
        <v>0</v>
      </c>
      <c r="G1815" s="62" t="s">
        <v>41</v>
      </c>
      <c r="H1815" s="61">
        <v>18223</v>
      </c>
      <c r="N1815" s="67" t="s">
        <v>479</v>
      </c>
    </row>
    <row r="1816" spans="2:14" ht="17" x14ac:dyDescent="0.2">
      <c r="B1816" s="138" t="s">
        <v>167</v>
      </c>
      <c r="C1816" s="19" t="s">
        <v>40</v>
      </c>
      <c r="E1816" s="34" t="s">
        <v>0</v>
      </c>
      <c r="G1816" s="62" t="s">
        <v>41</v>
      </c>
      <c r="H1816" s="61">
        <v>18223</v>
      </c>
      <c r="N1816" s="67" t="s">
        <v>479</v>
      </c>
    </row>
    <row r="1817" spans="2:14" x14ac:dyDescent="0.2">
      <c r="B1817" s="157" t="s">
        <v>168</v>
      </c>
    </row>
    <row r="1818" spans="2:14" ht="51" x14ac:dyDescent="0.2">
      <c r="B1818" s="158" t="s">
        <v>169</v>
      </c>
      <c r="C1818" s="19" t="s">
        <v>40</v>
      </c>
      <c r="E1818" s="34" t="s">
        <v>0</v>
      </c>
      <c r="G1818" s="62" t="s">
        <v>41</v>
      </c>
      <c r="H1818" s="61">
        <v>18223</v>
      </c>
      <c r="N1818" s="67" t="s">
        <v>479</v>
      </c>
    </row>
    <row r="1819" spans="2:14" ht="17" x14ac:dyDescent="0.2">
      <c r="B1819" s="159" t="s">
        <v>170</v>
      </c>
      <c r="C1819" s="19" t="s">
        <v>40</v>
      </c>
      <c r="E1819" s="34" t="s">
        <v>0</v>
      </c>
      <c r="G1819" s="62" t="s">
        <v>41</v>
      </c>
      <c r="H1819" s="61">
        <v>18223</v>
      </c>
      <c r="N1819" s="67" t="s">
        <v>479</v>
      </c>
    </row>
    <row r="1820" spans="2:14" x14ac:dyDescent="0.2">
      <c r="B1820" s="157" t="s">
        <v>171</v>
      </c>
      <c r="C1820" s="19"/>
    </row>
    <row r="1821" spans="2:14" ht="48" x14ac:dyDescent="0.2">
      <c r="B1821" s="144" t="s">
        <v>172</v>
      </c>
      <c r="C1821" s="19" t="s">
        <v>40</v>
      </c>
      <c r="E1821" s="34" t="s">
        <v>0</v>
      </c>
      <c r="G1821" s="62" t="s">
        <v>41</v>
      </c>
      <c r="H1821" s="61">
        <v>18223</v>
      </c>
      <c r="N1821" s="67" t="s">
        <v>479</v>
      </c>
    </row>
    <row r="1822" spans="2:14" ht="17" x14ac:dyDescent="0.2">
      <c r="B1822" s="160" t="s">
        <v>173</v>
      </c>
      <c r="C1822" s="19" t="s">
        <v>40</v>
      </c>
      <c r="E1822" s="34" t="s">
        <v>0</v>
      </c>
      <c r="G1822" s="62" t="s">
        <v>41</v>
      </c>
      <c r="H1822" s="61">
        <v>18223</v>
      </c>
      <c r="N1822" s="67" t="s">
        <v>479</v>
      </c>
    </row>
    <row r="1823" spans="2:14" ht="17" x14ac:dyDescent="0.2">
      <c r="B1823" s="161" t="s">
        <v>174</v>
      </c>
    </row>
    <row r="1824" spans="2:14" ht="51" x14ac:dyDescent="0.2">
      <c r="B1824" s="161" t="s">
        <v>175</v>
      </c>
      <c r="C1824" s="19"/>
    </row>
    <row r="1825" spans="2:14" ht="17" x14ac:dyDescent="0.2">
      <c r="B1825" s="131" t="s">
        <v>176</v>
      </c>
      <c r="C1825" s="19" t="s">
        <v>40</v>
      </c>
      <c r="E1825" s="34" t="s">
        <v>0</v>
      </c>
      <c r="G1825" s="62" t="s">
        <v>41</v>
      </c>
      <c r="H1825" s="61">
        <v>18223</v>
      </c>
      <c r="N1825" s="67" t="s">
        <v>479</v>
      </c>
    </row>
    <row r="1826" spans="2:14" ht="17" x14ac:dyDescent="0.2">
      <c r="B1826" s="160" t="s">
        <v>177</v>
      </c>
      <c r="C1826" s="19" t="s">
        <v>40</v>
      </c>
      <c r="E1826" s="34" t="s">
        <v>0</v>
      </c>
      <c r="G1826" s="62" t="s">
        <v>41</v>
      </c>
      <c r="H1826" s="61">
        <v>18223</v>
      </c>
      <c r="N1826" s="67" t="s">
        <v>479</v>
      </c>
    </row>
    <row r="1827" spans="2:14" ht="17" x14ac:dyDescent="0.2">
      <c r="B1827" s="131" t="s">
        <v>178</v>
      </c>
      <c r="C1827" s="19" t="s">
        <v>40</v>
      </c>
      <c r="E1827" s="34" t="s">
        <v>0</v>
      </c>
      <c r="G1827" s="62" t="s">
        <v>41</v>
      </c>
      <c r="H1827" s="61">
        <v>18223</v>
      </c>
      <c r="N1827" s="67" t="s">
        <v>479</v>
      </c>
    </row>
    <row r="1828" spans="2:14" ht="68" x14ac:dyDescent="0.2">
      <c r="B1828" s="131" t="s">
        <v>289</v>
      </c>
      <c r="C1828" s="19" t="s">
        <v>40</v>
      </c>
      <c r="E1828" s="34" t="s">
        <v>0</v>
      </c>
      <c r="G1828" s="62" t="s">
        <v>41</v>
      </c>
      <c r="H1828" s="61">
        <v>18223</v>
      </c>
      <c r="N1828" s="67" t="s">
        <v>479</v>
      </c>
    </row>
    <row r="1829" spans="2:14" ht="17" x14ac:dyDescent="0.2">
      <c r="B1829" s="131" t="s">
        <v>180</v>
      </c>
      <c r="C1829" s="19" t="s">
        <v>40</v>
      </c>
      <c r="E1829" s="34" t="s">
        <v>0</v>
      </c>
      <c r="G1829" s="62" t="s">
        <v>41</v>
      </c>
      <c r="H1829" s="61">
        <v>18223</v>
      </c>
      <c r="N1829" s="67" t="s">
        <v>479</v>
      </c>
    </row>
    <row r="1830" spans="2:14" ht="68" x14ac:dyDescent="0.2">
      <c r="B1830" s="131" t="s">
        <v>503</v>
      </c>
      <c r="C1830" s="19" t="s">
        <v>40</v>
      </c>
      <c r="E1830" s="34" t="s">
        <v>0</v>
      </c>
      <c r="G1830" s="62" t="s">
        <v>41</v>
      </c>
      <c r="H1830" s="61">
        <v>18223</v>
      </c>
      <c r="N1830" s="67" t="s">
        <v>479</v>
      </c>
    </row>
    <row r="1831" spans="2:14" ht="17" x14ac:dyDescent="0.2">
      <c r="B1831" s="160" t="s">
        <v>182</v>
      </c>
      <c r="C1831" s="19" t="s">
        <v>40</v>
      </c>
      <c r="E1831" s="34" t="s">
        <v>0</v>
      </c>
      <c r="G1831" s="62" t="s">
        <v>41</v>
      </c>
      <c r="H1831" s="61">
        <v>18223</v>
      </c>
      <c r="N1831" s="67" t="s">
        <v>479</v>
      </c>
    </row>
    <row r="1832" spans="2:14" ht="68" x14ac:dyDescent="0.2">
      <c r="B1832" s="160" t="s">
        <v>504</v>
      </c>
      <c r="C1832" s="19" t="s">
        <v>40</v>
      </c>
      <c r="E1832" s="34" t="s">
        <v>0</v>
      </c>
      <c r="G1832" s="62" t="s">
        <v>41</v>
      </c>
      <c r="H1832" s="61">
        <v>18223</v>
      </c>
      <c r="N1832" s="67" t="s">
        <v>479</v>
      </c>
    </row>
    <row r="1833" spans="2:14" ht="17" x14ac:dyDescent="0.2">
      <c r="B1833" s="162" t="s">
        <v>184</v>
      </c>
      <c r="C1833" s="19" t="s">
        <v>40</v>
      </c>
      <c r="E1833" s="34" t="s">
        <v>0</v>
      </c>
      <c r="G1833" s="62" t="s">
        <v>41</v>
      </c>
      <c r="H1833" s="61">
        <v>18223</v>
      </c>
      <c r="N1833" s="67" t="s">
        <v>479</v>
      </c>
    </row>
    <row r="1834" spans="2:14" ht="17" x14ac:dyDescent="0.2">
      <c r="B1834" s="162" t="s">
        <v>185</v>
      </c>
      <c r="C1834" s="19" t="s">
        <v>40</v>
      </c>
      <c r="E1834" s="34" t="s">
        <v>0</v>
      </c>
      <c r="G1834" s="62" t="s">
        <v>41</v>
      </c>
      <c r="H1834" s="61">
        <v>18223</v>
      </c>
      <c r="N1834" s="67" t="s">
        <v>479</v>
      </c>
    </row>
  </sheetData>
  <mergeCells count="21">
    <mergeCell ref="B3:C3"/>
    <mergeCell ref="A6:A8"/>
    <mergeCell ref="A9:B9"/>
    <mergeCell ref="A10:B10"/>
    <mergeCell ref="A13:A15"/>
    <mergeCell ref="B13:B15"/>
    <mergeCell ref="C13:C15"/>
    <mergeCell ref="S13:S15"/>
    <mergeCell ref="D14:F14"/>
    <mergeCell ref="G14:G15"/>
    <mergeCell ref="H14:H15"/>
    <mergeCell ref="I14:K14"/>
    <mergeCell ref="L14:L15"/>
    <mergeCell ref="M14:M15"/>
    <mergeCell ref="P14:P15"/>
    <mergeCell ref="Q14:Q15"/>
    <mergeCell ref="R14:R15"/>
    <mergeCell ref="D13:H13"/>
    <mergeCell ref="I13:M13"/>
    <mergeCell ref="O13:O15"/>
    <mergeCell ref="P13:R13"/>
  </mergeCells>
  <conditionalFormatting sqref="B152:B161">
    <cfRule type="containsText" dxfId="64" priority="654" operator="containsText" text="High">
      <formula>NOT(ISERROR(SEARCH("High",B152)))</formula>
    </cfRule>
    <cfRule type="containsText" dxfId="63" priority="653" operator="containsText" text="Medium">
      <formula>NOT(ISERROR(SEARCH("Medium",B152)))</formula>
    </cfRule>
    <cfRule type="containsText" dxfId="62" priority="652" operator="containsText" text="Low">
      <formula>NOT(ISERROR(SEARCH("Low",B152)))</formula>
    </cfRule>
  </conditionalFormatting>
  <conditionalFormatting sqref="B301:B310">
    <cfRule type="containsText" dxfId="61" priority="369" operator="containsText" text="High">
      <formula>NOT(ISERROR(SEARCH("High",B301)))</formula>
    </cfRule>
    <cfRule type="containsText" dxfId="60" priority="368" operator="containsText" text="Medium">
      <formula>NOT(ISERROR(SEARCH("Medium",B301)))</formula>
    </cfRule>
    <cfRule type="containsText" dxfId="59" priority="367" operator="containsText" text="Low">
      <formula>NOT(ISERROR(SEARCH("Low",B301)))</formula>
    </cfRule>
  </conditionalFormatting>
  <conditionalFormatting sqref="B450:B459">
    <cfRule type="containsText" dxfId="58" priority="354" operator="containsText" text="High">
      <formula>NOT(ISERROR(SEARCH("High",B450)))</formula>
    </cfRule>
    <cfRule type="containsText" dxfId="57" priority="353" operator="containsText" text="Medium">
      <formula>NOT(ISERROR(SEARCH("Medium",B450)))</formula>
    </cfRule>
    <cfRule type="containsText" dxfId="56" priority="352" operator="containsText" text="Low">
      <formula>NOT(ISERROR(SEARCH("Low",B450)))</formula>
    </cfRule>
  </conditionalFormatting>
  <conditionalFormatting sqref="B610:B619">
    <cfRule type="containsText" dxfId="55" priority="296" operator="containsText" text="Medium">
      <formula>NOT(ISERROR(SEARCH("Medium",B610)))</formula>
    </cfRule>
    <cfRule type="containsText" dxfId="54" priority="295" operator="containsText" text="Low">
      <formula>NOT(ISERROR(SEARCH("Low",B610)))</formula>
    </cfRule>
    <cfRule type="containsText" dxfId="53" priority="297" operator="containsText" text="High">
      <formula>NOT(ISERROR(SEARCH("High",B610)))</formula>
    </cfRule>
  </conditionalFormatting>
  <conditionalFormatting sqref="B749:B756">
    <cfRule type="containsText" dxfId="52" priority="280" operator="containsText" text="Low">
      <formula>NOT(ISERROR(SEARCH("Low",B749)))</formula>
    </cfRule>
    <cfRule type="containsText" dxfId="51" priority="281" operator="containsText" text="Medium">
      <formula>NOT(ISERROR(SEARCH("Medium",B749)))</formula>
    </cfRule>
    <cfRule type="containsText" dxfId="50" priority="282" operator="containsText" text="High">
      <formula>NOT(ISERROR(SEARCH("High",B749)))</formula>
    </cfRule>
  </conditionalFormatting>
  <conditionalFormatting sqref="B873:B878">
    <cfRule type="containsText" dxfId="49" priority="257" operator="containsText" text="Medium">
      <formula>NOT(ISERROR(SEARCH("Medium",B873)))</formula>
    </cfRule>
    <cfRule type="containsText" dxfId="48" priority="258" operator="containsText" text="High">
      <formula>NOT(ISERROR(SEARCH("High",B873)))</formula>
    </cfRule>
    <cfRule type="containsText" dxfId="47" priority="256" operator="containsText" text="Low">
      <formula>NOT(ISERROR(SEARCH("Low",B873)))</formula>
    </cfRule>
  </conditionalFormatting>
  <conditionalFormatting sqref="B1048:B1059">
    <cfRule type="containsText" dxfId="46" priority="175" operator="containsText" text="Low">
      <formula>NOT(ISERROR(SEARCH("Low",B1048)))</formula>
    </cfRule>
    <cfRule type="containsText" dxfId="45" priority="176" operator="containsText" text="Medium">
      <formula>NOT(ISERROR(SEARCH("Medium",B1048)))</formula>
    </cfRule>
    <cfRule type="containsText" dxfId="44" priority="177" operator="containsText" text="High">
      <formula>NOT(ISERROR(SEARCH("High",B1048)))</formula>
    </cfRule>
  </conditionalFormatting>
  <conditionalFormatting sqref="B1199:B1208">
    <cfRule type="containsText" dxfId="43" priority="126" operator="containsText" text="High">
      <formula>NOT(ISERROR(SEARCH("High",B1199)))</formula>
    </cfRule>
    <cfRule type="containsText" dxfId="42" priority="125" operator="containsText" text="Medium">
      <formula>NOT(ISERROR(SEARCH("Medium",B1199)))</formula>
    </cfRule>
    <cfRule type="containsText" dxfId="41" priority="124" operator="containsText" text="Low">
      <formula>NOT(ISERROR(SEARCH("Low",B1199)))</formula>
    </cfRule>
  </conditionalFormatting>
  <conditionalFormatting sqref="B1357:B1366">
    <cfRule type="containsText" dxfId="40" priority="80" operator="containsText" text="Medium">
      <formula>NOT(ISERROR(SEARCH("Medium",B1357)))</formula>
    </cfRule>
    <cfRule type="containsText" dxfId="39" priority="81" operator="containsText" text="High">
      <formula>NOT(ISERROR(SEARCH("High",B1357)))</formula>
    </cfRule>
    <cfRule type="containsText" dxfId="38" priority="79" operator="containsText" text="Low">
      <formula>NOT(ISERROR(SEARCH("Low",B1357)))</formula>
    </cfRule>
  </conditionalFormatting>
  <conditionalFormatting sqref="B1524:B1533">
    <cfRule type="containsText" dxfId="37" priority="43" operator="containsText" text="Low">
      <formula>NOT(ISERROR(SEARCH("Low",B1524)))</formula>
    </cfRule>
    <cfRule type="containsText" dxfId="36" priority="44" operator="containsText" text="Medium">
      <formula>NOT(ISERROR(SEARCH("Medium",B1524)))</formula>
    </cfRule>
    <cfRule type="containsText" dxfId="35" priority="45" operator="containsText" text="High">
      <formula>NOT(ISERROR(SEARCH("High",B1524)))</formula>
    </cfRule>
  </conditionalFormatting>
  <conditionalFormatting sqref="B1674:B1683">
    <cfRule type="containsText" dxfId="34" priority="23" operator="containsText" text="Medium">
      <formula>NOT(ISERROR(SEARCH("Medium",B1674)))</formula>
    </cfRule>
    <cfRule type="containsText" dxfId="33" priority="24" operator="containsText" text="High">
      <formula>NOT(ISERROR(SEARCH("High",B1674)))</formula>
    </cfRule>
    <cfRule type="containsText" dxfId="32" priority="22" operator="containsText" text="Low">
      <formula>NOT(ISERROR(SEARCH("Low",B1674)))</formula>
    </cfRule>
  </conditionalFormatting>
  <conditionalFormatting sqref="B1823:B1832">
    <cfRule type="containsText" dxfId="31" priority="4" operator="containsText" text="Low">
      <formula>NOT(ISERROR(SEARCH("Low",B1823)))</formula>
    </cfRule>
    <cfRule type="containsText" dxfId="30" priority="5" operator="containsText" text="Medium">
      <formula>NOT(ISERROR(SEARCH("Medium",B1823)))</formula>
    </cfRule>
    <cfRule type="containsText" dxfId="29" priority="6" operator="containsText" text="High">
      <formula>NOT(ISERROR(SEARCH("High",B1823)))</formula>
    </cfRule>
  </conditionalFormatting>
  <conditionalFormatting sqref="C16:C1020">
    <cfRule type="containsText" dxfId="28" priority="198" operator="containsText" text="High">
      <formula>NOT(ISERROR(SEARCH("High",C16)))</formula>
    </cfRule>
    <cfRule type="containsText" dxfId="27" priority="197" operator="containsText" text="Medium">
      <formula>NOT(ISERROR(SEARCH("Medium",C16)))</formula>
    </cfRule>
  </conditionalFormatting>
  <conditionalFormatting sqref="C16:C1032 C1036:C1051 C1054:C1063">
    <cfRule type="containsText" dxfId="26" priority="195" operator="containsText" text="Low">
      <formula>NOT(ISERROR(SEARCH("Low",C16)))</formula>
    </cfRule>
  </conditionalFormatting>
  <conditionalFormatting sqref="C1021:C1051">
    <cfRule type="containsText" dxfId="25" priority="182" operator="containsText" text="Medium">
      <formula>NOT(ISERROR(SEARCH("Medium",C1021)))</formula>
    </cfRule>
    <cfRule type="containsText" dxfId="24" priority="183" operator="containsText" text="High">
      <formula>NOT(ISERROR(SEARCH("High",C1021)))</formula>
    </cfRule>
  </conditionalFormatting>
  <conditionalFormatting sqref="C1033:C1035">
    <cfRule type="containsText" dxfId="23" priority="181" operator="containsText" text="Low">
      <formula>NOT(ISERROR(SEARCH("Low",C1033)))</formula>
    </cfRule>
  </conditionalFormatting>
  <conditionalFormatting sqref="C1052:C1053">
    <cfRule type="containsText" dxfId="22" priority="178" operator="containsText" text="Low">
      <formula>NOT(ISERROR(SEARCH("Low",C1052)))</formula>
    </cfRule>
  </conditionalFormatting>
  <conditionalFormatting sqref="C1052:C1061">
    <cfRule type="containsText" dxfId="21" priority="179" operator="containsText" text="Medium">
      <formula>NOT(ISERROR(SEARCH("Medium",C1052)))</formula>
    </cfRule>
    <cfRule type="containsText" dxfId="20" priority="180" operator="containsText" text="High">
      <formula>NOT(ISERROR(SEARCH("High",C1052)))</formula>
    </cfRule>
  </conditionalFormatting>
  <conditionalFormatting sqref="C1062:C1063 C1211:C1212 C1369:C1370 C1536:C1538">
    <cfRule type="containsText" dxfId="19" priority="686" operator="containsText" text="Medium">
      <formula>NOT(ISERROR(SEARCH("Medium",C1062)))</formula>
    </cfRule>
    <cfRule type="containsText" dxfId="18" priority="687" operator="containsText" text="High">
      <formula>NOT(ISERROR(SEARCH("High",C1062)))</formula>
    </cfRule>
  </conditionalFormatting>
  <conditionalFormatting sqref="C1064:C1174">
    <cfRule type="containsText" dxfId="17" priority="153" operator="containsText" text="High">
      <formula>NOT(ISERROR(SEARCH("High",C1064)))</formula>
    </cfRule>
    <cfRule type="containsText" dxfId="16" priority="152" operator="containsText" text="Medium">
      <formula>NOT(ISERROR(SEARCH("Medium",C1064)))</formula>
    </cfRule>
  </conditionalFormatting>
  <conditionalFormatting sqref="C1064:C1212">
    <cfRule type="containsText" dxfId="15" priority="150" operator="containsText" text="Low">
      <formula>NOT(ISERROR(SEARCH("Low",C1064)))</formula>
    </cfRule>
  </conditionalFormatting>
  <conditionalFormatting sqref="C1175:C1210">
    <cfRule type="containsText" dxfId="14" priority="149" operator="containsText" text="High">
      <formula>NOT(ISERROR(SEARCH("High",C1175)))</formula>
    </cfRule>
    <cfRule type="containsText" dxfId="13" priority="148" operator="containsText" text="Medium">
      <formula>NOT(ISERROR(SEARCH("Medium",C1175)))</formula>
    </cfRule>
  </conditionalFormatting>
  <conditionalFormatting sqref="C1213:C1332">
    <cfRule type="containsText" dxfId="12" priority="93" operator="containsText" text="High">
      <formula>NOT(ISERROR(SEARCH("High",C1213)))</formula>
    </cfRule>
    <cfRule type="containsText" dxfId="11" priority="92" operator="containsText" text="Medium">
      <formula>NOT(ISERROR(SEARCH("Medium",C1213)))</formula>
    </cfRule>
  </conditionalFormatting>
  <conditionalFormatting sqref="C1213:C1370">
    <cfRule type="containsText" dxfId="10" priority="90" operator="containsText" text="Low">
      <formula>NOT(ISERROR(SEARCH("Low",C1213)))</formula>
    </cfRule>
  </conditionalFormatting>
  <conditionalFormatting sqref="C1333:C1368">
    <cfRule type="containsText" dxfId="9" priority="89" operator="containsText" text="High">
      <formula>NOT(ISERROR(SEARCH("High",C1333)))</formula>
    </cfRule>
    <cfRule type="containsText" dxfId="8" priority="88" operator="containsText" text="Medium">
      <formula>NOT(ISERROR(SEARCH("Medium",C1333)))</formula>
    </cfRule>
  </conditionalFormatting>
  <conditionalFormatting sqref="C1371:C1499">
    <cfRule type="containsText" dxfId="7" priority="56" operator="containsText" text="Medium">
      <formula>NOT(ISERROR(SEARCH("Medium",C1371)))</formula>
    </cfRule>
    <cfRule type="containsText" dxfId="6" priority="57" operator="containsText" text="High">
      <formula>NOT(ISERROR(SEARCH("High",C1371)))</formula>
    </cfRule>
  </conditionalFormatting>
  <conditionalFormatting sqref="C1371:C1538">
    <cfRule type="containsText" dxfId="5" priority="54" operator="containsText" text="Low">
      <formula>NOT(ISERROR(SEARCH("Low",C1371)))</formula>
    </cfRule>
  </conditionalFormatting>
  <conditionalFormatting sqref="C1500:C1535">
    <cfRule type="containsText" dxfId="4" priority="52" operator="containsText" text="Medium">
      <formula>NOT(ISERROR(SEARCH("Medium",C1500)))</formula>
    </cfRule>
    <cfRule type="containsText" dxfId="3" priority="53" operator="containsText" text="High">
      <formula>NOT(ISERROR(SEARCH("High",C1500)))</formula>
    </cfRule>
  </conditionalFormatting>
  <conditionalFormatting sqref="C1539:C1048576">
    <cfRule type="containsText" dxfId="2" priority="1" operator="containsText" text="Low">
      <formula>NOT(ISERROR(SEARCH("Low",C1539)))</formula>
    </cfRule>
    <cfRule type="containsText" dxfId="1" priority="2" operator="containsText" text="Medium">
      <formula>NOT(ISERROR(SEARCH("Medium",C1539)))</formula>
    </cfRule>
    <cfRule type="containsText" dxfId="0" priority="3" operator="containsText" text="High">
      <formula>NOT(ISERROR(SEARCH("High",C1539)))</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6DA2A-EA02-4FD4-8CCB-A645CF2AB2CC}">
  <sheetPr>
    <tabColor theme="4" tint="0.39997558519241921"/>
  </sheetPr>
  <dimension ref="A1:G24"/>
  <sheetViews>
    <sheetView tabSelected="1" workbookViewId="0">
      <selection activeCell="C6" sqref="C6"/>
    </sheetView>
  </sheetViews>
  <sheetFormatPr baseColWidth="10" defaultColWidth="8.83203125" defaultRowHeight="15" x14ac:dyDescent="0.2"/>
  <cols>
    <col min="1" max="1" width="58.5" customWidth="1"/>
    <col min="2" max="2" width="34.5" customWidth="1"/>
    <col min="3" max="3" width="37.1640625" customWidth="1"/>
    <col min="4" max="4" width="23.5" customWidth="1"/>
    <col min="5" max="5" width="37.1640625" customWidth="1"/>
    <col min="6" max="6" width="37.6640625" customWidth="1"/>
    <col min="7" max="7" width="26.1640625" bestFit="1" customWidth="1"/>
    <col min="8" max="9" width="23.1640625" customWidth="1"/>
  </cols>
  <sheetData>
    <row r="1" spans="1:7" ht="24" customHeight="1" x14ac:dyDescent="0.3">
      <c r="B1" s="178"/>
      <c r="F1" s="338" t="s">
        <v>600</v>
      </c>
      <c r="G1" s="338"/>
    </row>
    <row r="2" spans="1:7" ht="42.75" customHeight="1" x14ac:dyDescent="0.2">
      <c r="B2" s="179" t="s">
        <v>601</v>
      </c>
      <c r="C2" s="180" t="s">
        <v>602</v>
      </c>
      <c r="D2" s="180" t="s">
        <v>603</v>
      </c>
      <c r="E2" s="180" t="s">
        <v>604</v>
      </c>
      <c r="F2" s="180" t="s">
        <v>605</v>
      </c>
      <c r="G2" s="179" t="s">
        <v>606</v>
      </c>
    </row>
    <row r="3" spans="1:7" ht="25.5" customHeight="1" x14ac:dyDescent="0.25">
      <c r="B3" s="181" t="s">
        <v>607</v>
      </c>
      <c r="C3" s="182">
        <v>608.61</v>
      </c>
      <c r="D3" s="183">
        <f>C3/C6</f>
        <v>9.202790731432927E-3</v>
      </c>
      <c r="E3" s="184">
        <f>ROUND(C3/C6*C10,2)</f>
        <v>92.03</v>
      </c>
      <c r="F3" s="184">
        <f>C3-E3</f>
        <v>516.58000000000004</v>
      </c>
      <c r="G3" s="185" t="s">
        <v>608</v>
      </c>
    </row>
    <row r="4" spans="1:7" ht="33.75" customHeight="1" x14ac:dyDescent="0.25">
      <c r="B4" s="181" t="s">
        <v>609</v>
      </c>
      <c r="C4" s="340">
        <v>8357.3799999999992</v>
      </c>
      <c r="D4" s="183">
        <f>C4/C6</f>
        <v>0.12637192816921</v>
      </c>
      <c r="E4" s="184">
        <f>ROUND(C4/C6*C10,2)</f>
        <v>1263.72</v>
      </c>
      <c r="F4" s="184">
        <f>C4-E4</f>
        <v>7093.6599999999989</v>
      </c>
      <c r="G4" s="185" t="s">
        <v>610</v>
      </c>
    </row>
    <row r="5" spans="1:7" ht="20" x14ac:dyDescent="0.25">
      <c r="B5" s="181" t="s">
        <v>611</v>
      </c>
      <c r="C5" s="340">
        <v>57962.95</v>
      </c>
      <c r="D5" s="186">
        <f>C5/C6</f>
        <v>0.87645766422916171</v>
      </c>
      <c r="E5" s="187">
        <f>C10-(E3+E4)</f>
        <v>8644.25</v>
      </c>
      <c r="F5" s="184">
        <f>C5-E5</f>
        <v>49318.7</v>
      </c>
      <c r="G5" s="188" t="s">
        <v>612</v>
      </c>
    </row>
    <row r="6" spans="1:7" ht="33" x14ac:dyDescent="0.25">
      <c r="A6" s="178" t="s">
        <v>613</v>
      </c>
      <c r="B6" s="219" t="s">
        <v>614</v>
      </c>
      <c r="C6" s="190">
        <v>66133.2</v>
      </c>
      <c r="D6" s="191">
        <f>SUM(D3:D5)</f>
        <v>1.0120323831298046</v>
      </c>
      <c r="E6" s="192">
        <f>SUM(E3:E5)</f>
        <v>10000</v>
      </c>
      <c r="F6" s="193">
        <f>C9-E5</f>
        <v>42074.400000000001</v>
      </c>
      <c r="G6" s="185" t="s">
        <v>615</v>
      </c>
    </row>
    <row r="7" spans="1:7" ht="20" x14ac:dyDescent="0.25">
      <c r="B7" s="194" t="s">
        <v>616</v>
      </c>
      <c r="C7" s="195"/>
      <c r="D7" s="196"/>
      <c r="E7" s="196"/>
      <c r="F7" s="193">
        <f>C6-E6</f>
        <v>56133.2</v>
      </c>
      <c r="G7" s="185" t="s">
        <v>617</v>
      </c>
    </row>
    <row r="8" spans="1:7" ht="20" x14ac:dyDescent="0.25">
      <c r="B8" s="197" t="s">
        <v>618</v>
      </c>
      <c r="C8" s="198"/>
      <c r="D8" s="196"/>
      <c r="E8" s="196"/>
      <c r="G8" s="178"/>
    </row>
    <row r="9" spans="1:7" ht="60" x14ac:dyDescent="0.25">
      <c r="B9" s="199" t="s">
        <v>619</v>
      </c>
      <c r="C9" s="340">
        <v>50718.65</v>
      </c>
      <c r="D9" s="196"/>
      <c r="E9" s="201"/>
      <c r="G9" s="178"/>
    </row>
    <row r="10" spans="1:7" ht="33" x14ac:dyDescent="0.25">
      <c r="A10" s="178" t="s">
        <v>620</v>
      </c>
      <c r="B10" s="202" t="s">
        <v>621</v>
      </c>
      <c r="C10" s="341">
        <v>10000</v>
      </c>
      <c r="D10" s="196"/>
      <c r="E10" s="196"/>
      <c r="G10" s="178"/>
    </row>
    <row r="20" spans="4:5" ht="16" x14ac:dyDescent="0.2">
      <c r="D20" s="342">
        <v>8357.3799999999992</v>
      </c>
      <c r="E20" s="344"/>
    </row>
    <row r="21" spans="4:5" ht="16" x14ac:dyDescent="0.2">
      <c r="D21" s="343">
        <v>608.61</v>
      </c>
    </row>
    <row r="22" spans="4:5" ht="16" x14ac:dyDescent="0.2">
      <c r="D22" s="342">
        <v>66133.2</v>
      </c>
    </row>
    <row r="24" spans="4:5" ht="16" x14ac:dyDescent="0.2">
      <c r="D24" s="340">
        <v>57962.95</v>
      </c>
    </row>
  </sheetData>
  <mergeCells count="1">
    <mergeCell ref="F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4574E-5947-4AC9-8BCB-B33E19A3AF6C}">
  <sheetPr>
    <tabColor rgb="FFFFC000"/>
  </sheetPr>
  <dimension ref="A1:G10"/>
  <sheetViews>
    <sheetView workbookViewId="0">
      <selection activeCell="C3" sqref="C3"/>
    </sheetView>
  </sheetViews>
  <sheetFormatPr baseColWidth="10" defaultColWidth="8.83203125" defaultRowHeight="15" x14ac:dyDescent="0.2"/>
  <cols>
    <col min="1" max="1" width="83.33203125" customWidth="1"/>
    <col min="2" max="2" width="34.5" customWidth="1"/>
    <col min="3" max="3" width="37.1640625" customWidth="1"/>
    <col min="4" max="4" width="23.5" customWidth="1"/>
    <col min="5" max="5" width="37.1640625" customWidth="1"/>
    <col min="6" max="6" width="37.6640625" customWidth="1"/>
    <col min="7" max="7" width="26.1640625" bestFit="1" customWidth="1"/>
    <col min="8" max="9" width="23.1640625" customWidth="1"/>
  </cols>
  <sheetData>
    <row r="1" spans="1:7" ht="24" customHeight="1" x14ac:dyDescent="0.3">
      <c r="B1" s="178"/>
      <c r="F1" s="338" t="s">
        <v>600</v>
      </c>
      <c r="G1" s="338"/>
    </row>
    <row r="2" spans="1:7" ht="40" x14ac:dyDescent="0.2">
      <c r="B2" s="179" t="s">
        <v>601</v>
      </c>
      <c r="C2" s="180" t="s">
        <v>602</v>
      </c>
      <c r="D2" s="180" t="s">
        <v>603</v>
      </c>
      <c r="E2" s="180" t="s">
        <v>604</v>
      </c>
      <c r="F2" s="180" t="s">
        <v>605</v>
      </c>
      <c r="G2" s="179" t="s">
        <v>606</v>
      </c>
    </row>
    <row r="3" spans="1:7" ht="20" x14ac:dyDescent="0.25">
      <c r="B3" s="181" t="s">
        <v>607</v>
      </c>
      <c r="C3" s="182">
        <v>5000</v>
      </c>
      <c r="D3" s="183">
        <f>C3/C6</f>
        <v>0.21657369158087098</v>
      </c>
      <c r="E3" s="184">
        <f>ROUND(C3/C6*C10,2)</f>
        <v>0</v>
      </c>
      <c r="F3" s="184">
        <f>C3-E3</f>
        <v>5000</v>
      </c>
      <c r="G3" s="185" t="s">
        <v>608</v>
      </c>
    </row>
    <row r="4" spans="1:7" ht="20" x14ac:dyDescent="0.25">
      <c r="B4" s="181" t="s">
        <v>609</v>
      </c>
      <c r="C4" s="182">
        <v>5062</v>
      </c>
      <c r="D4" s="183">
        <f>C4/C6</f>
        <v>0.21925920535647378</v>
      </c>
      <c r="E4" s="184">
        <f>ROUND(C4/C6*C10,2)</f>
        <v>0</v>
      </c>
      <c r="F4" s="184">
        <f>C4-E4</f>
        <v>5062</v>
      </c>
      <c r="G4" s="185" t="s">
        <v>610</v>
      </c>
    </row>
    <row r="5" spans="1:7" ht="20" x14ac:dyDescent="0.25">
      <c r="B5" s="181" t="s">
        <v>611</v>
      </c>
      <c r="C5" s="182">
        <v>13024.83</v>
      </c>
      <c r="D5" s="186">
        <f>C5/C6</f>
        <v>0.56416710306265516</v>
      </c>
      <c r="E5" s="187">
        <f>C10-(E3+E4)</f>
        <v>0.01</v>
      </c>
      <c r="F5" s="184">
        <f>C5-E5</f>
        <v>13024.82</v>
      </c>
      <c r="G5" s="188" t="s">
        <v>612</v>
      </c>
    </row>
    <row r="6" spans="1:7" ht="33" x14ac:dyDescent="0.25">
      <c r="A6" s="178" t="s">
        <v>622</v>
      </c>
      <c r="B6" s="189" t="s">
        <v>614</v>
      </c>
      <c r="C6" s="190">
        <f>SUM(C3:C5)</f>
        <v>23086.83</v>
      </c>
      <c r="D6" s="191">
        <f>SUM(D3:D5)</f>
        <v>0.99999999999999989</v>
      </c>
      <c r="E6" s="192">
        <f>SUM(E3:E5)</f>
        <v>0.01</v>
      </c>
      <c r="F6" s="193">
        <f>C9-E5</f>
        <v>799999.99</v>
      </c>
      <c r="G6" s="185" t="s">
        <v>615</v>
      </c>
    </row>
    <row r="7" spans="1:7" ht="20" x14ac:dyDescent="0.25">
      <c r="B7" s="194" t="s">
        <v>616</v>
      </c>
      <c r="C7" s="195"/>
      <c r="D7" s="196"/>
      <c r="E7" s="196"/>
      <c r="F7" s="193">
        <f>C6-E6</f>
        <v>23086.820000000003</v>
      </c>
      <c r="G7" s="185" t="s">
        <v>617</v>
      </c>
    </row>
    <row r="8" spans="1:7" ht="20" x14ac:dyDescent="0.25">
      <c r="B8" s="197" t="s">
        <v>618</v>
      </c>
      <c r="C8" s="198"/>
      <c r="D8" s="196"/>
      <c r="E8" s="196"/>
      <c r="G8" s="178"/>
    </row>
    <row r="9" spans="1:7" ht="60" x14ac:dyDescent="0.25">
      <c r="B9" s="199" t="s">
        <v>619</v>
      </c>
      <c r="C9" s="200">
        <v>800000</v>
      </c>
      <c r="D9" s="196"/>
      <c r="E9" s="201"/>
      <c r="G9" s="178"/>
    </row>
    <row r="10" spans="1:7" ht="65" x14ac:dyDescent="0.25">
      <c r="A10" s="178" t="s">
        <v>623</v>
      </c>
      <c r="B10" s="202" t="s">
        <v>621</v>
      </c>
      <c r="C10" s="190">
        <v>0.01</v>
      </c>
      <c r="D10" s="196"/>
      <c r="E10" s="196"/>
      <c r="G10" s="178"/>
    </row>
  </sheetData>
  <mergeCells count="1">
    <mergeCell ref="F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D114-A62D-4FF7-807B-081AD1776F8C}">
  <sheetPr>
    <tabColor rgb="FF00B050"/>
  </sheetPr>
  <dimension ref="A1:G10"/>
  <sheetViews>
    <sheetView workbookViewId="0">
      <selection activeCell="D10" sqref="D10"/>
    </sheetView>
  </sheetViews>
  <sheetFormatPr baseColWidth="10" defaultColWidth="8.83203125" defaultRowHeight="15" x14ac:dyDescent="0.2"/>
  <cols>
    <col min="1" max="1" width="83.33203125" customWidth="1"/>
    <col min="2" max="2" width="34.5" customWidth="1"/>
    <col min="3" max="3" width="37.1640625" customWidth="1"/>
    <col min="4" max="4" width="23.5" customWidth="1"/>
    <col min="5" max="5" width="37.1640625" customWidth="1"/>
    <col min="6" max="6" width="37.6640625" customWidth="1"/>
    <col min="7" max="7" width="26.1640625" bestFit="1" customWidth="1"/>
    <col min="8" max="9" width="23.1640625" customWidth="1"/>
  </cols>
  <sheetData>
    <row r="1" spans="1:7" ht="24" customHeight="1" x14ac:dyDescent="0.3">
      <c r="B1" s="178"/>
      <c r="F1" s="338" t="s">
        <v>600</v>
      </c>
      <c r="G1" s="338"/>
    </row>
    <row r="2" spans="1:7" ht="40" x14ac:dyDescent="0.2">
      <c r="B2" s="179" t="s">
        <v>601</v>
      </c>
      <c r="C2" s="180" t="s">
        <v>602</v>
      </c>
      <c r="D2" s="180" t="s">
        <v>603</v>
      </c>
      <c r="E2" s="180" t="s">
        <v>604</v>
      </c>
      <c r="F2" s="180" t="s">
        <v>605</v>
      </c>
      <c r="G2" s="179" t="s">
        <v>606</v>
      </c>
    </row>
    <row r="3" spans="1:7" ht="20" x14ac:dyDescent="0.25">
      <c r="B3" s="181" t="s">
        <v>607</v>
      </c>
      <c r="C3" s="182">
        <v>0</v>
      </c>
      <c r="D3" s="183" t="e">
        <f>C3/C6</f>
        <v>#DIV/0!</v>
      </c>
      <c r="E3" s="184" t="e">
        <f>ROUND(C3/C6*C10,2)</f>
        <v>#DIV/0!</v>
      </c>
      <c r="F3" s="184" t="e">
        <f>C3-E3</f>
        <v>#DIV/0!</v>
      </c>
      <c r="G3" s="185" t="s">
        <v>608</v>
      </c>
    </row>
    <row r="4" spans="1:7" ht="20" x14ac:dyDescent="0.25">
      <c r="B4" s="181" t="s">
        <v>609</v>
      </c>
      <c r="C4" s="182">
        <v>0</v>
      </c>
      <c r="D4" s="183" t="e">
        <f>C4/C6</f>
        <v>#DIV/0!</v>
      </c>
      <c r="E4" s="184" t="e">
        <f>ROUND(C4/C6*C10,2)</f>
        <v>#DIV/0!</v>
      </c>
      <c r="F4" s="184" t="e">
        <f>C4-E4</f>
        <v>#DIV/0!</v>
      </c>
      <c r="G4" s="185" t="s">
        <v>610</v>
      </c>
    </row>
    <row r="5" spans="1:7" ht="20" x14ac:dyDescent="0.25">
      <c r="B5" s="181" t="s">
        <v>611</v>
      </c>
      <c r="C5" s="182">
        <v>0</v>
      </c>
      <c r="D5" s="186" t="e">
        <f>C5/C6</f>
        <v>#DIV/0!</v>
      </c>
      <c r="E5" s="187" t="e">
        <f>C10-(E3+E4)</f>
        <v>#DIV/0!</v>
      </c>
      <c r="F5" s="184" t="e">
        <f>C5-E5</f>
        <v>#DIV/0!</v>
      </c>
      <c r="G5" s="188" t="s">
        <v>612</v>
      </c>
    </row>
    <row r="6" spans="1:7" ht="33" x14ac:dyDescent="0.25">
      <c r="A6" s="178" t="s">
        <v>622</v>
      </c>
      <c r="B6" s="189" t="s">
        <v>614</v>
      </c>
      <c r="C6" s="190">
        <f>SUM(C3:C5)</f>
        <v>0</v>
      </c>
      <c r="D6" s="191" t="e">
        <f>SUM(D3:D5)</f>
        <v>#DIV/0!</v>
      </c>
      <c r="E6" s="192" t="e">
        <f>SUM(E3:E5)</f>
        <v>#DIV/0!</v>
      </c>
      <c r="F6" s="193" t="e">
        <f>C9-E5</f>
        <v>#DIV/0!</v>
      </c>
      <c r="G6" s="185" t="s">
        <v>615</v>
      </c>
    </row>
    <row r="7" spans="1:7" ht="20" x14ac:dyDescent="0.25">
      <c r="B7" s="194" t="s">
        <v>616</v>
      </c>
      <c r="C7" s="195"/>
      <c r="D7" s="196"/>
      <c r="E7" s="196"/>
      <c r="F7" s="193" t="e">
        <f>C6-E6</f>
        <v>#DIV/0!</v>
      </c>
      <c r="G7" s="185" t="s">
        <v>617</v>
      </c>
    </row>
    <row r="8" spans="1:7" ht="20" x14ac:dyDescent="0.25">
      <c r="B8" s="194" t="s">
        <v>618</v>
      </c>
      <c r="C8" s="257"/>
      <c r="D8" s="196"/>
      <c r="E8" s="196"/>
      <c r="G8" s="178"/>
    </row>
    <row r="9" spans="1:7" ht="60" x14ac:dyDescent="0.25">
      <c r="B9" s="255" t="s">
        <v>619</v>
      </c>
      <c r="C9" s="256">
        <v>4009000</v>
      </c>
      <c r="D9" s="196"/>
      <c r="E9" s="201"/>
      <c r="G9" s="178"/>
    </row>
    <row r="10" spans="1:7" ht="65" x14ac:dyDescent="0.25">
      <c r="A10" s="178" t="s">
        <v>623</v>
      </c>
      <c r="B10" s="258" t="s">
        <v>621</v>
      </c>
      <c r="C10" s="190">
        <v>5000</v>
      </c>
      <c r="D10" s="196"/>
      <c r="E10" s="196"/>
      <c r="G10" s="178"/>
    </row>
  </sheetData>
  <mergeCells count="1">
    <mergeCell ref="F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4399-BE39-406C-876E-CE67B914DFDD}">
  <dimension ref="B1:G7"/>
  <sheetViews>
    <sheetView workbookViewId="0">
      <selection activeCell="D4" sqref="D4"/>
    </sheetView>
  </sheetViews>
  <sheetFormatPr baseColWidth="10" defaultColWidth="8.83203125" defaultRowHeight="15" x14ac:dyDescent="0.2"/>
  <cols>
    <col min="1" max="1" width="23" customWidth="1"/>
    <col min="2" max="2" width="34.5" customWidth="1"/>
    <col min="3" max="3" width="37.1640625" customWidth="1"/>
    <col min="4" max="4" width="23.5" customWidth="1"/>
    <col min="5" max="5" width="37.1640625" customWidth="1"/>
    <col min="6" max="6" width="37.6640625" customWidth="1"/>
    <col min="7" max="7" width="26.1640625" bestFit="1" customWidth="1"/>
    <col min="8" max="9" width="23.1640625" customWidth="1"/>
  </cols>
  <sheetData>
    <row r="1" spans="2:7" ht="24" customHeight="1" x14ac:dyDescent="0.3">
      <c r="B1" s="178"/>
      <c r="F1" s="339" t="s">
        <v>600</v>
      </c>
      <c r="G1" s="339"/>
    </row>
    <row r="2" spans="2:7" ht="40" x14ac:dyDescent="0.2">
      <c r="B2" s="179" t="s">
        <v>601</v>
      </c>
      <c r="C2" s="180" t="s">
        <v>602</v>
      </c>
      <c r="D2" s="180" t="s">
        <v>603</v>
      </c>
      <c r="E2" s="308" t="s">
        <v>604</v>
      </c>
      <c r="F2" s="309" t="s">
        <v>605</v>
      </c>
      <c r="G2" s="310" t="s">
        <v>606</v>
      </c>
    </row>
    <row r="3" spans="2:7" ht="20" x14ac:dyDescent="0.25">
      <c r="B3" s="181" t="s">
        <v>607</v>
      </c>
      <c r="C3" s="182">
        <v>756.79</v>
      </c>
      <c r="D3" s="305">
        <f>C3/C6</f>
        <v>1.7388880757529208E-2</v>
      </c>
      <c r="E3" s="193">
        <f>ROUND(C3/C6*C7,2)</f>
        <v>347.78</v>
      </c>
      <c r="F3" s="184">
        <f>C3-E3</f>
        <v>409.01</v>
      </c>
      <c r="G3" s="185" t="s">
        <v>608</v>
      </c>
    </row>
    <row r="4" spans="2:7" ht="20" x14ac:dyDescent="0.25">
      <c r="B4" s="181" t="s">
        <v>609</v>
      </c>
      <c r="C4" s="182">
        <v>18739.73</v>
      </c>
      <c r="D4" s="305">
        <f>C4/C6</f>
        <v>0.43058567158431382</v>
      </c>
      <c r="E4" s="193">
        <f>ROUND(C4/C6*C7,2)</f>
        <v>8611.7099999999991</v>
      </c>
      <c r="F4" s="184">
        <f>C4-E4</f>
        <v>10128.02</v>
      </c>
      <c r="G4" s="185" t="s">
        <v>610</v>
      </c>
    </row>
    <row r="5" spans="2:7" ht="20" x14ac:dyDescent="0.25">
      <c r="B5" s="181" t="s">
        <v>611</v>
      </c>
      <c r="C5" s="182">
        <v>24024.97</v>
      </c>
      <c r="D5" s="306">
        <f>C5/C6</f>
        <v>0.55202544765815686</v>
      </c>
      <c r="E5" s="193">
        <f>C7-(E3+E4)</f>
        <v>11040.51</v>
      </c>
      <c r="F5" s="184">
        <f>C5-E5</f>
        <v>12984.460000000001</v>
      </c>
      <c r="G5" s="185" t="s">
        <v>612</v>
      </c>
    </row>
    <row r="6" spans="2:7" ht="20" x14ac:dyDescent="0.25">
      <c r="B6" s="189" t="s">
        <v>614</v>
      </c>
      <c r="C6" s="190">
        <f>SUM(C3:C5)</f>
        <v>43521.490000000005</v>
      </c>
      <c r="D6" s="307">
        <f>SUM(D3:D5)</f>
        <v>0.99999999999999989</v>
      </c>
      <c r="E6" s="192">
        <f>SUM(E3:E5)</f>
        <v>20000</v>
      </c>
      <c r="F6" s="303"/>
      <c r="G6" s="304"/>
    </row>
    <row r="7" spans="2:7" ht="20" x14ac:dyDescent="0.25">
      <c r="B7" s="202" t="s">
        <v>621</v>
      </c>
      <c r="C7" s="190">
        <v>20000</v>
      </c>
      <c r="D7" s="196"/>
      <c r="E7" s="196"/>
      <c r="G7" s="178"/>
    </row>
  </sheetData>
  <mergeCells count="1">
    <mergeCell ref="F1:G1"/>
  </mergeCells>
  <pageMargins left="0.7" right="0.7" top="0.75" bottom="0.75" header="0.3" footer="0.3"/>
</worksheet>
</file>

<file path=docMetadata/LabelInfo.xml><?xml version="1.0" encoding="utf-8"?>
<clbl:labelList xmlns:clbl="http://schemas.microsoft.com/office/2020/mipLabelMetadata">
  <clbl:label id="{7e2a8a44-4773-4649-a4d0-14fe0292ffe6}" enabled="0" method="" siteId="{7e2a8a44-4773-4649-a4d0-14fe0292ffe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Repay Non-Payment Day</vt:lpstr>
      <vt:lpstr>Repay Payment Day </vt:lpstr>
      <vt:lpstr>Collection Non-Payment Day</vt:lpstr>
      <vt:lpstr>Collection Payment Day</vt:lpstr>
      <vt:lpstr>Formula INA</vt:lpstr>
      <vt:lpstr>Formula SALOME</vt:lpstr>
      <vt:lpstr>Formula ZURA</vt:lpstr>
      <vt:lpstr>Formula Teona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Nini Chachkhalia</cp:lastModifiedBy>
  <cp:revision/>
  <dcterms:created xsi:type="dcterms:W3CDTF">2024-10-27T19:49:33Z</dcterms:created>
  <dcterms:modified xsi:type="dcterms:W3CDTF">2025-02-03T17:15:32Z</dcterms:modified>
  <cp:category/>
  <cp:contentStatus/>
</cp:coreProperties>
</file>